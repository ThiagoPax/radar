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caspernet-my.sharepoint.com/personal/t_souza_prof_casperlibero_edu_br/Documents/Projetos/Radar/radar_code/docs/ge-historico/"/>
    </mc:Choice>
  </mc:AlternateContent>
  <xr:revisionPtr revIDLastSave="1" documentId="11_9101B3051D43C9564E635EC1E73AB09AE99AF4D7" xr6:coauthVersionLast="47" xr6:coauthVersionMax="47" xr10:uidLastSave="{349282F1-C016-45C3-8397-E0B752B83624}"/>
  <bookViews>
    <workbookView xWindow="6585" yWindow="1650" windowWidth="19185" windowHeight="10305" xr2:uid="{00000000-000D-0000-FFFF-FFFF00000000}"/>
  </bookViews>
  <sheets>
    <sheet name="Página1" sheetId="1" r:id="rId1"/>
  </sheets>
  <externalReferences>
    <externalReference r:id="rId2"/>
    <externalReference r:id="rId3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H63" i="1" l="1"/>
  <c r="B85" i="1" s="1"/>
  <c r="E85" i="1" s="1"/>
  <c r="LE63" i="1"/>
  <c r="LD63" i="1"/>
  <c r="LA63" i="1"/>
  <c r="KZ63" i="1"/>
  <c r="KW63" i="1"/>
  <c r="KX63" i="1" s="1"/>
  <c r="KV63" i="1"/>
  <c r="KS63" i="1"/>
  <c r="KT63" i="1" s="1"/>
  <c r="KR63" i="1"/>
  <c r="KR64" i="1" s="1"/>
  <c r="KO63" i="1"/>
  <c r="KN63" i="1"/>
  <c r="KP63" i="1" s="1"/>
  <c r="KK63" i="1"/>
  <c r="KJ63" i="1"/>
  <c r="KG63" i="1"/>
  <c r="KH63" i="1" s="1"/>
  <c r="KF63" i="1"/>
  <c r="KC63" i="1"/>
  <c r="KD63" i="1" s="1"/>
  <c r="KB63" i="1"/>
  <c r="JY63" i="1"/>
  <c r="JX63" i="1"/>
  <c r="B80" i="1" s="1"/>
  <c r="JU63" i="1"/>
  <c r="JT63" i="1"/>
  <c r="JV63" i="1" s="1"/>
  <c r="JQ63" i="1"/>
  <c r="JR63" i="1" s="1"/>
  <c r="JP63" i="1"/>
  <c r="JM63" i="1"/>
  <c r="JL63" i="1"/>
  <c r="JI63" i="1"/>
  <c r="JH63" i="1"/>
  <c r="JE63" i="1"/>
  <c r="JD63" i="1"/>
  <c r="JA63" i="1"/>
  <c r="JB63" i="1" s="1"/>
  <c r="IZ63" i="1"/>
  <c r="IW63" i="1"/>
  <c r="IV63" i="1"/>
  <c r="IX63" i="1" s="1"/>
  <c r="IS63" i="1"/>
  <c r="IR63" i="1"/>
  <c r="B78" i="1" s="1"/>
  <c r="IO63" i="1"/>
  <c r="IN63" i="1"/>
  <c r="IK63" i="1"/>
  <c r="IL63" i="1" s="1"/>
  <c r="IJ63" i="1"/>
  <c r="IG63" i="1"/>
  <c r="IF63" i="1"/>
  <c r="IC63" i="1"/>
  <c r="IB63" i="1"/>
  <c r="HY63" i="1"/>
  <c r="HX63" i="1"/>
  <c r="HZ63" i="1" s="1"/>
  <c r="HU63" i="1"/>
  <c r="HV63" i="1" s="1"/>
  <c r="HT63" i="1"/>
  <c r="HQ63" i="1"/>
  <c r="HP63" i="1"/>
  <c r="B77" i="1" s="1"/>
  <c r="HM63" i="1"/>
  <c r="HL63" i="1"/>
  <c r="HI63" i="1"/>
  <c r="HH63" i="1"/>
  <c r="HE63" i="1"/>
  <c r="HF63" i="1" s="1"/>
  <c r="HD63" i="1"/>
  <c r="HA63" i="1"/>
  <c r="GZ63" i="1"/>
  <c r="HB63" i="1" s="1"/>
  <c r="GW63" i="1"/>
  <c r="GV63" i="1"/>
  <c r="B76" i="1" s="1"/>
  <c r="C76" i="1" s="1"/>
  <c r="GS63" i="1"/>
  <c r="GR63" i="1"/>
  <c r="GO63" i="1"/>
  <c r="GP63" i="1" s="1"/>
  <c r="GN63" i="1"/>
  <c r="GK63" i="1"/>
  <c r="GG63" i="1"/>
  <c r="GF63" i="1"/>
  <c r="GH63" i="1" s="1"/>
  <c r="GC63" i="1"/>
  <c r="GB63" i="1"/>
  <c r="GD63" i="1" s="1"/>
  <c r="FY63" i="1"/>
  <c r="FZ63" i="1" s="1"/>
  <c r="FX63" i="1"/>
  <c r="FU63" i="1"/>
  <c r="FT63" i="1"/>
  <c r="FV63" i="1" s="1"/>
  <c r="FP63" i="1"/>
  <c r="FM63" i="1"/>
  <c r="FL63" i="1"/>
  <c r="FI63" i="1"/>
  <c r="FJ63" i="1" s="1"/>
  <c r="FH63" i="1"/>
  <c r="B74" i="1" s="1"/>
  <c r="FE63" i="1"/>
  <c r="FA63" i="1"/>
  <c r="EZ63" i="1"/>
  <c r="FB63" i="1" s="1"/>
  <c r="EV63" i="1"/>
  <c r="ES63" i="1"/>
  <c r="ET63" i="1" s="1"/>
  <c r="ER63" i="1"/>
  <c r="EO63" i="1"/>
  <c r="EN63" i="1"/>
  <c r="EJ63" i="1"/>
  <c r="EG63" i="1"/>
  <c r="EF63" i="1"/>
  <c r="EH63" i="1" s="1"/>
  <c r="EB63" i="1"/>
  <c r="DY63" i="1"/>
  <c r="DX63" i="1"/>
  <c r="DU63" i="1"/>
  <c r="DT63" i="1"/>
  <c r="B72" i="1" s="1"/>
  <c r="DP63" i="1"/>
  <c r="DM63" i="1"/>
  <c r="DN63" i="1" s="1"/>
  <c r="DL63" i="1"/>
  <c r="DH63" i="1"/>
  <c r="DE63" i="1"/>
  <c r="DD63" i="1"/>
  <c r="DA63" i="1"/>
  <c r="CZ63" i="1"/>
  <c r="CV63" i="1"/>
  <c r="CS63" i="1"/>
  <c r="CR63" i="1"/>
  <c r="CN63" i="1"/>
  <c r="CK63" i="1"/>
  <c r="CJ63" i="1"/>
  <c r="CL63" i="1" s="1"/>
  <c r="CG63" i="1"/>
  <c r="CF63" i="1"/>
  <c r="CB63" i="1"/>
  <c r="BY63" i="1"/>
  <c r="BX63" i="1"/>
  <c r="BZ63" i="1" s="1"/>
  <c r="BT63" i="1"/>
  <c r="BQ63" i="1"/>
  <c r="BP63" i="1"/>
  <c r="BM63" i="1"/>
  <c r="BL63" i="1"/>
  <c r="BN63" i="1" s="1"/>
  <c r="BH63" i="1"/>
  <c r="BE63" i="1"/>
  <c r="BD63" i="1"/>
  <c r="BF63" i="1" s="1"/>
  <c r="AZ63" i="1"/>
  <c r="AW63" i="1"/>
  <c r="AV63" i="1"/>
  <c r="AS63" i="1"/>
  <c r="AR63" i="1"/>
  <c r="B68" i="1" s="1"/>
  <c r="AN63" i="1"/>
  <c r="AK63" i="1"/>
  <c r="AJ63" i="1"/>
  <c r="AL63" i="1" s="1"/>
  <c r="AF63" i="1"/>
  <c r="AC63" i="1"/>
  <c r="AB63" i="1"/>
  <c r="AD63" i="1" s="1"/>
  <c r="Y63" i="1"/>
  <c r="X63" i="1"/>
  <c r="T63" i="1"/>
  <c r="Q63" i="1"/>
  <c r="P63" i="1"/>
  <c r="L63" i="1"/>
  <c r="I63" i="1"/>
  <c r="H63" i="1"/>
  <c r="E63" i="1"/>
  <c r="D63" i="1"/>
  <c r="F63" i="1" s="1"/>
  <c r="MA62" i="1"/>
  <c r="LY62" i="1"/>
  <c r="LX62" i="1"/>
  <c r="LT62" i="1"/>
  <c r="MA61" i="1"/>
  <c r="LY61" i="1"/>
  <c r="LX61" i="1"/>
  <c r="LT61" i="1"/>
  <c r="LL61" i="1"/>
  <c r="LM61" i="1" s="1"/>
  <c r="LE61" i="1"/>
  <c r="LA61" i="1"/>
  <c r="KW61" i="1"/>
  <c r="JU61" i="1"/>
  <c r="JE61" i="1"/>
  <c r="JA61" i="1"/>
  <c r="IC61" i="1"/>
  <c r="HQ61" i="1"/>
  <c r="HM61" i="1"/>
  <c r="HI61" i="1"/>
  <c r="HE61" i="1"/>
  <c r="GC61" i="1"/>
  <c r="FM61" i="1"/>
  <c r="FI61" i="1"/>
  <c r="EK61" i="1"/>
  <c r="DY61" i="1"/>
  <c r="DU61" i="1"/>
  <c r="DQ61" i="1"/>
  <c r="DM61" i="1"/>
  <c r="CK61" i="1"/>
  <c r="BU61" i="1"/>
  <c r="BQ61" i="1"/>
  <c r="AS61" i="1"/>
  <c r="AG61" i="1"/>
  <c r="AC61" i="1"/>
  <c r="Y61" i="1"/>
  <c r="U61" i="1"/>
  <c r="B61" i="1"/>
  <c r="MA60" i="1"/>
  <c r="LY60" i="1"/>
  <c r="LX60" i="1"/>
  <c r="LV60" i="1"/>
  <c r="LU60" i="1"/>
  <c r="LT60" i="1"/>
  <c r="LL60" i="1"/>
  <c r="LM60" i="1" s="1"/>
  <c r="LE60" i="1"/>
  <c r="LA60" i="1"/>
  <c r="KW60" i="1"/>
  <c r="KS60" i="1"/>
  <c r="KO60" i="1"/>
  <c r="KK60" i="1"/>
  <c r="KG60" i="1"/>
  <c r="KC60" i="1"/>
  <c r="JU60" i="1"/>
  <c r="JQ60" i="1"/>
  <c r="JM60" i="1"/>
  <c r="JI60" i="1"/>
  <c r="JE60" i="1"/>
  <c r="JA60" i="1"/>
  <c r="IW60" i="1"/>
  <c r="IS60" i="1"/>
  <c r="IO60" i="1"/>
  <c r="IK60" i="1"/>
  <c r="IG60" i="1"/>
  <c r="HY60" i="1"/>
  <c r="HU60" i="1"/>
  <c r="HQ60" i="1"/>
  <c r="HM60" i="1"/>
  <c r="HI60" i="1"/>
  <c r="HE60" i="1"/>
  <c r="HA60" i="1"/>
  <c r="GW60" i="1"/>
  <c r="GS60" i="1"/>
  <c r="GO60" i="1"/>
  <c r="GK60" i="1"/>
  <c r="GC60" i="1"/>
  <c r="FY60" i="1"/>
  <c r="FU60" i="1"/>
  <c r="FQ60" i="1"/>
  <c r="FM60" i="1"/>
  <c r="FI60" i="1"/>
  <c r="FE60" i="1"/>
  <c r="FA60" i="1"/>
  <c r="EW60" i="1"/>
  <c r="ES60" i="1"/>
  <c r="EO60" i="1"/>
  <c r="EG60" i="1"/>
  <c r="EC60" i="1"/>
  <c r="DY60" i="1"/>
  <c r="DU60" i="1"/>
  <c r="DQ60" i="1"/>
  <c r="DM60" i="1"/>
  <c r="DI60" i="1"/>
  <c r="DE60" i="1"/>
  <c r="DA60" i="1"/>
  <c r="CW60" i="1"/>
  <c r="CS60" i="1"/>
  <c r="CK60" i="1"/>
  <c r="CG60" i="1"/>
  <c r="CC60" i="1"/>
  <c r="BY60" i="1"/>
  <c r="BU60" i="1"/>
  <c r="BQ60" i="1"/>
  <c r="BM60" i="1"/>
  <c r="BI60" i="1"/>
  <c r="BE60" i="1"/>
  <c r="BA60" i="1"/>
  <c r="AW60" i="1"/>
  <c r="AO60" i="1"/>
  <c r="AK60" i="1"/>
  <c r="AG60" i="1"/>
  <c r="AC60" i="1"/>
  <c r="Y60" i="1"/>
  <c r="U60" i="1"/>
  <c r="Q60" i="1"/>
  <c r="M60" i="1"/>
  <c r="I60" i="1"/>
  <c r="E60" i="1"/>
  <c r="C60" i="1"/>
  <c r="B60" i="1"/>
  <c r="JY60" i="1" s="1"/>
  <c r="MA59" i="1"/>
  <c r="LY59" i="1"/>
  <c r="LX59" i="1"/>
  <c r="LT59" i="1"/>
  <c r="LU59" i="1" s="1"/>
  <c r="LV59" i="1" s="1"/>
  <c r="LL59" i="1"/>
  <c r="LM59" i="1" s="1"/>
  <c r="LE59" i="1"/>
  <c r="LA59" i="1"/>
  <c r="KS59" i="1"/>
  <c r="KO59" i="1"/>
  <c r="KK59" i="1"/>
  <c r="KG59" i="1"/>
  <c r="JU59" i="1"/>
  <c r="JI59" i="1"/>
  <c r="JE59" i="1"/>
  <c r="IW59" i="1"/>
  <c r="IS59" i="1"/>
  <c r="IO59" i="1"/>
  <c r="IK59" i="1"/>
  <c r="HY59" i="1"/>
  <c r="HM59" i="1"/>
  <c r="HI59" i="1"/>
  <c r="HA59" i="1"/>
  <c r="GW59" i="1"/>
  <c r="GS59" i="1"/>
  <c r="GO59" i="1"/>
  <c r="GC59" i="1"/>
  <c r="FQ59" i="1"/>
  <c r="FM59" i="1"/>
  <c r="FE59" i="1"/>
  <c r="FA59" i="1"/>
  <c r="EW59" i="1"/>
  <c r="ES59" i="1"/>
  <c r="EG59" i="1"/>
  <c r="DU59" i="1"/>
  <c r="DQ59" i="1"/>
  <c r="DI59" i="1"/>
  <c r="DE59" i="1"/>
  <c r="DA59" i="1"/>
  <c r="CW59" i="1"/>
  <c r="CK59" i="1"/>
  <c r="BY59" i="1"/>
  <c r="BU59" i="1"/>
  <c r="BM59" i="1"/>
  <c r="BI59" i="1"/>
  <c r="BE59" i="1"/>
  <c r="BA59" i="1"/>
  <c r="AO59" i="1"/>
  <c r="AC59" i="1"/>
  <c r="Y59" i="1"/>
  <c r="Q59" i="1"/>
  <c r="M59" i="1"/>
  <c r="I59" i="1"/>
  <c r="E59" i="1"/>
  <c r="B59" i="1"/>
  <c r="KC59" i="1" s="1"/>
  <c r="MA58" i="1"/>
  <c r="LY58" i="1"/>
  <c r="LX58" i="1"/>
  <c r="LT58" i="1"/>
  <c r="LL58" i="1"/>
  <c r="LM58" i="1" s="1"/>
  <c r="LE58" i="1"/>
  <c r="KW58" i="1"/>
  <c r="KS58" i="1"/>
  <c r="KK58" i="1"/>
  <c r="KG58" i="1"/>
  <c r="JM58" i="1"/>
  <c r="JI58" i="1"/>
  <c r="JA58" i="1"/>
  <c r="IO58" i="1"/>
  <c r="IK58" i="1"/>
  <c r="IG58" i="1"/>
  <c r="IC58" i="1"/>
  <c r="HQ58" i="1"/>
  <c r="HM58" i="1"/>
  <c r="GS58" i="1"/>
  <c r="GO58" i="1"/>
  <c r="GK58" i="1"/>
  <c r="FU58" i="1"/>
  <c r="FQ58" i="1"/>
  <c r="FI58" i="1"/>
  <c r="FE58" i="1"/>
  <c r="EW58" i="1"/>
  <c r="ES58" i="1"/>
  <c r="DY58" i="1"/>
  <c r="DU58" i="1"/>
  <c r="DM58" i="1"/>
  <c r="DA58" i="1"/>
  <c r="CW58" i="1"/>
  <c r="CS58" i="1"/>
  <c r="CO58" i="1"/>
  <c r="CC58" i="1"/>
  <c r="BY58" i="1"/>
  <c r="BE58" i="1"/>
  <c r="BA58" i="1"/>
  <c r="AW58" i="1"/>
  <c r="AG58" i="1"/>
  <c r="AC58" i="1"/>
  <c r="U58" i="1"/>
  <c r="Q58" i="1"/>
  <c r="I58" i="1"/>
  <c r="E58" i="1"/>
  <c r="B58" i="1"/>
  <c r="IW58" i="1" s="1"/>
  <c r="MA57" i="1"/>
  <c r="LY57" i="1"/>
  <c r="LX57" i="1"/>
  <c r="LT57" i="1"/>
  <c r="LM57" i="1"/>
  <c r="LL57" i="1"/>
  <c r="KW57" i="1"/>
  <c r="JQ57" i="1"/>
  <c r="IC57" i="1"/>
  <c r="GW57" i="1"/>
  <c r="GC57" i="1"/>
  <c r="FI57" i="1"/>
  <c r="DE57" i="1"/>
  <c r="AO57" i="1"/>
  <c r="B57" i="1"/>
  <c r="MA56" i="1"/>
  <c r="LY56" i="1"/>
  <c r="LX56" i="1"/>
  <c r="LT56" i="1"/>
  <c r="LU56" i="1" s="1"/>
  <c r="LV56" i="1" s="1"/>
  <c r="LL56" i="1"/>
  <c r="LM56" i="1" s="1"/>
  <c r="LE56" i="1"/>
  <c r="KS56" i="1"/>
  <c r="KO56" i="1"/>
  <c r="KG56" i="1"/>
  <c r="KC56" i="1"/>
  <c r="JU56" i="1"/>
  <c r="JQ56" i="1"/>
  <c r="JM56" i="1"/>
  <c r="JI56" i="1"/>
  <c r="IW56" i="1"/>
  <c r="IS56" i="1"/>
  <c r="IK56" i="1"/>
  <c r="IG56" i="1"/>
  <c r="HY56" i="1"/>
  <c r="HU56" i="1"/>
  <c r="HQ56" i="1"/>
  <c r="HM56" i="1"/>
  <c r="HA56" i="1"/>
  <c r="GW56" i="1"/>
  <c r="GO56" i="1"/>
  <c r="GK56" i="1"/>
  <c r="GC56" i="1"/>
  <c r="FY56" i="1"/>
  <c r="FU56" i="1"/>
  <c r="FQ56" i="1"/>
  <c r="FE56" i="1"/>
  <c r="FA56" i="1"/>
  <c r="ES56" i="1"/>
  <c r="EO56" i="1"/>
  <c r="EG56" i="1"/>
  <c r="EC56" i="1"/>
  <c r="DY56" i="1"/>
  <c r="DU56" i="1"/>
  <c r="DQ56" i="1"/>
  <c r="DI56" i="1"/>
  <c r="DE56" i="1"/>
  <c r="CW56" i="1"/>
  <c r="CS56" i="1"/>
  <c r="CK56" i="1"/>
  <c r="CG56" i="1"/>
  <c r="CC56" i="1"/>
  <c r="BY56" i="1"/>
  <c r="BU56" i="1"/>
  <c r="BM56" i="1"/>
  <c r="BI56" i="1"/>
  <c r="BA56" i="1"/>
  <c r="AW56" i="1"/>
  <c r="AO56" i="1"/>
  <c r="AK56" i="1"/>
  <c r="AG56" i="1"/>
  <c r="AC56" i="1"/>
  <c r="Y56" i="1"/>
  <c r="Q56" i="1"/>
  <c r="M56" i="1"/>
  <c r="E56" i="1"/>
  <c r="C56" i="1"/>
  <c r="B56" i="1"/>
  <c r="LA56" i="1" s="1"/>
  <c r="MA55" i="1"/>
  <c r="LY55" i="1"/>
  <c r="LX55" i="1"/>
  <c r="LT55" i="1"/>
  <c r="LL55" i="1"/>
  <c r="LM55" i="1" s="1"/>
  <c r="LA55" i="1"/>
  <c r="KW55" i="1"/>
  <c r="KK55" i="1"/>
  <c r="KG55" i="1"/>
  <c r="JU55" i="1"/>
  <c r="JM55" i="1"/>
  <c r="JI55" i="1"/>
  <c r="JE55" i="1"/>
  <c r="JA55" i="1"/>
  <c r="IO55" i="1"/>
  <c r="IC55" i="1"/>
  <c r="HY55" i="1"/>
  <c r="HQ55" i="1"/>
  <c r="HM55" i="1"/>
  <c r="HE55" i="1"/>
  <c r="GS55" i="1"/>
  <c r="GO55" i="1"/>
  <c r="GG55" i="1"/>
  <c r="GC55" i="1"/>
  <c r="FU55" i="1"/>
  <c r="FM55" i="1"/>
  <c r="FI55" i="1"/>
  <c r="EW55" i="1"/>
  <c r="ES55" i="1"/>
  <c r="EG55" i="1"/>
  <c r="DY55" i="1"/>
  <c r="DU55" i="1"/>
  <c r="DQ55" i="1"/>
  <c r="DM55" i="1"/>
  <c r="DA55" i="1"/>
  <c r="CO55" i="1"/>
  <c r="CK55" i="1"/>
  <c r="CC55" i="1"/>
  <c r="BY55" i="1"/>
  <c r="BQ55" i="1"/>
  <c r="BE55" i="1"/>
  <c r="BA55" i="1"/>
  <c r="AS55" i="1"/>
  <c r="AO55" i="1"/>
  <c r="AG55" i="1"/>
  <c r="Y55" i="1"/>
  <c r="U55" i="1"/>
  <c r="I55" i="1"/>
  <c r="E55" i="1"/>
  <c r="B55" i="1"/>
  <c r="MA54" i="1"/>
  <c r="LY54" i="1"/>
  <c r="LX54" i="1"/>
  <c r="LT54" i="1"/>
  <c r="LL54" i="1"/>
  <c r="LM54" i="1" s="1"/>
  <c r="LA54" i="1"/>
  <c r="KW54" i="1"/>
  <c r="KS54" i="1"/>
  <c r="KO54" i="1"/>
  <c r="KK54" i="1"/>
  <c r="KC54" i="1"/>
  <c r="JQ54" i="1"/>
  <c r="JM54" i="1"/>
  <c r="JI54" i="1"/>
  <c r="JE54" i="1"/>
  <c r="IW54" i="1"/>
  <c r="IS54" i="1"/>
  <c r="IO54" i="1"/>
  <c r="IG54" i="1"/>
  <c r="IC54" i="1"/>
  <c r="HU54" i="1"/>
  <c r="HM54" i="1"/>
  <c r="HI54" i="1"/>
  <c r="HE54" i="1"/>
  <c r="HA54" i="1"/>
  <c r="GS54" i="1"/>
  <c r="GO54" i="1"/>
  <c r="GK54" i="1"/>
  <c r="GG54" i="1"/>
  <c r="FY54" i="1"/>
  <c r="FU54" i="1"/>
  <c r="FM54" i="1"/>
  <c r="FI54" i="1"/>
  <c r="FE54" i="1"/>
  <c r="FA54" i="1"/>
  <c r="ES54" i="1"/>
  <c r="EO54" i="1"/>
  <c r="EK54" i="1"/>
  <c r="EC54" i="1"/>
  <c r="DY54" i="1"/>
  <c r="DU54" i="1"/>
  <c r="DM54" i="1"/>
  <c r="DI54" i="1"/>
  <c r="DE54" i="1"/>
  <c r="DA54" i="1"/>
  <c r="CS54" i="1"/>
  <c r="CO54" i="1"/>
  <c r="CG54" i="1"/>
  <c r="CC54" i="1"/>
  <c r="BY54" i="1"/>
  <c r="BU54" i="1"/>
  <c r="BM54" i="1"/>
  <c r="BI54" i="1"/>
  <c r="BE54" i="1"/>
  <c r="BA54" i="1"/>
  <c r="AS54" i="1"/>
  <c r="AK54" i="1"/>
  <c r="AG54" i="1"/>
  <c r="AC54" i="1"/>
  <c r="Y54" i="1"/>
  <c r="U54" i="1"/>
  <c r="M54" i="1"/>
  <c r="I54" i="1"/>
  <c r="E54" i="1"/>
  <c r="C54" i="1"/>
  <c r="B54" i="1"/>
  <c r="MA53" i="1"/>
  <c r="LY53" i="1"/>
  <c r="LX53" i="1"/>
  <c r="LT53" i="1"/>
  <c r="LL53" i="1"/>
  <c r="LM53" i="1" s="1"/>
  <c r="LA53" i="1"/>
  <c r="KW53" i="1"/>
  <c r="KO53" i="1"/>
  <c r="KC53" i="1"/>
  <c r="JE53" i="1"/>
  <c r="JA53" i="1"/>
  <c r="IC53" i="1"/>
  <c r="HY53" i="1"/>
  <c r="HQ53" i="1"/>
  <c r="HM53" i="1"/>
  <c r="HI53" i="1"/>
  <c r="HE53" i="1"/>
  <c r="GK53" i="1"/>
  <c r="FM53" i="1"/>
  <c r="FI53" i="1"/>
  <c r="EO53" i="1"/>
  <c r="EK53" i="1"/>
  <c r="EG53" i="1"/>
  <c r="DY53" i="1"/>
  <c r="DQ53" i="1"/>
  <c r="DE53" i="1"/>
  <c r="CO53" i="1"/>
  <c r="BY53" i="1"/>
  <c r="BU53" i="1"/>
  <c r="BI53" i="1"/>
  <c r="AW53" i="1"/>
  <c r="AO53" i="1"/>
  <c r="Y53" i="1"/>
  <c r="U53" i="1"/>
  <c r="M53" i="1"/>
  <c r="C53" i="1"/>
  <c r="B53" i="1"/>
  <c r="JM53" i="1" s="1"/>
  <c r="MA52" i="1"/>
  <c r="LY52" i="1"/>
  <c r="LX52" i="1"/>
  <c r="LT52" i="1"/>
  <c r="LU52" i="1" s="1"/>
  <c r="LV52" i="1" s="1"/>
  <c r="LM52" i="1"/>
  <c r="LL52" i="1"/>
  <c r="LA52" i="1"/>
  <c r="KW52" i="1"/>
  <c r="KS52" i="1"/>
  <c r="KO52" i="1"/>
  <c r="KK52" i="1"/>
  <c r="KG52" i="1"/>
  <c r="JU52" i="1"/>
  <c r="JQ52" i="1"/>
  <c r="JM52" i="1"/>
  <c r="JE52" i="1"/>
  <c r="JA52" i="1"/>
  <c r="IW52" i="1"/>
  <c r="IS52" i="1"/>
  <c r="IO52" i="1"/>
  <c r="IK52" i="1"/>
  <c r="HY52" i="1"/>
  <c r="HU52" i="1"/>
  <c r="HQ52" i="1"/>
  <c r="HI52" i="1"/>
  <c r="HE52" i="1"/>
  <c r="HA52" i="1"/>
  <c r="GW52" i="1"/>
  <c r="GS52" i="1"/>
  <c r="GO52" i="1"/>
  <c r="GC52" i="1"/>
  <c r="FY52" i="1"/>
  <c r="FU52" i="1"/>
  <c r="FM52" i="1"/>
  <c r="FI52" i="1"/>
  <c r="FE52" i="1"/>
  <c r="FA52" i="1"/>
  <c r="EW52" i="1"/>
  <c r="ES52" i="1"/>
  <c r="EG52" i="1"/>
  <c r="EC52" i="1"/>
  <c r="DY52" i="1"/>
  <c r="DQ52" i="1"/>
  <c r="DM52" i="1"/>
  <c r="DI52" i="1"/>
  <c r="DE52" i="1"/>
  <c r="DA52" i="1"/>
  <c r="CW52" i="1"/>
  <c r="CK52" i="1"/>
  <c r="CG52" i="1"/>
  <c r="CC52" i="1"/>
  <c r="BU52" i="1"/>
  <c r="BQ52" i="1"/>
  <c r="BM52" i="1"/>
  <c r="BI52" i="1"/>
  <c r="BE52" i="1"/>
  <c r="BA52" i="1"/>
  <c r="AO52" i="1"/>
  <c r="AK52" i="1"/>
  <c r="AG52" i="1"/>
  <c r="Y52" i="1"/>
  <c r="U52" i="1"/>
  <c r="Q52" i="1"/>
  <c r="M52" i="1"/>
  <c r="I52" i="1"/>
  <c r="E52" i="1"/>
  <c r="B52" i="1"/>
  <c r="KC52" i="1" s="1"/>
  <c r="MA51" i="1"/>
  <c r="LY51" i="1"/>
  <c r="LX51" i="1"/>
  <c r="LU51" i="1"/>
  <c r="LV51" i="1" s="1"/>
  <c r="LT51" i="1"/>
  <c r="LL51" i="1"/>
  <c r="LM51" i="1" s="1"/>
  <c r="KO51" i="1"/>
  <c r="KK51" i="1"/>
  <c r="KG51" i="1"/>
  <c r="JY51" i="1"/>
  <c r="JI51" i="1"/>
  <c r="HQ51" i="1"/>
  <c r="HA51" i="1"/>
  <c r="GW51" i="1"/>
  <c r="GS51" i="1"/>
  <c r="GO51" i="1"/>
  <c r="ES51" i="1"/>
  <c r="EK51" i="1"/>
  <c r="DE51" i="1"/>
  <c r="CO51" i="1"/>
  <c r="BY51" i="1"/>
  <c r="BU51" i="1"/>
  <c r="BE51" i="1"/>
  <c r="BA51" i="1"/>
  <c r="Y51" i="1"/>
  <c r="M51" i="1"/>
  <c r="B51" i="1"/>
  <c r="MA50" i="1"/>
  <c r="LY50" i="1"/>
  <c r="LX50" i="1"/>
  <c r="LU50" i="1"/>
  <c r="LV50" i="1" s="1"/>
  <c r="LT50" i="1"/>
  <c r="MA49" i="1"/>
  <c r="LY49" i="1"/>
  <c r="LX49" i="1"/>
  <c r="LV49" i="1"/>
  <c r="LT49" i="1"/>
  <c r="LU49" i="1" s="1"/>
  <c r="LQ49" i="1"/>
  <c r="LL49" i="1"/>
  <c r="LM49" i="1" s="1"/>
  <c r="LP50" i="1" s="1"/>
  <c r="KW49" i="1"/>
  <c r="KS49" i="1"/>
  <c r="KO49" i="1"/>
  <c r="JY49" i="1"/>
  <c r="JU49" i="1"/>
  <c r="IS49" i="1"/>
  <c r="IC49" i="1"/>
  <c r="HY49" i="1"/>
  <c r="HU49" i="1"/>
  <c r="HQ49" i="1"/>
  <c r="GW49" i="1"/>
  <c r="GO49" i="1"/>
  <c r="FI49" i="1"/>
  <c r="FE49" i="1"/>
  <c r="FA49" i="1"/>
  <c r="ES49" i="1"/>
  <c r="EO49" i="1"/>
  <c r="DI49" i="1"/>
  <c r="CW49" i="1"/>
  <c r="CK49" i="1"/>
  <c r="CG49" i="1"/>
  <c r="CC49" i="1"/>
  <c r="BQ49" i="1"/>
  <c r="BI49" i="1"/>
  <c r="BA49" i="1"/>
  <c r="AG49" i="1"/>
  <c r="U49" i="1"/>
  <c r="E49" i="1"/>
  <c r="B49" i="1"/>
  <c r="MA48" i="1"/>
  <c r="LY48" i="1"/>
  <c r="LX48" i="1"/>
  <c r="LT48" i="1"/>
  <c r="LM48" i="1"/>
  <c r="LL48" i="1"/>
  <c r="LA48" i="1"/>
  <c r="KO48" i="1"/>
  <c r="KK48" i="1"/>
  <c r="KG48" i="1"/>
  <c r="JY48" i="1"/>
  <c r="JU48" i="1"/>
  <c r="JQ48" i="1"/>
  <c r="JM48" i="1"/>
  <c r="JI48" i="1"/>
  <c r="JE48" i="1"/>
  <c r="IS48" i="1"/>
  <c r="IK48" i="1"/>
  <c r="IC48" i="1"/>
  <c r="HY48" i="1"/>
  <c r="HU48" i="1"/>
  <c r="HQ48" i="1"/>
  <c r="HM48" i="1"/>
  <c r="HI48" i="1"/>
  <c r="GW48" i="1"/>
  <c r="GS48" i="1"/>
  <c r="GO48" i="1"/>
  <c r="GG48" i="1"/>
  <c r="FY48" i="1"/>
  <c r="FU48" i="1"/>
  <c r="FQ48" i="1"/>
  <c r="FM48" i="1"/>
  <c r="FA48" i="1"/>
  <c r="EW48" i="1"/>
  <c r="ES48" i="1"/>
  <c r="EK48" i="1"/>
  <c r="EG48" i="1"/>
  <c r="EC48" i="1"/>
  <c r="DY48" i="1"/>
  <c r="DQ48" i="1"/>
  <c r="DE48" i="1"/>
  <c r="DA48" i="1"/>
  <c r="CW48" i="1"/>
  <c r="CO48" i="1"/>
  <c r="CK48" i="1"/>
  <c r="CG48" i="1"/>
  <c r="CC48" i="1"/>
  <c r="BY48" i="1"/>
  <c r="BU48" i="1"/>
  <c r="BI48" i="1"/>
  <c r="BA48" i="1"/>
  <c r="AS48" i="1"/>
  <c r="AO48" i="1"/>
  <c r="AK48" i="1"/>
  <c r="AG48" i="1"/>
  <c r="AC48" i="1"/>
  <c r="Y48" i="1"/>
  <c r="Q48" i="1"/>
  <c r="M48" i="1"/>
  <c r="I48" i="1"/>
  <c r="E48" i="1"/>
  <c r="B48" i="1"/>
  <c r="MA47" i="1"/>
  <c r="LY47" i="1"/>
  <c r="LX47" i="1"/>
  <c r="LT47" i="1"/>
  <c r="LU47" i="1" s="1"/>
  <c r="LV47" i="1" s="1"/>
  <c r="LM47" i="1"/>
  <c r="LL47" i="1"/>
  <c r="GS47" i="1"/>
  <c r="GK47" i="1"/>
  <c r="GG47" i="1"/>
  <c r="FY47" i="1"/>
  <c r="FU47" i="1"/>
  <c r="ES47" i="1"/>
  <c r="AW47" i="1"/>
  <c r="AC47" i="1"/>
  <c r="I47" i="1"/>
  <c r="B47" i="1"/>
  <c r="MA46" i="1"/>
  <c r="LY46" i="1"/>
  <c r="LX46" i="1"/>
  <c r="LT46" i="1"/>
  <c r="LU46" i="1" s="1"/>
  <c r="LV46" i="1" s="1"/>
  <c r="LM46" i="1"/>
  <c r="LL46" i="1"/>
  <c r="LE46" i="1"/>
  <c r="KK46" i="1"/>
  <c r="JE46" i="1"/>
  <c r="IG46" i="1"/>
  <c r="IC46" i="1"/>
  <c r="HI46" i="1"/>
  <c r="HE46" i="1"/>
  <c r="GK46" i="1"/>
  <c r="EO46" i="1"/>
  <c r="DE46" i="1"/>
  <c r="DA46" i="1"/>
  <c r="CO46" i="1"/>
  <c r="CG46" i="1"/>
  <c r="BI46" i="1"/>
  <c r="BE46" i="1"/>
  <c r="AS46" i="1"/>
  <c r="E46" i="1"/>
  <c r="B46" i="1"/>
  <c r="EG46" i="1" s="1"/>
  <c r="MA45" i="1"/>
  <c r="LY45" i="1"/>
  <c r="LX45" i="1"/>
  <c r="LT45" i="1"/>
  <c r="LM45" i="1"/>
  <c r="LL45" i="1"/>
  <c r="LE45" i="1"/>
  <c r="KW45" i="1"/>
  <c r="KS45" i="1"/>
  <c r="KO45" i="1"/>
  <c r="KC45" i="1"/>
  <c r="JU45" i="1"/>
  <c r="JQ45" i="1"/>
  <c r="JM45" i="1"/>
  <c r="JI45" i="1"/>
  <c r="JE45" i="1"/>
  <c r="JA45" i="1"/>
  <c r="IW45" i="1"/>
  <c r="IK45" i="1"/>
  <c r="IC45" i="1"/>
  <c r="HU45" i="1"/>
  <c r="HQ45" i="1"/>
  <c r="HM45" i="1"/>
  <c r="HI45" i="1"/>
  <c r="HE45" i="1"/>
  <c r="HA45" i="1"/>
  <c r="GW45" i="1"/>
  <c r="GO45" i="1"/>
  <c r="GK45" i="1"/>
  <c r="FU45" i="1"/>
  <c r="FQ45" i="1"/>
  <c r="FM45" i="1"/>
  <c r="FI45" i="1"/>
  <c r="FE45" i="1"/>
  <c r="FA45" i="1"/>
  <c r="ES45" i="1"/>
  <c r="EO45" i="1"/>
  <c r="EK45" i="1"/>
  <c r="EC45" i="1"/>
  <c r="DU45" i="1"/>
  <c r="DM45" i="1"/>
  <c r="DI45" i="1"/>
  <c r="DE45" i="1"/>
  <c r="CW45" i="1"/>
  <c r="CS45" i="1"/>
  <c r="CO45" i="1"/>
  <c r="CK45" i="1"/>
  <c r="CC45" i="1"/>
  <c r="BU45" i="1"/>
  <c r="BQ45" i="1"/>
  <c r="BM45" i="1"/>
  <c r="BA45" i="1"/>
  <c r="AW45" i="1"/>
  <c r="AS45" i="1"/>
  <c r="AO45" i="1"/>
  <c r="AK45" i="1"/>
  <c r="AC45" i="1"/>
  <c r="U45" i="1"/>
  <c r="Q45" i="1"/>
  <c r="M45" i="1"/>
  <c r="E45" i="1"/>
  <c r="C45" i="1"/>
  <c r="B45" i="1"/>
  <c r="MA44" i="1"/>
  <c r="LY44" i="1"/>
  <c r="LX44" i="1"/>
  <c r="LU44" i="1"/>
  <c r="LV44" i="1" s="1"/>
  <c r="LT44" i="1"/>
  <c r="LL44" i="1"/>
  <c r="LM44" i="1" s="1"/>
  <c r="JY44" i="1"/>
  <c r="JM44" i="1"/>
  <c r="JI44" i="1"/>
  <c r="JE44" i="1"/>
  <c r="HQ44" i="1"/>
  <c r="HA44" i="1"/>
  <c r="GO44" i="1"/>
  <c r="FU44" i="1"/>
  <c r="DY44" i="1"/>
  <c r="CW44" i="1"/>
  <c r="CC44" i="1"/>
  <c r="AK44" i="1"/>
  <c r="AC44" i="1"/>
  <c r="Y44" i="1"/>
  <c r="U44" i="1"/>
  <c r="Q44" i="1"/>
  <c r="B44" i="1"/>
  <c r="KW44" i="1" s="1"/>
  <c r="MA43" i="1"/>
  <c r="LY43" i="1"/>
  <c r="LX43" i="1"/>
  <c r="LT43" i="1"/>
  <c r="LU43" i="1" s="1"/>
  <c r="LV43" i="1" s="1"/>
  <c r="LQ43" i="1"/>
  <c r="LP43" i="1"/>
  <c r="LO43" i="1"/>
  <c r="LM43" i="1"/>
  <c r="LL43" i="1"/>
  <c r="LE43" i="1"/>
  <c r="KW43" i="1"/>
  <c r="KK43" i="1"/>
  <c r="KC43" i="1"/>
  <c r="JY43" i="1"/>
  <c r="JQ43" i="1"/>
  <c r="JM43" i="1"/>
  <c r="JI43" i="1"/>
  <c r="JE43" i="1"/>
  <c r="IO43" i="1"/>
  <c r="IK43" i="1"/>
  <c r="IC43" i="1"/>
  <c r="HU43" i="1"/>
  <c r="HQ43" i="1"/>
  <c r="HI43" i="1"/>
  <c r="HE43" i="1"/>
  <c r="GW43" i="1"/>
  <c r="GO43" i="1"/>
  <c r="GG43" i="1"/>
  <c r="FY43" i="1"/>
  <c r="FQ43" i="1"/>
  <c r="FM43" i="1"/>
  <c r="FI43" i="1"/>
  <c r="FE43" i="1"/>
  <c r="EW43" i="1"/>
  <c r="EK43" i="1"/>
  <c r="EC43" i="1"/>
  <c r="DU43" i="1"/>
  <c r="DQ43" i="1"/>
  <c r="DI43" i="1"/>
  <c r="DE43" i="1"/>
  <c r="CW43" i="1"/>
  <c r="CO43" i="1"/>
  <c r="CG43" i="1"/>
  <c r="CC43" i="1"/>
  <c r="BY43" i="1"/>
  <c r="BM43" i="1"/>
  <c r="BI43" i="1"/>
  <c r="AW43" i="1"/>
  <c r="AK43" i="1"/>
  <c r="AG43" i="1"/>
  <c r="AC43" i="1"/>
  <c r="Y43" i="1"/>
  <c r="U43" i="1"/>
  <c r="Q43" i="1"/>
  <c r="M43" i="1"/>
  <c r="E43" i="1"/>
  <c r="B43" i="1"/>
  <c r="MA42" i="1"/>
  <c r="LY42" i="1"/>
  <c r="LX42" i="1"/>
  <c r="LT42" i="1"/>
  <c r="LU42" i="1" s="1"/>
  <c r="LV42" i="1" s="1"/>
  <c r="LM42" i="1"/>
  <c r="LL42" i="1"/>
  <c r="KW42" i="1"/>
  <c r="KS42" i="1"/>
  <c r="KO42" i="1"/>
  <c r="JY42" i="1"/>
  <c r="JE42" i="1"/>
  <c r="JA42" i="1"/>
  <c r="IG42" i="1"/>
  <c r="HY42" i="1"/>
  <c r="HE42" i="1"/>
  <c r="GK42" i="1"/>
  <c r="GC42" i="1"/>
  <c r="FY42" i="1"/>
  <c r="FE42" i="1"/>
  <c r="EW42" i="1"/>
  <c r="EO42" i="1"/>
  <c r="EC42" i="1"/>
  <c r="DA42" i="1"/>
  <c r="CG42" i="1"/>
  <c r="BY42" i="1"/>
  <c r="BM42" i="1"/>
  <c r="BA42" i="1"/>
  <c r="AW42" i="1"/>
  <c r="AK42" i="1"/>
  <c r="AC42" i="1"/>
  <c r="C42" i="1"/>
  <c r="B42" i="1"/>
  <c r="HM42" i="1" s="1"/>
  <c r="MA41" i="1"/>
  <c r="LY41" i="1"/>
  <c r="LX41" i="1"/>
  <c r="LT41" i="1"/>
  <c r="LL41" i="1"/>
  <c r="LM41" i="1" s="1"/>
  <c r="JU41" i="1"/>
  <c r="IK41" i="1"/>
  <c r="IC41" i="1"/>
  <c r="HU41" i="1"/>
  <c r="HQ41" i="1"/>
  <c r="HM41" i="1"/>
  <c r="DM41" i="1"/>
  <c r="DI41" i="1"/>
  <c r="DE41" i="1"/>
  <c r="CC41" i="1"/>
  <c r="BM41" i="1"/>
  <c r="BA41" i="1"/>
  <c r="B41" i="1"/>
  <c r="KW41" i="1" s="1"/>
  <c r="MA40" i="1"/>
  <c r="LY40" i="1"/>
  <c r="LX40" i="1"/>
  <c r="LT40" i="1"/>
  <c r="LU40" i="1" s="1"/>
  <c r="LL40" i="1"/>
  <c r="LM40" i="1" s="1"/>
  <c r="KW40" i="1"/>
  <c r="KC40" i="1"/>
  <c r="JM40" i="1"/>
  <c r="JI40" i="1"/>
  <c r="JA40" i="1"/>
  <c r="IG40" i="1"/>
  <c r="HU40" i="1"/>
  <c r="HI40" i="1"/>
  <c r="GS40" i="1"/>
  <c r="GC40" i="1"/>
  <c r="FU40" i="1"/>
  <c r="FQ40" i="1"/>
  <c r="EK40" i="1"/>
  <c r="EC40" i="1"/>
  <c r="DY40" i="1"/>
  <c r="DQ40" i="1"/>
  <c r="CO40" i="1"/>
  <c r="BU40" i="1"/>
  <c r="BM40" i="1"/>
  <c r="BE40" i="1"/>
  <c r="AW40" i="1"/>
  <c r="AK40" i="1"/>
  <c r="AC40" i="1"/>
  <c r="Y40" i="1"/>
  <c r="B40" i="1"/>
  <c r="MA39" i="1"/>
  <c r="LY39" i="1"/>
  <c r="LX39" i="1"/>
  <c r="LT39" i="1"/>
  <c r="LU39" i="1" s="1"/>
  <c r="LV39" i="1" s="1"/>
  <c r="LM39" i="1"/>
  <c r="LL39" i="1"/>
  <c r="LE39" i="1"/>
  <c r="LA39" i="1"/>
  <c r="KW39" i="1"/>
  <c r="KS39" i="1"/>
  <c r="KO39" i="1"/>
  <c r="KK39" i="1"/>
  <c r="KG39" i="1"/>
  <c r="KC39" i="1"/>
  <c r="JU39" i="1"/>
  <c r="JQ39" i="1"/>
  <c r="JM39" i="1"/>
  <c r="JI39" i="1"/>
  <c r="JE39" i="1"/>
  <c r="JA39" i="1"/>
  <c r="IW39" i="1"/>
  <c r="IS39" i="1"/>
  <c r="IO39" i="1"/>
  <c r="IK39" i="1"/>
  <c r="IG39" i="1"/>
  <c r="HY39" i="1"/>
  <c r="HU39" i="1"/>
  <c r="HQ39" i="1"/>
  <c r="HM39" i="1"/>
  <c r="HI39" i="1"/>
  <c r="HE39" i="1"/>
  <c r="HA39" i="1"/>
  <c r="GW39" i="1"/>
  <c r="GS39" i="1"/>
  <c r="GO39" i="1"/>
  <c r="GK39" i="1"/>
  <c r="GC39" i="1"/>
  <c r="FY39" i="1"/>
  <c r="FU39" i="1"/>
  <c r="FQ39" i="1"/>
  <c r="FM39" i="1"/>
  <c r="FI39" i="1"/>
  <c r="FE39" i="1"/>
  <c r="FA39" i="1"/>
  <c r="EW39" i="1"/>
  <c r="ES39" i="1"/>
  <c r="EO39" i="1"/>
  <c r="EG39" i="1"/>
  <c r="EC39" i="1"/>
  <c r="DY39" i="1"/>
  <c r="DU39" i="1"/>
  <c r="DQ39" i="1"/>
  <c r="DM39" i="1"/>
  <c r="DI39" i="1"/>
  <c r="DE39" i="1"/>
  <c r="DA39" i="1"/>
  <c r="CW39" i="1"/>
  <c r="CS39" i="1"/>
  <c r="CK39" i="1"/>
  <c r="CG39" i="1"/>
  <c r="CC39" i="1"/>
  <c r="BY39" i="1"/>
  <c r="BU39" i="1"/>
  <c r="BQ39" i="1"/>
  <c r="BM39" i="1"/>
  <c r="BI39" i="1"/>
  <c r="BE39" i="1"/>
  <c r="BA39" i="1"/>
  <c r="AW39" i="1"/>
  <c r="AO39" i="1"/>
  <c r="AK39" i="1"/>
  <c r="AG39" i="1"/>
  <c r="AC39" i="1"/>
  <c r="Y39" i="1"/>
  <c r="U39" i="1"/>
  <c r="Q39" i="1"/>
  <c r="M39" i="1"/>
  <c r="I39" i="1"/>
  <c r="E39" i="1"/>
  <c r="C39" i="1"/>
  <c r="B39" i="1"/>
  <c r="JY39" i="1" s="1"/>
  <c r="MA38" i="1"/>
  <c r="LY38" i="1"/>
  <c r="LX38" i="1"/>
  <c r="LT38" i="1"/>
  <c r="LL38" i="1"/>
  <c r="LM38" i="1" s="1"/>
  <c r="LA38" i="1"/>
  <c r="KS38" i="1"/>
  <c r="KK38" i="1"/>
  <c r="KG38" i="1"/>
  <c r="KC38" i="1"/>
  <c r="JU38" i="1"/>
  <c r="JM38" i="1"/>
  <c r="JI38" i="1"/>
  <c r="IS38" i="1"/>
  <c r="IO38" i="1"/>
  <c r="IK38" i="1"/>
  <c r="HY38" i="1"/>
  <c r="HM38" i="1"/>
  <c r="HI38" i="1"/>
  <c r="HE38" i="1"/>
  <c r="HA38" i="1"/>
  <c r="GS38" i="1"/>
  <c r="GC38" i="1"/>
  <c r="FU38" i="1"/>
  <c r="FM38" i="1"/>
  <c r="FI38" i="1"/>
  <c r="FE38" i="1"/>
  <c r="FA38" i="1"/>
  <c r="EO38" i="1"/>
  <c r="EK38" i="1"/>
  <c r="EG38" i="1"/>
  <c r="DQ38" i="1"/>
  <c r="DI38" i="1"/>
  <c r="DE38" i="1"/>
  <c r="DA38" i="1"/>
  <c r="CW38" i="1"/>
  <c r="CO38" i="1"/>
  <c r="CK38" i="1"/>
  <c r="CC38" i="1"/>
  <c r="BU38" i="1"/>
  <c r="BE38" i="1"/>
  <c r="BA38" i="1"/>
  <c r="AW38" i="1"/>
  <c r="AO38" i="1"/>
  <c r="AG38" i="1"/>
  <c r="AC38" i="1"/>
  <c r="Y38" i="1"/>
  <c r="U38" i="1"/>
  <c r="Q38" i="1"/>
  <c r="M38" i="1"/>
  <c r="B38" i="1"/>
  <c r="MA37" i="1"/>
  <c r="LY37" i="1"/>
  <c r="LX37" i="1"/>
  <c r="LT37" i="1"/>
  <c r="LU37" i="1" s="1"/>
  <c r="LV37" i="1" s="1"/>
  <c r="LM37" i="1"/>
  <c r="LL37" i="1"/>
  <c r="KW37" i="1"/>
  <c r="KS37" i="1"/>
  <c r="KO37" i="1"/>
  <c r="KG37" i="1"/>
  <c r="KC37" i="1"/>
  <c r="JQ37" i="1"/>
  <c r="IW37" i="1"/>
  <c r="IK37" i="1"/>
  <c r="IG37" i="1"/>
  <c r="IC37" i="1"/>
  <c r="HU37" i="1"/>
  <c r="HI37" i="1"/>
  <c r="HA37" i="1"/>
  <c r="GO37" i="1"/>
  <c r="GG37" i="1"/>
  <c r="FU37" i="1"/>
  <c r="FA37" i="1"/>
  <c r="ES37" i="1"/>
  <c r="EG37" i="1"/>
  <c r="EC37" i="1"/>
  <c r="DY37" i="1"/>
  <c r="DQ37" i="1"/>
  <c r="DM37" i="1"/>
  <c r="CS37" i="1"/>
  <c r="CK37" i="1"/>
  <c r="BM37" i="1"/>
  <c r="BI37" i="1"/>
  <c r="BA37" i="1"/>
  <c r="AS37" i="1"/>
  <c r="AO37" i="1"/>
  <c r="AK37" i="1"/>
  <c r="Y37" i="1"/>
  <c r="I37" i="1"/>
  <c r="B37" i="1"/>
  <c r="IS37" i="1" s="1"/>
  <c r="MA36" i="1"/>
  <c r="LY36" i="1"/>
  <c r="LX36" i="1"/>
  <c r="LT36" i="1"/>
  <c r="LU36" i="1" s="1"/>
  <c r="LV36" i="1" s="1"/>
  <c r="LL36" i="1"/>
  <c r="LM36" i="1" s="1"/>
  <c r="GK36" i="1"/>
  <c r="FY36" i="1"/>
  <c r="B36" i="1"/>
  <c r="GS36" i="1" s="1"/>
  <c r="MA35" i="1"/>
  <c r="LY35" i="1"/>
  <c r="LX35" i="1"/>
  <c r="LV35" i="1"/>
  <c r="LU35" i="1"/>
  <c r="LT35" i="1"/>
  <c r="LL35" i="1"/>
  <c r="LM35" i="1" s="1"/>
  <c r="KW35" i="1"/>
  <c r="KS35" i="1"/>
  <c r="KK35" i="1"/>
  <c r="JQ35" i="1"/>
  <c r="JI35" i="1"/>
  <c r="JE35" i="1"/>
  <c r="HI35" i="1"/>
  <c r="GO35" i="1"/>
  <c r="GK35" i="1"/>
  <c r="GG35" i="1"/>
  <c r="FQ35" i="1"/>
  <c r="EW35" i="1"/>
  <c r="ES35" i="1"/>
  <c r="DM35" i="1"/>
  <c r="CK35" i="1"/>
  <c r="CG35" i="1"/>
  <c r="BU35" i="1"/>
  <c r="BQ35" i="1"/>
  <c r="BE35" i="1"/>
  <c r="AS35" i="1"/>
  <c r="I35" i="1"/>
  <c r="B35" i="1"/>
  <c r="MA34" i="1"/>
  <c r="LY34" i="1"/>
  <c r="LX34" i="1"/>
  <c r="LT34" i="1"/>
  <c r="LL34" i="1"/>
  <c r="LM34" i="1" s="1"/>
  <c r="LE34" i="1"/>
  <c r="LA34" i="1"/>
  <c r="KW34" i="1"/>
  <c r="KS34" i="1"/>
  <c r="JQ34" i="1"/>
  <c r="JM34" i="1"/>
  <c r="JE34" i="1"/>
  <c r="IS34" i="1"/>
  <c r="IG34" i="1"/>
  <c r="IC34" i="1"/>
  <c r="HY34" i="1"/>
  <c r="HM34" i="1"/>
  <c r="HI34" i="1"/>
  <c r="GW34" i="1"/>
  <c r="GG34" i="1"/>
  <c r="FY34" i="1"/>
  <c r="FU34" i="1"/>
  <c r="FE34" i="1"/>
  <c r="EW34" i="1"/>
  <c r="EO34" i="1"/>
  <c r="EG34" i="1"/>
  <c r="DY34" i="1"/>
  <c r="DU34" i="1"/>
  <c r="DQ34" i="1"/>
  <c r="CO34" i="1"/>
  <c r="CG34" i="1"/>
  <c r="CC34" i="1"/>
  <c r="BU34" i="1"/>
  <c r="BQ34" i="1"/>
  <c r="BI34" i="1"/>
  <c r="BE34" i="1"/>
  <c r="AW34" i="1"/>
  <c r="Y34" i="1"/>
  <c r="U34" i="1"/>
  <c r="M34" i="1"/>
  <c r="I34" i="1"/>
  <c r="C34" i="1"/>
  <c r="B34" i="1"/>
  <c r="MA33" i="1"/>
  <c r="LY33" i="1"/>
  <c r="LX33" i="1"/>
  <c r="LT33" i="1"/>
  <c r="MA32" i="1"/>
  <c r="LY32" i="1"/>
  <c r="LX32" i="1"/>
  <c r="LT32" i="1"/>
  <c r="MA31" i="1"/>
  <c r="LY31" i="1"/>
  <c r="LX31" i="1"/>
  <c r="LT31" i="1"/>
  <c r="LL31" i="1"/>
  <c r="LM31" i="1" s="1"/>
  <c r="LA31" i="1"/>
  <c r="KW31" i="1"/>
  <c r="JQ31" i="1"/>
  <c r="JA31" i="1"/>
  <c r="IK31" i="1"/>
  <c r="IG31" i="1"/>
  <c r="IC31" i="1"/>
  <c r="HQ31" i="1"/>
  <c r="HM31" i="1"/>
  <c r="HI31" i="1"/>
  <c r="FU31" i="1"/>
  <c r="FE31" i="1"/>
  <c r="EO31" i="1"/>
  <c r="EK31" i="1"/>
  <c r="EG31" i="1"/>
  <c r="EC31" i="1"/>
  <c r="DU31" i="1"/>
  <c r="DI31" i="1"/>
  <c r="BU31" i="1"/>
  <c r="BM31" i="1"/>
  <c r="BE31" i="1"/>
  <c r="BA31" i="1"/>
  <c r="AS31" i="1"/>
  <c r="AC31" i="1"/>
  <c r="Q31" i="1"/>
  <c r="I31" i="1"/>
  <c r="B31" i="1"/>
  <c r="KC31" i="1" s="1"/>
  <c r="MA30" i="1"/>
  <c r="LY30" i="1"/>
  <c r="LX30" i="1"/>
  <c r="LT30" i="1"/>
  <c r="LM30" i="1"/>
  <c r="LL30" i="1"/>
  <c r="LE30" i="1"/>
  <c r="JU30" i="1"/>
  <c r="JA30" i="1"/>
  <c r="IW30" i="1"/>
  <c r="IO30" i="1"/>
  <c r="HY30" i="1"/>
  <c r="HQ30" i="1"/>
  <c r="HM30" i="1"/>
  <c r="GS30" i="1"/>
  <c r="FQ30" i="1"/>
  <c r="FE30" i="1"/>
  <c r="FA30" i="1"/>
  <c r="EO30" i="1"/>
  <c r="EK30" i="1"/>
  <c r="DY30" i="1"/>
  <c r="DA30" i="1"/>
  <c r="BU30" i="1"/>
  <c r="BQ30" i="1"/>
  <c r="BM30" i="1"/>
  <c r="BI30" i="1"/>
  <c r="BE30" i="1"/>
  <c r="AW30" i="1"/>
  <c r="I30" i="1"/>
  <c r="B30" i="1"/>
  <c r="MA29" i="1"/>
  <c r="LY29" i="1"/>
  <c r="LX29" i="1"/>
  <c r="LT29" i="1"/>
  <c r="LM29" i="1"/>
  <c r="LL29" i="1"/>
  <c r="LE29" i="1"/>
  <c r="LA29" i="1"/>
  <c r="KW29" i="1"/>
  <c r="KS29" i="1"/>
  <c r="KO29" i="1"/>
  <c r="KK29" i="1"/>
  <c r="KG29" i="1"/>
  <c r="KC29" i="1"/>
  <c r="JU29" i="1"/>
  <c r="JQ29" i="1"/>
  <c r="JM29" i="1"/>
  <c r="JI29" i="1"/>
  <c r="JE29" i="1"/>
  <c r="JA29" i="1"/>
  <c r="IW29" i="1"/>
  <c r="IS29" i="1"/>
  <c r="IO29" i="1"/>
  <c r="IK29" i="1"/>
  <c r="IG29" i="1"/>
  <c r="HY29" i="1"/>
  <c r="HU29" i="1"/>
  <c r="HQ29" i="1"/>
  <c r="HM29" i="1"/>
  <c r="HI29" i="1"/>
  <c r="HE29" i="1"/>
  <c r="HA29" i="1"/>
  <c r="GW29" i="1"/>
  <c r="GS29" i="1"/>
  <c r="GO29" i="1"/>
  <c r="GK29" i="1"/>
  <c r="GC29" i="1"/>
  <c r="FY29" i="1"/>
  <c r="FU29" i="1"/>
  <c r="FQ29" i="1"/>
  <c r="FM29" i="1"/>
  <c r="FI29" i="1"/>
  <c r="FE29" i="1"/>
  <c r="FA29" i="1"/>
  <c r="EW29" i="1"/>
  <c r="ES29" i="1"/>
  <c r="EO29" i="1"/>
  <c r="EG29" i="1"/>
  <c r="EC29" i="1"/>
  <c r="DY29" i="1"/>
  <c r="DU29" i="1"/>
  <c r="DQ29" i="1"/>
  <c r="DM29" i="1"/>
  <c r="DI29" i="1"/>
  <c r="DE29" i="1"/>
  <c r="DA29" i="1"/>
  <c r="CW29" i="1"/>
  <c r="CS29" i="1"/>
  <c r="CK29" i="1"/>
  <c r="CG29" i="1"/>
  <c r="CC29" i="1"/>
  <c r="BY29" i="1"/>
  <c r="BU29" i="1"/>
  <c r="BQ29" i="1"/>
  <c r="BM29" i="1"/>
  <c r="BI29" i="1"/>
  <c r="BE29" i="1"/>
  <c r="BA29" i="1"/>
  <c r="AW29" i="1"/>
  <c r="AO29" i="1"/>
  <c r="AK29" i="1"/>
  <c r="AG29" i="1"/>
  <c r="AC29" i="1"/>
  <c r="Y29" i="1"/>
  <c r="U29" i="1"/>
  <c r="Q29" i="1"/>
  <c r="M29" i="1"/>
  <c r="I29" i="1"/>
  <c r="E29" i="1"/>
  <c r="C29" i="1"/>
  <c r="B29" i="1"/>
  <c r="JY29" i="1" s="1"/>
  <c r="MA28" i="1"/>
  <c r="LY28" i="1"/>
  <c r="LX28" i="1"/>
  <c r="LT28" i="1"/>
  <c r="LL28" i="1"/>
  <c r="LM28" i="1" s="1"/>
  <c r="LA28" i="1"/>
  <c r="KG28" i="1"/>
  <c r="JU28" i="1"/>
  <c r="JI28" i="1"/>
  <c r="JA28" i="1"/>
  <c r="IW28" i="1"/>
  <c r="HQ28" i="1"/>
  <c r="GW28" i="1"/>
  <c r="GO28" i="1"/>
  <c r="GG28" i="1"/>
  <c r="FM28" i="1"/>
  <c r="FI28" i="1"/>
  <c r="DI28" i="1"/>
  <c r="DA28" i="1"/>
  <c r="CO28" i="1"/>
  <c r="CK28" i="1"/>
  <c r="CC28" i="1"/>
  <c r="BY28" i="1"/>
  <c r="AS28" i="1"/>
  <c r="Q28" i="1"/>
  <c r="I28" i="1"/>
  <c r="C28" i="1"/>
  <c r="B28" i="1"/>
  <c r="MA27" i="1"/>
  <c r="LY27" i="1"/>
  <c r="LX27" i="1"/>
  <c r="LT27" i="1"/>
  <c r="LU27" i="1" s="1"/>
  <c r="LV27" i="1" s="1"/>
  <c r="LL27" i="1"/>
  <c r="LM27" i="1" s="1"/>
  <c r="LA27" i="1"/>
  <c r="IG27" i="1"/>
  <c r="IC27" i="1"/>
  <c r="HQ27" i="1"/>
  <c r="HE27" i="1"/>
  <c r="GW27" i="1"/>
  <c r="GS27" i="1"/>
  <c r="FM27" i="1"/>
  <c r="DM27" i="1"/>
  <c r="DE27" i="1"/>
  <c r="CG27" i="1"/>
  <c r="BU27" i="1"/>
  <c r="BE27" i="1"/>
  <c r="BA27" i="1"/>
  <c r="AS27" i="1"/>
  <c r="B27" i="1"/>
  <c r="KO27" i="1" s="1"/>
  <c r="MA26" i="1"/>
  <c r="LY26" i="1"/>
  <c r="LX26" i="1"/>
  <c r="LU26" i="1"/>
  <c r="LV26" i="1" s="1"/>
  <c r="LT26" i="1"/>
  <c r="LM26" i="1"/>
  <c r="LL26" i="1"/>
  <c r="JI26" i="1"/>
  <c r="JE26" i="1"/>
  <c r="IO26" i="1"/>
  <c r="HM26" i="1"/>
  <c r="GW26" i="1"/>
  <c r="DA26" i="1"/>
  <c r="CW26" i="1"/>
  <c r="CS26" i="1"/>
  <c r="CO26" i="1"/>
  <c r="B26" i="1"/>
  <c r="LE26" i="1" s="1"/>
  <c r="MA25" i="1"/>
  <c r="LY25" i="1"/>
  <c r="LX25" i="1"/>
  <c r="LV25" i="1"/>
  <c r="LU25" i="1"/>
  <c r="LT25" i="1"/>
  <c r="LL25" i="1"/>
  <c r="LM25" i="1" s="1"/>
  <c r="LA25" i="1"/>
  <c r="KK25" i="1"/>
  <c r="KC25" i="1"/>
  <c r="JI25" i="1"/>
  <c r="IK25" i="1"/>
  <c r="IG25" i="1"/>
  <c r="HU25" i="1"/>
  <c r="HM25" i="1"/>
  <c r="GC25" i="1"/>
  <c r="FM25" i="1"/>
  <c r="FI25" i="1"/>
  <c r="FE25" i="1"/>
  <c r="EW25" i="1"/>
  <c r="ES25" i="1"/>
  <c r="EK25" i="1"/>
  <c r="DA25" i="1"/>
  <c r="CK25" i="1"/>
  <c r="CC25" i="1"/>
  <c r="BY25" i="1"/>
  <c r="BU25" i="1"/>
  <c r="BE25" i="1"/>
  <c r="AG25" i="1"/>
  <c r="Y25" i="1"/>
  <c r="U25" i="1"/>
  <c r="E25" i="1"/>
  <c r="B25" i="1"/>
  <c r="HI25" i="1" s="1"/>
  <c r="MA24" i="1"/>
  <c r="LY24" i="1"/>
  <c r="LX24" i="1"/>
  <c r="LT24" i="1"/>
  <c r="LM24" i="1"/>
  <c r="LO25" i="1" s="1"/>
  <c r="LL24" i="1"/>
  <c r="LE24" i="1"/>
  <c r="KW24" i="1"/>
  <c r="KS24" i="1"/>
  <c r="KO24" i="1"/>
  <c r="KK24" i="1"/>
  <c r="KC24" i="1"/>
  <c r="JY24" i="1"/>
  <c r="JU24" i="1"/>
  <c r="JQ24" i="1"/>
  <c r="JM24" i="1"/>
  <c r="JI24" i="1"/>
  <c r="JE24" i="1"/>
  <c r="IW24" i="1"/>
  <c r="IS24" i="1"/>
  <c r="IO24" i="1"/>
  <c r="IG24" i="1"/>
  <c r="IC24" i="1"/>
  <c r="HY24" i="1"/>
  <c r="HU24" i="1"/>
  <c r="HQ24" i="1"/>
  <c r="HM24" i="1"/>
  <c r="HI24" i="1"/>
  <c r="HE24" i="1"/>
  <c r="GW24" i="1"/>
  <c r="GS24" i="1"/>
  <c r="GK24" i="1"/>
  <c r="GG24" i="1"/>
  <c r="GC24" i="1"/>
  <c r="FY24" i="1"/>
  <c r="FU24" i="1"/>
  <c r="FQ24" i="1"/>
  <c r="FM24" i="1"/>
  <c r="FI24" i="1"/>
  <c r="FE24" i="1"/>
  <c r="EW24" i="1"/>
  <c r="EO24" i="1"/>
  <c r="EK24" i="1"/>
  <c r="EG24" i="1"/>
  <c r="EC24" i="1"/>
  <c r="DY24" i="1"/>
  <c r="DU24" i="1"/>
  <c r="DQ24" i="1"/>
  <c r="DM24" i="1"/>
  <c r="DI24" i="1"/>
  <c r="DE24" i="1"/>
  <c r="CS24" i="1"/>
  <c r="CO24" i="1"/>
  <c r="CK24" i="1"/>
  <c r="CG24" i="1"/>
  <c r="CC24" i="1"/>
  <c r="BY24" i="1"/>
  <c r="BU24" i="1"/>
  <c r="BQ24" i="1"/>
  <c r="BM24" i="1"/>
  <c r="BI24" i="1"/>
  <c r="BE24" i="1"/>
  <c r="AS24" i="1"/>
  <c r="AO24" i="1"/>
  <c r="AK24" i="1"/>
  <c r="AG24" i="1"/>
  <c r="AC24" i="1"/>
  <c r="Y24" i="1"/>
  <c r="U24" i="1"/>
  <c r="Q24" i="1"/>
  <c r="M24" i="1"/>
  <c r="I24" i="1"/>
  <c r="C24" i="1"/>
  <c r="B24" i="1"/>
  <c r="MA23" i="1"/>
  <c r="LY23" i="1"/>
  <c r="LX23" i="1"/>
  <c r="LT23" i="1"/>
  <c r="LM23" i="1"/>
  <c r="LP24" i="1" s="1"/>
  <c r="LL23" i="1"/>
  <c r="LA23" i="1"/>
  <c r="KS23" i="1"/>
  <c r="KO23" i="1"/>
  <c r="KK23" i="1"/>
  <c r="KG23" i="1"/>
  <c r="KC23" i="1"/>
  <c r="JU23" i="1"/>
  <c r="JM23" i="1"/>
  <c r="IW23" i="1"/>
  <c r="IS23" i="1"/>
  <c r="IO23" i="1"/>
  <c r="IG23" i="1"/>
  <c r="IC23" i="1"/>
  <c r="HY23" i="1"/>
  <c r="HU23" i="1"/>
  <c r="HQ23" i="1"/>
  <c r="HE23" i="1"/>
  <c r="GW23" i="1"/>
  <c r="GO23" i="1"/>
  <c r="GK23" i="1"/>
  <c r="GG23" i="1"/>
  <c r="FY23" i="1"/>
  <c r="FU23" i="1"/>
  <c r="FM23" i="1"/>
  <c r="FI23" i="1"/>
  <c r="EW23" i="1"/>
  <c r="ES23" i="1"/>
  <c r="EO23" i="1"/>
  <c r="EG23" i="1"/>
  <c r="EC23" i="1"/>
  <c r="DY23" i="1"/>
  <c r="DM23" i="1"/>
  <c r="DI23" i="1"/>
  <c r="DE23" i="1"/>
  <c r="CS23" i="1"/>
  <c r="CO23" i="1"/>
  <c r="CK23" i="1"/>
  <c r="CG23" i="1"/>
  <c r="BU23" i="1"/>
  <c r="BQ23" i="1"/>
  <c r="BM23" i="1"/>
  <c r="BE23" i="1"/>
  <c r="AW23" i="1"/>
  <c r="AO23" i="1"/>
  <c r="AK23" i="1"/>
  <c r="AG23" i="1"/>
  <c r="Y23" i="1"/>
  <c r="U23" i="1"/>
  <c r="M23" i="1"/>
  <c r="I23" i="1"/>
  <c r="E23" i="1"/>
  <c r="B23" i="1"/>
  <c r="MA22" i="1"/>
  <c r="LY22" i="1"/>
  <c r="LX22" i="1"/>
  <c r="LT22" i="1"/>
  <c r="LU22" i="1" s="1"/>
  <c r="LL22" i="1"/>
  <c r="LM22" i="1" s="1"/>
  <c r="JY22" i="1"/>
  <c r="JU22" i="1"/>
  <c r="FY22" i="1"/>
  <c r="FU22" i="1"/>
  <c r="CS22" i="1"/>
  <c r="CO22" i="1"/>
  <c r="B22" i="1"/>
  <c r="IC22" i="1" s="1"/>
  <c r="MA21" i="1"/>
  <c r="LY21" i="1"/>
  <c r="LX21" i="1"/>
  <c r="LU21" i="1"/>
  <c r="LV21" i="1" s="1"/>
  <c r="LT21" i="1"/>
  <c r="LM21" i="1"/>
  <c r="LL21" i="1"/>
  <c r="B21" i="1"/>
  <c r="KW21" i="1" s="1"/>
  <c r="MA20" i="1"/>
  <c r="LY20" i="1"/>
  <c r="LX20" i="1"/>
  <c r="LV20" i="1"/>
  <c r="LU20" i="1"/>
  <c r="LT20" i="1"/>
  <c r="LL20" i="1"/>
  <c r="LM20" i="1" s="1"/>
  <c r="LQ23" i="1" s="1"/>
  <c r="LE20" i="1"/>
  <c r="LA20" i="1"/>
  <c r="KW20" i="1"/>
  <c r="KS20" i="1"/>
  <c r="JA20" i="1"/>
  <c r="IS20" i="1"/>
  <c r="IO20" i="1"/>
  <c r="IC20" i="1"/>
  <c r="HY20" i="1"/>
  <c r="HU20" i="1"/>
  <c r="HA20" i="1"/>
  <c r="GS20" i="1"/>
  <c r="FU20" i="1"/>
  <c r="FM20" i="1"/>
  <c r="EO20" i="1"/>
  <c r="EC20" i="1"/>
  <c r="DY20" i="1"/>
  <c r="DU20" i="1"/>
  <c r="DQ20" i="1"/>
  <c r="DM20" i="1"/>
  <c r="BU20" i="1"/>
  <c r="BM20" i="1"/>
  <c r="BI20" i="1"/>
  <c r="BE20" i="1"/>
  <c r="AW20" i="1"/>
  <c r="AS20" i="1"/>
  <c r="U20" i="1"/>
  <c r="M20" i="1"/>
  <c r="B20" i="1"/>
  <c r="IW20" i="1" s="1"/>
  <c r="MA19" i="1"/>
  <c r="LY19" i="1"/>
  <c r="LX19" i="1"/>
  <c r="LT19" i="1"/>
  <c r="LL19" i="1"/>
  <c r="LM19" i="1" s="1"/>
  <c r="LE19" i="1"/>
  <c r="LA19" i="1"/>
  <c r="KW19" i="1"/>
  <c r="KS19" i="1"/>
  <c r="KO19" i="1"/>
  <c r="KK19" i="1"/>
  <c r="KG19" i="1"/>
  <c r="KC19" i="1"/>
  <c r="JU19" i="1"/>
  <c r="JQ19" i="1"/>
  <c r="JM19" i="1"/>
  <c r="JI19" i="1"/>
  <c r="JE19" i="1"/>
  <c r="JA19" i="1"/>
  <c r="IW19" i="1"/>
  <c r="IS19" i="1"/>
  <c r="IO19" i="1"/>
  <c r="IK19" i="1"/>
  <c r="IG19" i="1"/>
  <c r="HY19" i="1"/>
  <c r="HU19" i="1"/>
  <c r="HQ19" i="1"/>
  <c r="HM19" i="1"/>
  <c r="HI19" i="1"/>
  <c r="HE19" i="1"/>
  <c r="HA19" i="1"/>
  <c r="GW19" i="1"/>
  <c r="GS19" i="1"/>
  <c r="GO19" i="1"/>
  <c r="GK19" i="1"/>
  <c r="GC19" i="1"/>
  <c r="FY19" i="1"/>
  <c r="FU19" i="1"/>
  <c r="FQ19" i="1"/>
  <c r="FM19" i="1"/>
  <c r="FI19" i="1"/>
  <c r="FE19" i="1"/>
  <c r="FA19" i="1"/>
  <c r="EW19" i="1"/>
  <c r="ES19" i="1"/>
  <c r="EO19" i="1"/>
  <c r="EG19" i="1"/>
  <c r="EC19" i="1"/>
  <c r="DY19" i="1"/>
  <c r="DU19" i="1"/>
  <c r="DQ19" i="1"/>
  <c r="DM19" i="1"/>
  <c r="DI19" i="1"/>
  <c r="DE19" i="1"/>
  <c r="DA19" i="1"/>
  <c r="CW19" i="1"/>
  <c r="CS19" i="1"/>
  <c r="CK19" i="1"/>
  <c r="CG19" i="1"/>
  <c r="CC19" i="1"/>
  <c r="BY19" i="1"/>
  <c r="BU19" i="1"/>
  <c r="BQ19" i="1"/>
  <c r="BM19" i="1"/>
  <c r="BI19" i="1"/>
  <c r="BE19" i="1"/>
  <c r="BA19" i="1"/>
  <c r="AW19" i="1"/>
  <c r="AO19" i="1"/>
  <c r="AK19" i="1"/>
  <c r="AG19" i="1"/>
  <c r="AC19" i="1"/>
  <c r="Y19" i="1"/>
  <c r="U19" i="1"/>
  <c r="Q19" i="1"/>
  <c r="M19" i="1"/>
  <c r="I19" i="1"/>
  <c r="E19" i="1"/>
  <c r="C19" i="1"/>
  <c r="B19" i="1"/>
  <c r="JY19" i="1" s="1"/>
  <c r="MA18" i="1"/>
  <c r="LY18" i="1"/>
  <c r="LX18" i="1"/>
  <c r="LT18" i="1"/>
  <c r="LL18" i="1"/>
  <c r="LM18" i="1" s="1"/>
  <c r="KW18" i="1"/>
  <c r="KO18" i="1"/>
  <c r="KG18" i="1"/>
  <c r="JY18" i="1"/>
  <c r="JU18" i="1"/>
  <c r="JM18" i="1"/>
  <c r="JI18" i="1"/>
  <c r="JA18" i="1"/>
  <c r="IS18" i="1"/>
  <c r="IO18" i="1"/>
  <c r="IG18" i="1"/>
  <c r="HY18" i="1"/>
  <c r="HM18" i="1"/>
  <c r="HI18" i="1"/>
  <c r="HA18" i="1"/>
  <c r="GW18" i="1"/>
  <c r="GO18" i="1"/>
  <c r="GK18" i="1"/>
  <c r="GG18" i="1"/>
  <c r="FU18" i="1"/>
  <c r="FM18" i="1"/>
  <c r="FA18" i="1"/>
  <c r="EW18" i="1"/>
  <c r="ES18" i="1"/>
  <c r="EK18" i="1"/>
  <c r="EG18" i="1"/>
  <c r="DY18" i="1"/>
  <c r="DU18" i="1"/>
  <c r="DM18" i="1"/>
  <c r="DA18" i="1"/>
  <c r="CS18" i="1"/>
  <c r="CO18" i="1"/>
  <c r="CG18" i="1"/>
  <c r="CC18" i="1"/>
  <c r="BY18" i="1"/>
  <c r="BU18" i="1"/>
  <c r="BQ18" i="1"/>
  <c r="BE18" i="1"/>
  <c r="AW18" i="1"/>
  <c r="AO18" i="1"/>
  <c r="AG18" i="1"/>
  <c r="AC18" i="1"/>
  <c r="Y18" i="1"/>
  <c r="U18" i="1"/>
  <c r="Q18" i="1"/>
  <c r="I18" i="1"/>
  <c r="C18" i="1"/>
  <c r="B18" i="1"/>
  <c r="KC18" i="1" s="1"/>
  <c r="MA17" i="1"/>
  <c r="LY17" i="1"/>
  <c r="LX17" i="1"/>
  <c r="LT17" i="1"/>
  <c r="LU17" i="1" s="1"/>
  <c r="LL17" i="1"/>
  <c r="LM17" i="1" s="1"/>
  <c r="LQ19" i="1" s="1"/>
  <c r="LE17" i="1"/>
  <c r="IC17" i="1"/>
  <c r="HY17" i="1"/>
  <c r="FI17" i="1"/>
  <c r="EK17" i="1"/>
  <c r="BQ17" i="1"/>
  <c r="BM17" i="1"/>
  <c r="B17" i="1"/>
  <c r="JY17" i="1" s="1"/>
  <c r="MA16" i="1"/>
  <c r="LY16" i="1"/>
  <c r="LX16" i="1"/>
  <c r="LU16" i="1"/>
  <c r="LV16" i="1" s="1"/>
  <c r="LT16" i="1"/>
  <c r="LL16" i="1"/>
  <c r="LM16" i="1" s="1"/>
  <c r="LE16" i="1"/>
  <c r="LA16" i="1"/>
  <c r="KW16" i="1"/>
  <c r="KS16" i="1"/>
  <c r="KO16" i="1"/>
  <c r="KK16" i="1"/>
  <c r="KG16" i="1"/>
  <c r="KC16" i="1"/>
  <c r="JU16" i="1"/>
  <c r="JQ16" i="1"/>
  <c r="JM16" i="1"/>
  <c r="JI16" i="1"/>
  <c r="JE16" i="1"/>
  <c r="JA16" i="1"/>
  <c r="IW16" i="1"/>
  <c r="IS16" i="1"/>
  <c r="IO16" i="1"/>
  <c r="IK16" i="1"/>
  <c r="IG16" i="1"/>
  <c r="HY16" i="1"/>
  <c r="HU16" i="1"/>
  <c r="HQ16" i="1"/>
  <c r="HM16" i="1"/>
  <c r="HI16" i="1"/>
  <c r="HE16" i="1"/>
  <c r="HA16" i="1"/>
  <c r="GW16" i="1"/>
  <c r="GS16" i="1"/>
  <c r="GO16" i="1"/>
  <c r="GK16" i="1"/>
  <c r="GC16" i="1"/>
  <c r="FY16" i="1"/>
  <c r="FU16" i="1"/>
  <c r="FQ16" i="1"/>
  <c r="FM16" i="1"/>
  <c r="FI16" i="1"/>
  <c r="FE16" i="1"/>
  <c r="FA16" i="1"/>
  <c r="EW16" i="1"/>
  <c r="ES16" i="1"/>
  <c r="EO16" i="1"/>
  <c r="EG16" i="1"/>
  <c r="EC16" i="1"/>
  <c r="DY16" i="1"/>
  <c r="DU16" i="1"/>
  <c r="DQ16" i="1"/>
  <c r="DM16" i="1"/>
  <c r="DI16" i="1"/>
  <c r="DE16" i="1"/>
  <c r="DA16" i="1"/>
  <c r="CW16" i="1"/>
  <c r="CS16" i="1"/>
  <c r="CK16" i="1"/>
  <c r="CG16" i="1"/>
  <c r="CC16" i="1"/>
  <c r="BY16" i="1"/>
  <c r="BU16" i="1"/>
  <c r="BQ16" i="1"/>
  <c r="BM16" i="1"/>
  <c r="BI16" i="1"/>
  <c r="BE16" i="1"/>
  <c r="BA16" i="1"/>
  <c r="AW16" i="1"/>
  <c r="AO16" i="1"/>
  <c r="AK16" i="1"/>
  <c r="AG16" i="1"/>
  <c r="AC16" i="1"/>
  <c r="Y16" i="1"/>
  <c r="U16" i="1"/>
  <c r="Q16" i="1"/>
  <c r="M16" i="1"/>
  <c r="I16" i="1"/>
  <c r="E16" i="1"/>
  <c r="C16" i="1"/>
  <c r="B16" i="1"/>
  <c r="JY16" i="1" s="1"/>
  <c r="MA15" i="1"/>
  <c r="LY15" i="1"/>
  <c r="LX15" i="1"/>
  <c r="LT15" i="1"/>
  <c r="LL15" i="1"/>
  <c r="LM15" i="1" s="1"/>
  <c r="KW15" i="1"/>
  <c r="IG15" i="1"/>
  <c r="IC15" i="1"/>
  <c r="HY15" i="1"/>
  <c r="FE15" i="1"/>
  <c r="FA15" i="1"/>
  <c r="EK15" i="1"/>
  <c r="BM15" i="1"/>
  <c r="BI15" i="1"/>
  <c r="BE15" i="1"/>
  <c r="B15" i="1"/>
  <c r="KG15" i="1" s="1"/>
  <c r="MA14" i="1"/>
  <c r="LY14" i="1"/>
  <c r="LX14" i="1"/>
  <c r="LT14" i="1"/>
  <c r="LL14" i="1"/>
  <c r="LM14" i="1" s="1"/>
  <c r="LA14" i="1"/>
  <c r="KW14" i="1"/>
  <c r="KC14" i="1"/>
  <c r="JU14" i="1"/>
  <c r="JQ14" i="1"/>
  <c r="JM14" i="1"/>
  <c r="IW14" i="1"/>
  <c r="IS14" i="1"/>
  <c r="HQ14" i="1"/>
  <c r="HI14" i="1"/>
  <c r="HE14" i="1"/>
  <c r="HA14" i="1"/>
  <c r="GW14" i="1"/>
  <c r="GS14" i="1"/>
  <c r="GO14" i="1"/>
  <c r="FE14" i="1"/>
  <c r="FA14" i="1"/>
  <c r="ES14" i="1"/>
  <c r="EO14" i="1"/>
  <c r="EK14" i="1"/>
  <c r="DM14" i="1"/>
  <c r="DE14" i="1"/>
  <c r="DA14" i="1"/>
  <c r="CW14" i="1"/>
  <c r="CK14" i="1"/>
  <c r="CC14" i="1"/>
  <c r="BA14" i="1"/>
  <c r="AW14" i="1"/>
  <c r="AS14" i="1"/>
  <c r="AO14" i="1"/>
  <c r="AK14" i="1"/>
  <c r="Y14" i="1"/>
  <c r="U14" i="1"/>
  <c r="B14" i="1"/>
  <c r="HY14" i="1" s="1"/>
  <c r="MA13" i="1"/>
  <c r="LY13" i="1"/>
  <c r="LX13" i="1"/>
  <c r="LT13" i="1"/>
  <c r="LM13" i="1"/>
  <c r="LL13" i="1"/>
  <c r="LE13" i="1"/>
  <c r="LA13" i="1"/>
  <c r="KS13" i="1"/>
  <c r="KK13" i="1"/>
  <c r="KG13" i="1"/>
  <c r="KC13" i="1"/>
  <c r="JY13" i="1"/>
  <c r="JQ13" i="1"/>
  <c r="JM13" i="1"/>
  <c r="JI13" i="1"/>
  <c r="JE13" i="1"/>
  <c r="IW13" i="1"/>
  <c r="IS13" i="1"/>
  <c r="IK13" i="1"/>
  <c r="IG13" i="1"/>
  <c r="IC13" i="1"/>
  <c r="HY13" i="1"/>
  <c r="HU13" i="1"/>
  <c r="HM13" i="1"/>
  <c r="HI13" i="1"/>
  <c r="HA13" i="1"/>
  <c r="GW13" i="1"/>
  <c r="GS13" i="1"/>
  <c r="GK13" i="1"/>
  <c r="GG13" i="1"/>
  <c r="GC13" i="1"/>
  <c r="FY13" i="1"/>
  <c r="FU13" i="1"/>
  <c r="FQ13" i="1"/>
  <c r="FE13" i="1"/>
  <c r="FA13" i="1"/>
  <c r="EW13" i="1"/>
  <c r="ES13" i="1"/>
  <c r="EK13" i="1"/>
  <c r="EG13" i="1"/>
  <c r="EC13" i="1"/>
  <c r="DY13" i="1"/>
  <c r="DU13" i="1"/>
  <c r="DQ13" i="1"/>
  <c r="DI13" i="1"/>
  <c r="DA13" i="1"/>
  <c r="CW13" i="1"/>
  <c r="CS13" i="1"/>
  <c r="CK13" i="1"/>
  <c r="CG13" i="1"/>
  <c r="CC13" i="1"/>
  <c r="BY13" i="1"/>
  <c r="BU13" i="1"/>
  <c r="BM13" i="1"/>
  <c r="BI13" i="1"/>
  <c r="BE13" i="1"/>
  <c r="AW13" i="1"/>
  <c r="AS13" i="1"/>
  <c r="AK13" i="1"/>
  <c r="AG13" i="1"/>
  <c r="AC13" i="1"/>
  <c r="Y13" i="1"/>
  <c r="Q13" i="1"/>
  <c r="M13" i="1"/>
  <c r="I13" i="1"/>
  <c r="E13" i="1"/>
  <c r="C13" i="1"/>
  <c r="B13" i="1"/>
  <c r="MA12" i="1"/>
  <c r="LY12" i="1"/>
  <c r="LX12" i="1"/>
  <c r="LT12" i="1"/>
  <c r="LL12" i="1"/>
  <c r="LM12" i="1" s="1"/>
  <c r="IG12" i="1"/>
  <c r="IC12" i="1"/>
  <c r="HY12" i="1"/>
  <c r="FM12" i="1"/>
  <c r="FI12" i="1"/>
  <c r="EW12" i="1"/>
  <c r="BU12" i="1"/>
  <c r="BQ12" i="1"/>
  <c r="BM12" i="1"/>
  <c r="B12" i="1"/>
  <c r="JY12" i="1" s="1"/>
  <c r="MA11" i="1"/>
  <c r="LY11" i="1"/>
  <c r="LX11" i="1"/>
  <c r="LT11" i="1"/>
  <c r="LL11" i="1"/>
  <c r="LM11" i="1" s="1"/>
  <c r="LE11" i="1"/>
  <c r="LA11" i="1"/>
  <c r="KW11" i="1"/>
  <c r="KS11" i="1"/>
  <c r="JY11" i="1"/>
  <c r="JQ11" i="1"/>
  <c r="JI11" i="1"/>
  <c r="IW11" i="1"/>
  <c r="IS11" i="1"/>
  <c r="HU11" i="1"/>
  <c r="HI11" i="1"/>
  <c r="HE11" i="1"/>
  <c r="HA11" i="1"/>
  <c r="GW11" i="1"/>
  <c r="GS11" i="1"/>
  <c r="GK11" i="1"/>
  <c r="FE11" i="1"/>
  <c r="FA11" i="1"/>
  <c r="EO11" i="1"/>
  <c r="EK11" i="1"/>
  <c r="EG11" i="1"/>
  <c r="EC11" i="1"/>
  <c r="DI11" i="1"/>
  <c r="DA11" i="1"/>
  <c r="CS11" i="1"/>
  <c r="CG11" i="1"/>
  <c r="CC11" i="1"/>
  <c r="BE11" i="1"/>
  <c r="AS11" i="1"/>
  <c r="AO11" i="1"/>
  <c r="AK11" i="1"/>
  <c r="AG11" i="1"/>
  <c r="AC11" i="1"/>
  <c r="Y11" i="1"/>
  <c r="B11" i="1"/>
  <c r="IO11" i="1" s="1"/>
  <c r="MA10" i="1"/>
  <c r="LY10" i="1"/>
  <c r="LX10" i="1"/>
  <c r="LT10" i="1"/>
  <c r="LL10" i="1"/>
  <c r="LM10" i="1" s="1"/>
  <c r="LO12" i="1" s="1"/>
  <c r="LE10" i="1"/>
  <c r="LA10" i="1"/>
  <c r="KW10" i="1"/>
  <c r="KS10" i="1"/>
  <c r="KO10" i="1"/>
  <c r="KK10" i="1"/>
  <c r="KG10" i="1"/>
  <c r="KC10" i="1"/>
  <c r="JU10" i="1"/>
  <c r="JQ10" i="1"/>
  <c r="JM10" i="1"/>
  <c r="JI10" i="1"/>
  <c r="JE10" i="1"/>
  <c r="JA10" i="1"/>
  <c r="IW10" i="1"/>
  <c r="IS10" i="1"/>
  <c r="IO10" i="1"/>
  <c r="IK10" i="1"/>
  <c r="IG10" i="1"/>
  <c r="HY10" i="1"/>
  <c r="HU10" i="1"/>
  <c r="HQ10" i="1"/>
  <c r="HM10" i="1"/>
  <c r="HI10" i="1"/>
  <c r="HE10" i="1"/>
  <c r="HA10" i="1"/>
  <c r="GW10" i="1"/>
  <c r="GS10" i="1"/>
  <c r="GO10" i="1"/>
  <c r="GK10" i="1"/>
  <c r="GC10" i="1"/>
  <c r="FY10" i="1"/>
  <c r="FU10" i="1"/>
  <c r="FQ10" i="1"/>
  <c r="FM10" i="1"/>
  <c r="FI10" i="1"/>
  <c r="FE10" i="1"/>
  <c r="FA10" i="1"/>
  <c r="EW10" i="1"/>
  <c r="ES10" i="1"/>
  <c r="EO10" i="1"/>
  <c r="EG10" i="1"/>
  <c r="EC10" i="1"/>
  <c r="DY10" i="1"/>
  <c r="DU10" i="1"/>
  <c r="DQ10" i="1"/>
  <c r="DM10" i="1"/>
  <c r="DI10" i="1"/>
  <c r="DE10" i="1"/>
  <c r="DA10" i="1"/>
  <c r="CW10" i="1"/>
  <c r="CS10" i="1"/>
  <c r="CK10" i="1"/>
  <c r="CG10" i="1"/>
  <c r="CC10" i="1"/>
  <c r="BY10" i="1"/>
  <c r="BU10" i="1"/>
  <c r="BQ10" i="1"/>
  <c r="BM10" i="1"/>
  <c r="BI10" i="1"/>
  <c r="BE10" i="1"/>
  <c r="BA10" i="1"/>
  <c r="AW10" i="1"/>
  <c r="AO10" i="1"/>
  <c r="AK10" i="1"/>
  <c r="AG10" i="1"/>
  <c r="AC10" i="1"/>
  <c r="Y10" i="1"/>
  <c r="U10" i="1"/>
  <c r="Q10" i="1"/>
  <c r="M10" i="1"/>
  <c r="I10" i="1"/>
  <c r="E10" i="1"/>
  <c r="C10" i="1"/>
  <c r="B10" i="1"/>
  <c r="JY10" i="1" s="1"/>
  <c r="MA9" i="1"/>
  <c r="LY9" i="1"/>
  <c r="LX9" i="1"/>
  <c r="LT9" i="1"/>
  <c r="LL9" i="1"/>
  <c r="LM9" i="1" s="1"/>
  <c r="LP12" i="1" s="1"/>
  <c r="LE9" i="1"/>
  <c r="KO9" i="1"/>
  <c r="JU9" i="1"/>
  <c r="JM9" i="1"/>
  <c r="JE9" i="1"/>
  <c r="JA9" i="1"/>
  <c r="IW9" i="1"/>
  <c r="IS9" i="1"/>
  <c r="IO9" i="1"/>
  <c r="HI9" i="1"/>
  <c r="GW9" i="1"/>
  <c r="GS9" i="1"/>
  <c r="GO9" i="1"/>
  <c r="GG9" i="1"/>
  <c r="GC9" i="1"/>
  <c r="FU9" i="1"/>
  <c r="FI9" i="1"/>
  <c r="EO9" i="1"/>
  <c r="DY9" i="1"/>
  <c r="DU9" i="1"/>
  <c r="DQ9" i="1"/>
  <c r="DE9" i="1"/>
  <c r="DA9" i="1"/>
  <c r="CS9" i="1"/>
  <c r="CO9" i="1"/>
  <c r="BQ9" i="1"/>
  <c r="BA9" i="1"/>
  <c r="AW9" i="1"/>
  <c r="AO9" i="1"/>
  <c r="AC9" i="1"/>
  <c r="Y9" i="1"/>
  <c r="U9" i="1"/>
  <c r="Q9" i="1"/>
  <c r="B9" i="1"/>
  <c r="KW9" i="1" s="1"/>
  <c r="MA8" i="1"/>
  <c r="LY8" i="1"/>
  <c r="LX8" i="1"/>
  <c r="LT8" i="1"/>
  <c r="LU8" i="1" s="1"/>
  <c r="LP8" i="1"/>
  <c r="LL8" i="1"/>
  <c r="LM8" i="1" s="1"/>
  <c r="LA8" i="1"/>
  <c r="KS8" i="1"/>
  <c r="KO8" i="1"/>
  <c r="KK8" i="1"/>
  <c r="KG8" i="1"/>
  <c r="KC8" i="1"/>
  <c r="JY8" i="1"/>
  <c r="JU8" i="1"/>
  <c r="JQ8" i="1"/>
  <c r="JM8" i="1"/>
  <c r="JE8" i="1"/>
  <c r="JA8" i="1"/>
  <c r="IS8" i="1"/>
  <c r="IO8" i="1"/>
  <c r="IK8" i="1"/>
  <c r="IG8" i="1"/>
  <c r="IC8" i="1"/>
  <c r="HY8" i="1"/>
  <c r="HU8" i="1"/>
  <c r="HQ8" i="1"/>
  <c r="HI8" i="1"/>
  <c r="HE8" i="1"/>
  <c r="HA8" i="1"/>
  <c r="GS8" i="1"/>
  <c r="GO8" i="1"/>
  <c r="GK8" i="1"/>
  <c r="GG8" i="1"/>
  <c r="GC8" i="1"/>
  <c r="FY8" i="1"/>
  <c r="FU8" i="1"/>
  <c r="FM8" i="1"/>
  <c r="FI8" i="1"/>
  <c r="FE8" i="1"/>
  <c r="FA8" i="1"/>
  <c r="ES8" i="1"/>
  <c r="EO8" i="1"/>
  <c r="EK8" i="1"/>
  <c r="EG8" i="1"/>
  <c r="EC8" i="1"/>
  <c r="DY8" i="1"/>
  <c r="DQ8" i="1"/>
  <c r="DM8" i="1"/>
  <c r="DI8" i="1"/>
  <c r="DE8" i="1"/>
  <c r="DA8" i="1"/>
  <c r="CS8" i="1"/>
  <c r="CO8" i="1"/>
  <c r="CK8" i="1"/>
  <c r="CG8" i="1"/>
  <c r="CC8" i="1"/>
  <c r="BU8" i="1"/>
  <c r="BQ8" i="1"/>
  <c r="BM8" i="1"/>
  <c r="BI8" i="1"/>
  <c r="BE8" i="1"/>
  <c r="BA8" i="1"/>
  <c r="AS8" i="1"/>
  <c r="AO8" i="1"/>
  <c r="AK8" i="1"/>
  <c r="AG8" i="1"/>
  <c r="Y8" i="1"/>
  <c r="U8" i="1"/>
  <c r="Q8" i="1"/>
  <c r="M8" i="1"/>
  <c r="I8" i="1"/>
  <c r="E8" i="1"/>
  <c r="C8" i="1"/>
  <c r="B8" i="1"/>
  <c r="MA7" i="1"/>
  <c r="LY7" i="1"/>
  <c r="LX7" i="1"/>
  <c r="LU7" i="1"/>
  <c r="LV7" i="1" s="1"/>
  <c r="LT7" i="1"/>
  <c r="LM7" i="1"/>
  <c r="LL7" i="1"/>
  <c r="B7" i="1"/>
  <c r="HA7" i="1" s="1"/>
  <c r="MA6" i="1"/>
  <c r="LT6" i="1"/>
  <c r="LU6" i="1" s="1"/>
  <c r="LV6" i="1" s="1"/>
  <c r="LS6" i="1"/>
  <c r="LL6" i="1"/>
  <c r="LM6" i="1" s="1"/>
  <c r="LE6" i="1"/>
  <c r="KS6" i="1"/>
  <c r="KG6" i="1"/>
  <c r="KC6" i="1"/>
  <c r="JM6" i="1"/>
  <c r="JI6" i="1"/>
  <c r="JE6" i="1"/>
  <c r="IW6" i="1"/>
  <c r="IS6" i="1"/>
  <c r="IO6" i="1"/>
  <c r="IC6" i="1"/>
  <c r="HM6" i="1"/>
  <c r="HI6" i="1"/>
  <c r="HA6" i="1"/>
  <c r="GS6" i="1"/>
  <c r="GO6" i="1"/>
  <c r="GK6" i="1"/>
  <c r="FY6" i="1"/>
  <c r="FU6" i="1"/>
  <c r="FM6" i="1"/>
  <c r="FE6" i="1"/>
  <c r="EW6" i="1"/>
  <c r="ES6" i="1"/>
  <c r="EO6" i="1"/>
  <c r="DY6" i="1"/>
  <c r="DU6" i="1"/>
  <c r="DI6" i="1"/>
  <c r="DE6" i="1"/>
  <c r="DA6" i="1"/>
  <c r="CW6" i="1"/>
  <c r="CS6" i="1"/>
  <c r="CK6" i="1"/>
  <c r="BY6" i="1"/>
  <c r="BU6" i="1"/>
  <c r="BE6" i="1"/>
  <c r="BA6" i="1"/>
  <c r="AW6" i="1"/>
  <c r="AS6" i="1"/>
  <c r="AO6" i="1"/>
  <c r="AK6" i="1"/>
  <c r="Y6" i="1"/>
  <c r="I6" i="1"/>
  <c r="E6" i="1"/>
  <c r="C6" i="1"/>
  <c r="B6" i="1"/>
  <c r="MA5" i="1"/>
  <c r="LV5" i="1"/>
  <c r="LT5" i="1"/>
  <c r="LU5" i="1" s="1"/>
  <c r="LS5" i="1"/>
  <c r="LQ5" i="1"/>
  <c r="LP5" i="1"/>
  <c r="LM5" i="1"/>
  <c r="LL5" i="1"/>
  <c r="LE5" i="1"/>
  <c r="KS5" i="1"/>
  <c r="KO5" i="1"/>
  <c r="KK5" i="1"/>
  <c r="KG5" i="1"/>
  <c r="KC5" i="1"/>
  <c r="JY5" i="1"/>
  <c r="JU5" i="1"/>
  <c r="JQ5" i="1"/>
  <c r="JM5" i="1"/>
  <c r="JI5" i="1"/>
  <c r="JE5" i="1"/>
  <c r="IS5" i="1"/>
  <c r="IO5" i="1"/>
  <c r="IK5" i="1"/>
  <c r="IG5" i="1"/>
  <c r="IC5" i="1"/>
  <c r="HY5" i="1"/>
  <c r="HU5" i="1"/>
  <c r="HQ5" i="1"/>
  <c r="HM5" i="1"/>
  <c r="HI5" i="1"/>
  <c r="HA5" i="1"/>
  <c r="GS5" i="1"/>
  <c r="GO5" i="1"/>
  <c r="GK5" i="1"/>
  <c r="GG5" i="1"/>
  <c r="GC5" i="1"/>
  <c r="FY5" i="1"/>
  <c r="FU5" i="1"/>
  <c r="FQ5" i="1"/>
  <c r="FM5" i="1"/>
  <c r="FE5" i="1"/>
  <c r="FA5" i="1"/>
  <c r="ES5" i="1"/>
  <c r="EO5" i="1"/>
  <c r="EK5" i="1"/>
  <c r="EG5" i="1"/>
  <c r="EC5" i="1"/>
  <c r="DY5" i="1"/>
  <c r="DU5" i="1"/>
  <c r="DQ5" i="1"/>
  <c r="DI5" i="1"/>
  <c r="DE5" i="1"/>
  <c r="DA5" i="1"/>
  <c r="CS5" i="1"/>
  <c r="CO5" i="1"/>
  <c r="CK5" i="1"/>
  <c r="CG5" i="1"/>
  <c r="CC5" i="1"/>
  <c r="BY5" i="1"/>
  <c r="BU5" i="1"/>
  <c r="BM5" i="1"/>
  <c r="BI5" i="1"/>
  <c r="BE5" i="1"/>
  <c r="BA5" i="1"/>
  <c r="AS5" i="1"/>
  <c r="AO5" i="1"/>
  <c r="AK5" i="1"/>
  <c r="AG5" i="1"/>
  <c r="AC5" i="1"/>
  <c r="Y5" i="1"/>
  <c r="Q5" i="1"/>
  <c r="M5" i="1"/>
  <c r="I5" i="1"/>
  <c r="E5" i="1"/>
  <c r="C5" i="1"/>
  <c r="B5" i="1"/>
  <c r="MA4" i="1"/>
  <c r="LY4" i="1"/>
  <c r="LX4" i="1"/>
  <c r="LU4" i="1"/>
  <c r="LV4" i="1" s="1"/>
  <c r="LT4" i="1"/>
  <c r="LQ4" i="1"/>
  <c r="LP4" i="1"/>
  <c r="LN4" i="1"/>
  <c r="LR4" i="1" s="1"/>
  <c r="LL4" i="1"/>
  <c r="LM4" i="1" s="1"/>
  <c r="JQ4" i="1"/>
  <c r="JE4" i="1"/>
  <c r="JA4" i="1"/>
  <c r="IO4" i="1"/>
  <c r="HA4" i="1"/>
  <c r="GO4" i="1"/>
  <c r="GK4" i="1"/>
  <c r="GG4" i="1"/>
  <c r="GC4" i="1"/>
  <c r="EC4" i="1"/>
  <c r="DY4" i="1"/>
  <c r="DU4" i="1"/>
  <c r="DQ4" i="1"/>
  <c r="BQ4" i="1"/>
  <c r="BA4" i="1"/>
  <c r="AW4" i="1"/>
  <c r="AO4" i="1"/>
  <c r="B4" i="1"/>
  <c r="FQ4" i="1" s="1"/>
  <c r="MA3" i="1"/>
  <c r="LY3" i="1"/>
  <c r="LX3" i="1"/>
  <c r="LV3" i="1"/>
  <c r="LU3" i="1"/>
  <c r="LT3" i="1"/>
  <c r="LQ3" i="1"/>
  <c r="LP3" i="1"/>
  <c r="LN3" i="1"/>
  <c r="LO3" i="1" s="1"/>
  <c r="LM3" i="1"/>
  <c r="LL3" i="1"/>
  <c r="LE3" i="1"/>
  <c r="LA3" i="1"/>
  <c r="KW3" i="1"/>
  <c r="KS3" i="1"/>
  <c r="JE3" i="1"/>
  <c r="JA3" i="1"/>
  <c r="IW3" i="1"/>
  <c r="IS3" i="1"/>
  <c r="IO3" i="1"/>
  <c r="IG3" i="1"/>
  <c r="IC3" i="1"/>
  <c r="GS3" i="1"/>
  <c r="GK3" i="1"/>
  <c r="GG3" i="1"/>
  <c r="GC3" i="1"/>
  <c r="FQ3" i="1"/>
  <c r="FM3" i="1"/>
  <c r="FE3" i="1"/>
  <c r="EC3" i="1"/>
  <c r="DQ3" i="1"/>
  <c r="DM3" i="1"/>
  <c r="DE3" i="1"/>
  <c r="DA3" i="1"/>
  <c r="CS3" i="1"/>
  <c r="CO3" i="1"/>
  <c r="BE3" i="1"/>
  <c r="AW3" i="1"/>
  <c r="AS3" i="1"/>
  <c r="AO3" i="1"/>
  <c r="AK3" i="1"/>
  <c r="AG3" i="1"/>
  <c r="AC3" i="1"/>
  <c r="B3" i="1"/>
  <c r="EW3" i="1" s="1"/>
  <c r="C1" i="1"/>
  <c r="A1" i="1"/>
  <c r="J63" i="1" l="1"/>
  <c r="BR63" i="1"/>
  <c r="DZ63" i="1"/>
  <c r="ID63" i="1"/>
  <c r="DB63" i="1"/>
  <c r="HJ63" i="1"/>
  <c r="JF63" i="1"/>
  <c r="LB63" i="1"/>
  <c r="DF63" i="1"/>
  <c r="FN63" i="1"/>
  <c r="HN63" i="1"/>
  <c r="JJ63" i="1"/>
  <c r="LF63" i="1"/>
  <c r="Z63" i="1"/>
  <c r="CH63" i="1"/>
  <c r="GT63" i="1"/>
  <c r="IP63" i="1"/>
  <c r="JN63" i="1"/>
  <c r="KL63" i="1"/>
  <c r="LN31" i="1"/>
  <c r="LO15" i="1"/>
  <c r="LQ15" i="1"/>
  <c r="LQ16" i="1"/>
  <c r="LP15" i="1"/>
  <c r="LQ17" i="1"/>
  <c r="LP17" i="1"/>
  <c r="LO17" i="1"/>
  <c r="LV22" i="1"/>
  <c r="LU23" i="1"/>
  <c r="LR23" i="1"/>
  <c r="LQ20" i="1"/>
  <c r="LP20" i="1"/>
  <c r="LO20" i="1"/>
  <c r="LQ9" i="1"/>
  <c r="LP9" i="1"/>
  <c r="LO9" i="1"/>
  <c r="LO37" i="1"/>
  <c r="LP37" i="1"/>
  <c r="LQ37" i="1"/>
  <c r="LQ38" i="1"/>
  <c r="LP39" i="1"/>
  <c r="LU18" i="1"/>
  <c r="LV18" i="1" s="1"/>
  <c r="LV17" i="1"/>
  <c r="LQ26" i="1"/>
  <c r="LP26" i="1"/>
  <c r="LO26" i="1"/>
  <c r="LP28" i="1"/>
  <c r="LO28" i="1"/>
  <c r="LQ28" i="1"/>
  <c r="LO30" i="1"/>
  <c r="LU9" i="1"/>
  <c r="LV9" i="1" s="1"/>
  <c r="LV8" i="1"/>
  <c r="LP7" i="1"/>
  <c r="LO7" i="1"/>
  <c r="LQ8" i="1"/>
  <c r="LW6" i="1"/>
  <c r="LQ7" i="1"/>
  <c r="LR7" i="1" s="1"/>
  <c r="LN32" i="1"/>
  <c r="HY7" i="1"/>
  <c r="LO4" i="1"/>
  <c r="CO7" i="1"/>
  <c r="LN15" i="1"/>
  <c r="BU17" i="1"/>
  <c r="IG17" i="1"/>
  <c r="GS21" i="1"/>
  <c r="CW22" i="1"/>
  <c r="LO8" i="1"/>
  <c r="LQ14" i="1"/>
  <c r="C17" i="1"/>
  <c r="FQ17" i="1"/>
  <c r="I36" i="1"/>
  <c r="FY7" i="1"/>
  <c r="CW12" i="1"/>
  <c r="LN16" i="1"/>
  <c r="M17" i="1"/>
  <c r="DE17" i="1"/>
  <c r="JQ17" i="1"/>
  <c r="LU19" i="1"/>
  <c r="LV19" i="1" s="1"/>
  <c r="AS21" i="1"/>
  <c r="EC21" i="1"/>
  <c r="IC21" i="1"/>
  <c r="LE21" i="1"/>
  <c r="AK22" i="1"/>
  <c r="DQ22" i="1"/>
  <c r="HQ22" i="1"/>
  <c r="KO22" i="1"/>
  <c r="C26" i="1"/>
  <c r="DU26" i="1"/>
  <c r="JM26" i="1"/>
  <c r="LP31" i="1"/>
  <c r="LO31" i="1"/>
  <c r="LQ31" i="1"/>
  <c r="LR31" i="1" s="1"/>
  <c r="BU36" i="1"/>
  <c r="HY36" i="1"/>
  <c r="LP46" i="1"/>
  <c r="LQ46" i="1"/>
  <c r="LR46" i="1" s="1"/>
  <c r="LO46" i="1"/>
  <c r="AO7" i="1"/>
  <c r="GG7" i="1"/>
  <c r="JM7" i="1"/>
  <c r="GC12" i="1"/>
  <c r="I15" i="1"/>
  <c r="DA15" i="1"/>
  <c r="GC15" i="1"/>
  <c r="JM15" i="1"/>
  <c r="LP16" i="1"/>
  <c r="Q17" i="1"/>
  <c r="GC17" i="1"/>
  <c r="JU17" i="1"/>
  <c r="AW21" i="1"/>
  <c r="EK21" i="1"/>
  <c r="IG21" i="1"/>
  <c r="AO22" i="1"/>
  <c r="DU22" i="1"/>
  <c r="HU22" i="1"/>
  <c r="LA22" i="1"/>
  <c r="M26" i="1"/>
  <c r="FE26" i="1"/>
  <c r="JQ26" i="1"/>
  <c r="LN30" i="1"/>
  <c r="BY36" i="1"/>
  <c r="IO36" i="1"/>
  <c r="LP40" i="1"/>
  <c r="LO41" i="1"/>
  <c r="LQ40" i="1"/>
  <c r="LO40" i="1"/>
  <c r="LQ42" i="1"/>
  <c r="LP42" i="1"/>
  <c r="BM3" i="1"/>
  <c r="EG3" i="1"/>
  <c r="GW3" i="1"/>
  <c r="JM3" i="1"/>
  <c r="U4" i="1"/>
  <c r="CG4" i="1"/>
  <c r="EW4" i="1"/>
  <c r="HU4" i="1"/>
  <c r="KG4" i="1"/>
  <c r="KW6" i="1"/>
  <c r="JA6" i="1"/>
  <c r="HE6" i="1"/>
  <c r="FI6" i="1"/>
  <c r="DM6" i="1"/>
  <c r="BQ6" i="1"/>
  <c r="U6" i="1"/>
  <c r="JY6" i="1"/>
  <c r="HY6" i="1"/>
  <c r="KO6" i="1"/>
  <c r="IK6" i="1"/>
  <c r="GG6" i="1"/>
  <c r="EG6" i="1"/>
  <c r="CG6" i="1"/>
  <c r="AG6" i="1"/>
  <c r="KK6" i="1"/>
  <c r="IG6" i="1"/>
  <c r="GC6" i="1"/>
  <c r="EC6" i="1"/>
  <c r="CC6" i="1"/>
  <c r="AC6" i="1"/>
  <c r="JU6" i="1"/>
  <c r="HQ6" i="1"/>
  <c r="FQ6" i="1"/>
  <c r="DQ6" i="1"/>
  <c r="BM6" i="1"/>
  <c r="M6" i="1"/>
  <c r="BI6" i="1"/>
  <c r="EK6" i="1"/>
  <c r="GW6" i="1"/>
  <c r="JQ6" i="1"/>
  <c r="AS7" i="1"/>
  <c r="DQ7" i="1"/>
  <c r="GK7" i="1"/>
  <c r="JQ7" i="1"/>
  <c r="BM9" i="1"/>
  <c r="EG9" i="1"/>
  <c r="HA9" i="1"/>
  <c r="KG9" i="1"/>
  <c r="BY11" i="1"/>
  <c r="EW11" i="1"/>
  <c r="Y12" i="1"/>
  <c r="DM12" i="1"/>
  <c r="GK12" i="1"/>
  <c r="BI14" i="1"/>
  <c r="EW14" i="1"/>
  <c r="M15" i="1"/>
  <c r="DE15" i="1"/>
  <c r="GG15" i="1"/>
  <c r="JY15" i="1"/>
  <c r="U17" i="1"/>
  <c r="DM17" i="1"/>
  <c r="GG17" i="1"/>
  <c r="BQ20" i="1"/>
  <c r="FQ20" i="1"/>
  <c r="BA21" i="1"/>
  <c r="FE21" i="1"/>
  <c r="IK21" i="1"/>
  <c r="LP22" i="1"/>
  <c r="LO22" i="1"/>
  <c r="AS22" i="1"/>
  <c r="EC22" i="1"/>
  <c r="HY22" i="1"/>
  <c r="LO23" i="1"/>
  <c r="LP23" i="1"/>
  <c r="CG25" i="1"/>
  <c r="Q26" i="1"/>
  <c r="FM26" i="1"/>
  <c r="JY26" i="1"/>
  <c r="EC27" i="1"/>
  <c r="IK27" i="1"/>
  <c r="JQ28" i="1"/>
  <c r="HU28" i="1"/>
  <c r="FY28" i="1"/>
  <c r="EC28" i="1"/>
  <c r="CG28" i="1"/>
  <c r="AK28" i="1"/>
  <c r="LE28" i="1"/>
  <c r="JE28" i="1"/>
  <c r="HE28" i="1"/>
  <c r="FE28" i="1"/>
  <c r="DE28" i="1"/>
  <c r="BE28" i="1"/>
  <c r="E28" i="1"/>
  <c r="KK28" i="1"/>
  <c r="IG28" i="1"/>
  <c r="GC28" i="1"/>
  <c r="DU28" i="1"/>
  <c r="BQ28" i="1"/>
  <c r="M28" i="1"/>
  <c r="KS28" i="1"/>
  <c r="IK28" i="1"/>
  <c r="FU28" i="1"/>
  <c r="DM28" i="1"/>
  <c r="BA28" i="1"/>
  <c r="JY28" i="1"/>
  <c r="HM28" i="1"/>
  <c r="FA28" i="1"/>
  <c r="CS28" i="1"/>
  <c r="AG28" i="1"/>
  <c r="JM28" i="1"/>
  <c r="GS28" i="1"/>
  <c r="DY28" i="1"/>
  <c r="AW28" i="1"/>
  <c r="IS28" i="1"/>
  <c r="FQ28" i="1"/>
  <c r="CW28" i="1"/>
  <c r="Y28" i="1"/>
  <c r="IO28" i="1"/>
  <c r="EW28" i="1"/>
  <c r="BU28" i="1"/>
  <c r="IC28" i="1"/>
  <c r="ES28" i="1"/>
  <c r="BM28" i="1"/>
  <c r="HY28" i="1"/>
  <c r="EO28" i="1"/>
  <c r="BI28" i="1"/>
  <c r="KW28" i="1"/>
  <c r="HI28" i="1"/>
  <c r="EG28" i="1"/>
  <c r="AO28" i="1"/>
  <c r="KO28" i="1"/>
  <c r="HA28" i="1"/>
  <c r="DQ28" i="1"/>
  <c r="AC28" i="1"/>
  <c r="EK28" i="1"/>
  <c r="KC28" i="1"/>
  <c r="CS36" i="1"/>
  <c r="KG36" i="1"/>
  <c r="LQ39" i="1"/>
  <c r="LO39" i="1"/>
  <c r="C7" i="1"/>
  <c r="LQ10" i="1"/>
  <c r="KG17" i="1"/>
  <c r="IK17" i="1"/>
  <c r="GO17" i="1"/>
  <c r="ES17" i="1"/>
  <c r="CW17" i="1"/>
  <c r="BA17" i="1"/>
  <c r="E17" i="1"/>
  <c r="KW17" i="1"/>
  <c r="IW17" i="1"/>
  <c r="GW17" i="1"/>
  <c r="EW17" i="1"/>
  <c r="CS17" i="1"/>
  <c r="AS17" i="1"/>
  <c r="JM17" i="1"/>
  <c r="HI17" i="1"/>
  <c r="FE17" i="1"/>
  <c r="DA17" i="1"/>
  <c r="AO17" i="1"/>
  <c r="HE17" i="1"/>
  <c r="FA17" i="1"/>
  <c r="CO17" i="1"/>
  <c r="AK17" i="1"/>
  <c r="JI17" i="1"/>
  <c r="JE17" i="1"/>
  <c r="HA17" i="1"/>
  <c r="EO17" i="1"/>
  <c r="CK17" i="1"/>
  <c r="AG17" i="1"/>
  <c r="LA17" i="1"/>
  <c r="IS17" i="1"/>
  <c r="GK17" i="1"/>
  <c r="EG17" i="1"/>
  <c r="CC17" i="1"/>
  <c r="Y17" i="1"/>
  <c r="LP18" i="1"/>
  <c r="Q21" i="1"/>
  <c r="KS21" i="1"/>
  <c r="KC22" i="1"/>
  <c r="LN6" i="1"/>
  <c r="IK7" i="1"/>
  <c r="BY17" i="1"/>
  <c r="IO17" i="1"/>
  <c r="HM21" i="1"/>
  <c r="GO22" i="1"/>
  <c r="BY4" i="1"/>
  <c r="DI17" i="1"/>
  <c r="AW22" i="1"/>
  <c r="KG26" i="1"/>
  <c r="CC7" i="1"/>
  <c r="GK21" i="1"/>
  <c r="FM7" i="1"/>
  <c r="KW22" i="1"/>
  <c r="JA22" i="1"/>
  <c r="HE22" i="1"/>
  <c r="FI22" i="1"/>
  <c r="DM22" i="1"/>
  <c r="BQ22" i="1"/>
  <c r="U22" i="1"/>
  <c r="JM22" i="1"/>
  <c r="HM22" i="1"/>
  <c r="FM22" i="1"/>
  <c r="DI22" i="1"/>
  <c r="BI22" i="1"/>
  <c r="I22" i="1"/>
  <c r="KS22" i="1"/>
  <c r="IO22" i="1"/>
  <c r="GK22" i="1"/>
  <c r="EG22" i="1"/>
  <c r="CC22" i="1"/>
  <c r="Y22" i="1"/>
  <c r="JQ22" i="1"/>
  <c r="HA22" i="1"/>
  <c r="ES22" i="1"/>
  <c r="CK22" i="1"/>
  <c r="AC22" i="1"/>
  <c r="GW22" i="1"/>
  <c r="EO22" i="1"/>
  <c r="CG22" i="1"/>
  <c r="Q22" i="1"/>
  <c r="JI22" i="1"/>
  <c r="JE22" i="1"/>
  <c r="GS22" i="1"/>
  <c r="EK22" i="1"/>
  <c r="BY22" i="1"/>
  <c r="M22" i="1"/>
  <c r="LE22" i="1"/>
  <c r="IS22" i="1"/>
  <c r="GG22" i="1"/>
  <c r="DY22" i="1"/>
  <c r="BM22" i="1"/>
  <c r="C22" i="1"/>
  <c r="KW36" i="1"/>
  <c r="JA36" i="1"/>
  <c r="HE36" i="1"/>
  <c r="FI36" i="1"/>
  <c r="DM36" i="1"/>
  <c r="BQ36" i="1"/>
  <c r="U36" i="1"/>
  <c r="JQ36" i="1"/>
  <c r="HQ36" i="1"/>
  <c r="FQ36" i="1"/>
  <c r="DQ36" i="1"/>
  <c r="BM36" i="1"/>
  <c r="M36" i="1"/>
  <c r="LA36" i="1"/>
  <c r="IS36" i="1"/>
  <c r="GO36" i="1"/>
  <c r="EK36" i="1"/>
  <c r="CG36" i="1"/>
  <c r="AC36" i="1"/>
  <c r="JU36" i="1"/>
  <c r="HI36" i="1"/>
  <c r="EW36" i="1"/>
  <c r="CO36" i="1"/>
  <c r="AG36" i="1"/>
  <c r="JM36" i="1"/>
  <c r="HA36" i="1"/>
  <c r="ES36" i="1"/>
  <c r="CK36" i="1"/>
  <c r="Y36" i="1"/>
  <c r="IW36" i="1"/>
  <c r="GC36" i="1"/>
  <c r="DE36" i="1"/>
  <c r="AO36" i="1"/>
  <c r="KS36" i="1"/>
  <c r="IC36" i="1"/>
  <c r="FE36" i="1"/>
  <c r="CC36" i="1"/>
  <c r="E36" i="1"/>
  <c r="KO36" i="1"/>
  <c r="HM36" i="1"/>
  <c r="DY36" i="1"/>
  <c r="AS36" i="1"/>
  <c r="JY36" i="1"/>
  <c r="GG36" i="1"/>
  <c r="CW36" i="1"/>
  <c r="C36" i="1"/>
  <c r="KC36" i="1"/>
  <c r="FU36" i="1"/>
  <c r="BI36" i="1"/>
  <c r="JI36" i="1"/>
  <c r="FM36" i="1"/>
  <c r="BE36" i="1"/>
  <c r="JE36" i="1"/>
  <c r="FA36" i="1"/>
  <c r="BA36" i="1"/>
  <c r="IK36" i="1"/>
  <c r="EG36" i="1"/>
  <c r="AK36" i="1"/>
  <c r="IG36" i="1"/>
  <c r="EC36" i="1"/>
  <c r="Q36" i="1"/>
  <c r="Q7" i="1"/>
  <c r="CS7" i="1"/>
  <c r="FQ7" i="1"/>
  <c r="KO12" i="1"/>
  <c r="IS12" i="1"/>
  <c r="GW12" i="1"/>
  <c r="FA12" i="1"/>
  <c r="DE12" i="1"/>
  <c r="BI12" i="1"/>
  <c r="M12" i="1"/>
  <c r="LE12" i="1"/>
  <c r="JE12" i="1"/>
  <c r="HE12" i="1"/>
  <c r="FE12" i="1"/>
  <c r="DA12" i="1"/>
  <c r="BA12" i="1"/>
  <c r="C12" i="1"/>
  <c r="JI12" i="1"/>
  <c r="HA12" i="1"/>
  <c r="ES12" i="1"/>
  <c r="CO12" i="1"/>
  <c r="AK12" i="1"/>
  <c r="GS12" i="1"/>
  <c r="CK12" i="1"/>
  <c r="JA12" i="1"/>
  <c r="EO12" i="1"/>
  <c r="AG12" i="1"/>
  <c r="LA12" i="1"/>
  <c r="IW12" i="1"/>
  <c r="GO12" i="1"/>
  <c r="EK12" i="1"/>
  <c r="CG12" i="1"/>
  <c r="AC12" i="1"/>
  <c r="KS12" i="1"/>
  <c r="IK12" i="1"/>
  <c r="GG12" i="1"/>
  <c r="EC12" i="1"/>
  <c r="BY12" i="1"/>
  <c r="U12" i="1"/>
  <c r="CC12" i="1"/>
  <c r="IO12" i="1"/>
  <c r="FI15" i="1"/>
  <c r="LN19" i="1"/>
  <c r="AK21" i="1"/>
  <c r="DQ21" i="1"/>
  <c r="E22" i="1"/>
  <c r="DA22" i="1"/>
  <c r="KG22" i="1"/>
  <c r="LQ32" i="1"/>
  <c r="LR32" i="1" s="1"/>
  <c r="LP32" i="1"/>
  <c r="GW36" i="1"/>
  <c r="EO4" i="1"/>
  <c r="DI7" i="1"/>
  <c r="EK3" i="1"/>
  <c r="HY4" i="1"/>
  <c r="DU7" i="1"/>
  <c r="AG26" i="1"/>
  <c r="C3" i="1"/>
  <c r="KC3" i="1"/>
  <c r="AC4" i="1"/>
  <c r="KS4" i="1"/>
  <c r="JY7" i="1"/>
  <c r="LO11" i="1"/>
  <c r="AS12" i="1"/>
  <c r="DU12" i="1"/>
  <c r="HM12" i="1"/>
  <c r="KG12" i="1"/>
  <c r="LO14" i="1"/>
  <c r="AS15" i="1"/>
  <c r="DM15" i="1"/>
  <c r="HE15" i="1"/>
  <c r="AW17" i="1"/>
  <c r="DU17" i="1"/>
  <c r="HM17" i="1"/>
  <c r="KK17" i="1"/>
  <c r="KG20" i="1"/>
  <c r="IK20" i="1"/>
  <c r="GO20" i="1"/>
  <c r="ES20" i="1"/>
  <c r="CW20" i="1"/>
  <c r="BA20" i="1"/>
  <c r="E20" i="1"/>
  <c r="KK20" i="1"/>
  <c r="IG20" i="1"/>
  <c r="GG20" i="1"/>
  <c r="EG20" i="1"/>
  <c r="CG20" i="1"/>
  <c r="AG20" i="1"/>
  <c r="JI20" i="1"/>
  <c r="HE20" i="1"/>
  <c r="FA20" i="1"/>
  <c r="CS20" i="1"/>
  <c r="AO20" i="1"/>
  <c r="JY20" i="1"/>
  <c r="HQ20" i="1"/>
  <c r="FI20" i="1"/>
  <c r="DA20" i="1"/>
  <c r="AK20" i="1"/>
  <c r="JU20" i="1"/>
  <c r="HM20" i="1"/>
  <c r="FE20" i="1"/>
  <c r="CO20" i="1"/>
  <c r="AC20" i="1"/>
  <c r="JQ20" i="1"/>
  <c r="HI20" i="1"/>
  <c r="EW20" i="1"/>
  <c r="CK20" i="1"/>
  <c r="Y20" i="1"/>
  <c r="JE20" i="1"/>
  <c r="GW20" i="1"/>
  <c r="EK20" i="1"/>
  <c r="BY20" i="1"/>
  <c r="Q20" i="1"/>
  <c r="CC20" i="1"/>
  <c r="FY20" i="1"/>
  <c r="JM20" i="1"/>
  <c r="BQ21" i="1"/>
  <c r="FM21" i="1"/>
  <c r="IW21" i="1"/>
  <c r="BA22" i="1"/>
  <c r="FA22" i="1"/>
  <c r="IG22" i="1"/>
  <c r="KO25" i="1"/>
  <c r="IS25" i="1"/>
  <c r="GW25" i="1"/>
  <c r="FA25" i="1"/>
  <c r="DE25" i="1"/>
  <c r="BI25" i="1"/>
  <c r="M25" i="1"/>
  <c r="KS25" i="1"/>
  <c r="IO25" i="1"/>
  <c r="GO25" i="1"/>
  <c r="EO25" i="1"/>
  <c r="CO25" i="1"/>
  <c r="AO25" i="1"/>
  <c r="KG25" i="1"/>
  <c r="IC25" i="1"/>
  <c r="FY25" i="1"/>
  <c r="DU25" i="1"/>
  <c r="BQ25" i="1"/>
  <c r="I25" i="1"/>
  <c r="JM25" i="1"/>
  <c r="HE25" i="1"/>
  <c r="LE25" i="1"/>
  <c r="IW25" i="1"/>
  <c r="GG25" i="1"/>
  <c r="DY25" i="1"/>
  <c r="BM25" i="1"/>
  <c r="C25" i="1"/>
  <c r="JA25" i="1"/>
  <c r="FU25" i="1"/>
  <c r="DI25" i="1"/>
  <c r="AS25" i="1"/>
  <c r="KW25" i="1"/>
  <c r="JY25" i="1"/>
  <c r="HA25" i="1"/>
  <c r="EC25" i="1"/>
  <c r="BA25" i="1"/>
  <c r="GS25" i="1"/>
  <c r="DQ25" i="1"/>
  <c r="AW25" i="1"/>
  <c r="JU25" i="1"/>
  <c r="JQ25" i="1"/>
  <c r="GK25" i="1"/>
  <c r="DM25" i="1"/>
  <c r="AK25" i="1"/>
  <c r="JE25" i="1"/>
  <c r="FQ25" i="1"/>
  <c r="CW25" i="1"/>
  <c r="AC25" i="1"/>
  <c r="CS25" i="1"/>
  <c r="HQ25" i="1"/>
  <c r="LQ25" i="1"/>
  <c r="AO26" i="1"/>
  <c r="FY26" i="1"/>
  <c r="U27" i="1"/>
  <c r="EO27" i="1"/>
  <c r="KK27" i="1"/>
  <c r="DI36" i="1"/>
  <c r="LE36" i="1"/>
  <c r="KS7" i="1"/>
  <c r="I7" i="1"/>
  <c r="IC7" i="1"/>
  <c r="FM17" i="1"/>
  <c r="DI21" i="1"/>
  <c r="GC22" i="1"/>
  <c r="FQ12" i="1"/>
  <c r="JQ15" i="1"/>
  <c r="HU15" i="1"/>
  <c r="FY15" i="1"/>
  <c r="EC15" i="1"/>
  <c r="CG15" i="1"/>
  <c r="AK15" i="1"/>
  <c r="JU15" i="1"/>
  <c r="HQ15" i="1"/>
  <c r="FQ15" i="1"/>
  <c r="DQ15" i="1"/>
  <c r="BQ15" i="1"/>
  <c r="Q15" i="1"/>
  <c r="JE15" i="1"/>
  <c r="HA15" i="1"/>
  <c r="EW15" i="1"/>
  <c r="CS15" i="1"/>
  <c r="AO15" i="1"/>
  <c r="LE15" i="1"/>
  <c r="GW15" i="1"/>
  <c r="ES15" i="1"/>
  <c r="CO15" i="1"/>
  <c r="AG15" i="1"/>
  <c r="JA15" i="1"/>
  <c r="LA15" i="1"/>
  <c r="IW15" i="1"/>
  <c r="GS15" i="1"/>
  <c r="EO15" i="1"/>
  <c r="CK15" i="1"/>
  <c r="AC15" i="1"/>
  <c r="KS15" i="1"/>
  <c r="IO15" i="1"/>
  <c r="GK15" i="1"/>
  <c r="EG15" i="1"/>
  <c r="BY15" i="1"/>
  <c r="U15" i="1"/>
  <c r="BU15" i="1"/>
  <c r="IK15" i="1"/>
  <c r="LQ18" i="1"/>
  <c r="LN24" i="1"/>
  <c r="CW7" i="1"/>
  <c r="JE7" i="1"/>
  <c r="Y4" i="1"/>
  <c r="KK4" i="1"/>
  <c r="EO3" i="1"/>
  <c r="LN5" i="1"/>
  <c r="EC7" i="1"/>
  <c r="KS9" i="1"/>
  <c r="DY12" i="1"/>
  <c r="DY17" i="1"/>
  <c r="GC20" i="1"/>
  <c r="Y27" i="1"/>
  <c r="DU36" i="1"/>
  <c r="LU38" i="1"/>
  <c r="LV38" i="1" s="1"/>
  <c r="KW7" i="1"/>
  <c r="JA7" i="1"/>
  <c r="HE7" i="1"/>
  <c r="FI7" i="1"/>
  <c r="DM7" i="1"/>
  <c r="BQ7" i="1"/>
  <c r="U7" i="1"/>
  <c r="JI7" i="1"/>
  <c r="HI7" i="1"/>
  <c r="FE7" i="1"/>
  <c r="DE7" i="1"/>
  <c r="BE7" i="1"/>
  <c r="E7" i="1"/>
  <c r="LE7" i="1"/>
  <c r="IW7" i="1"/>
  <c r="GS7" i="1"/>
  <c r="EO7" i="1"/>
  <c r="CK7" i="1"/>
  <c r="AG7" i="1"/>
  <c r="IS7" i="1"/>
  <c r="EK7" i="1"/>
  <c r="CG7" i="1"/>
  <c r="LA7" i="1"/>
  <c r="GO7" i="1"/>
  <c r="AC7" i="1"/>
  <c r="KK7" i="1"/>
  <c r="IG7" i="1"/>
  <c r="GC7" i="1"/>
  <c r="DY7" i="1"/>
  <c r="BU7" i="1"/>
  <c r="M7" i="1"/>
  <c r="BY7" i="1"/>
  <c r="EW7" i="1"/>
  <c r="HU7" i="1"/>
  <c r="KO7" i="1"/>
  <c r="LP13" i="1"/>
  <c r="LO13" i="1"/>
  <c r="LN18" i="1"/>
  <c r="KO21" i="1"/>
  <c r="IS21" i="1"/>
  <c r="GW21" i="1"/>
  <c r="FA21" i="1"/>
  <c r="DE21" i="1"/>
  <c r="BI21" i="1"/>
  <c r="M21" i="1"/>
  <c r="JY21" i="1"/>
  <c r="HY21" i="1"/>
  <c r="FY21" i="1"/>
  <c r="DY21" i="1"/>
  <c r="BY21" i="1"/>
  <c r="Y21" i="1"/>
  <c r="KC21" i="1"/>
  <c r="HU21" i="1"/>
  <c r="FQ21" i="1"/>
  <c r="DM21" i="1"/>
  <c r="BE21" i="1"/>
  <c r="C21" i="1"/>
  <c r="JQ21" i="1"/>
  <c r="HI21" i="1"/>
  <c r="EW21" i="1"/>
  <c r="CO21" i="1"/>
  <c r="AG21" i="1"/>
  <c r="JM21" i="1"/>
  <c r="HE21" i="1"/>
  <c r="ES21" i="1"/>
  <c r="CK21" i="1"/>
  <c r="AC21" i="1"/>
  <c r="JI21" i="1"/>
  <c r="HA21" i="1"/>
  <c r="EO21" i="1"/>
  <c r="CG21" i="1"/>
  <c r="U21" i="1"/>
  <c r="JA21" i="1"/>
  <c r="GO21" i="1"/>
  <c r="EG21" i="1"/>
  <c r="BU21" i="1"/>
  <c r="I21" i="1"/>
  <c r="CW21" i="1"/>
  <c r="GG21" i="1"/>
  <c r="KG21" i="1"/>
  <c r="LP44" i="1"/>
  <c r="LO44" i="1"/>
  <c r="LQ44" i="1"/>
  <c r="LR44" i="1" s="1"/>
  <c r="FA7" i="1"/>
  <c r="LO10" i="1"/>
  <c r="LP10" i="1"/>
  <c r="LQ11" i="1"/>
  <c r="LR11" i="1" s="1"/>
  <c r="LP11" i="1"/>
  <c r="LN12" i="1"/>
  <c r="LO18" i="1"/>
  <c r="E21" i="1"/>
  <c r="DA21" i="1"/>
  <c r="KK21" i="1"/>
  <c r="LR43" i="1"/>
  <c r="LQ54" i="1"/>
  <c r="LP54" i="1"/>
  <c r="LO54" i="1"/>
  <c r="KO4" i="1"/>
  <c r="IS4" i="1"/>
  <c r="GW4" i="1"/>
  <c r="FA4" i="1"/>
  <c r="DE4" i="1"/>
  <c r="BI4" i="1"/>
  <c r="M4" i="1"/>
  <c r="JM4" i="1"/>
  <c r="HM4" i="1"/>
  <c r="FM4" i="1"/>
  <c r="DM4" i="1"/>
  <c r="BM4" i="1"/>
  <c r="I4" i="1"/>
  <c r="JI4" i="1"/>
  <c r="HI4" i="1"/>
  <c r="FI4" i="1"/>
  <c r="DI4" i="1"/>
  <c r="BE4" i="1"/>
  <c r="E4" i="1"/>
  <c r="KW4" i="1"/>
  <c r="IW4" i="1"/>
  <c r="GS4" i="1"/>
  <c r="ES4" i="1"/>
  <c r="CS4" i="1"/>
  <c r="AS4" i="1"/>
  <c r="BU4" i="1"/>
  <c r="EG4" i="1"/>
  <c r="JU4" i="1"/>
  <c r="LO6" i="1"/>
  <c r="Y7" i="1"/>
  <c r="FU7" i="1"/>
  <c r="IO7" i="1"/>
  <c r="LN7" i="1"/>
  <c r="E12" i="1"/>
  <c r="CS12" i="1"/>
  <c r="FU12" i="1"/>
  <c r="JM12" i="1"/>
  <c r="LQ12" i="1"/>
  <c r="LQ13" i="1"/>
  <c r="C15" i="1"/>
  <c r="CC15" i="1"/>
  <c r="FM15" i="1"/>
  <c r="IS15" i="1"/>
  <c r="I17" i="1"/>
  <c r="CG17" i="1"/>
  <c r="FU17" i="1"/>
  <c r="JA17" i="1"/>
  <c r="LP21" i="1"/>
  <c r="LQ21" i="1"/>
  <c r="LO21" i="1"/>
  <c r="AO21" i="1"/>
  <c r="DU21" i="1"/>
  <c r="HQ21" i="1"/>
  <c r="LA21" i="1"/>
  <c r="AG22" i="1"/>
  <c r="DE22" i="1"/>
  <c r="HI22" i="1"/>
  <c r="KK22" i="1"/>
  <c r="KW26" i="1"/>
  <c r="JA26" i="1"/>
  <c r="HE26" i="1"/>
  <c r="FI26" i="1"/>
  <c r="DM26" i="1"/>
  <c r="BQ26" i="1"/>
  <c r="U26" i="1"/>
  <c r="KC26" i="1"/>
  <c r="IC26" i="1"/>
  <c r="GC26" i="1"/>
  <c r="EC26" i="1"/>
  <c r="CC26" i="1"/>
  <c r="AC26" i="1"/>
  <c r="LA26" i="1"/>
  <c r="IS26" i="1"/>
  <c r="GO26" i="1"/>
  <c r="EK26" i="1"/>
  <c r="CG26" i="1"/>
  <c r="Y26" i="1"/>
  <c r="IW26" i="1"/>
  <c r="GK26" i="1"/>
  <c r="DY26" i="1"/>
  <c r="BM26" i="1"/>
  <c r="E26" i="1"/>
  <c r="KK26" i="1"/>
  <c r="HY26" i="1"/>
  <c r="FQ26" i="1"/>
  <c r="DE26" i="1"/>
  <c r="AW26" i="1"/>
  <c r="KS26" i="1"/>
  <c r="HU26" i="1"/>
  <c r="FA26" i="1"/>
  <c r="CK26" i="1"/>
  <c r="I26" i="1"/>
  <c r="JU26" i="1"/>
  <c r="HA26" i="1"/>
  <c r="EG26" i="1"/>
  <c r="BE26" i="1"/>
  <c r="IK26" i="1"/>
  <c r="EW26" i="1"/>
  <c r="BI26" i="1"/>
  <c r="IG26" i="1"/>
  <c r="ES26" i="1"/>
  <c r="BA26" i="1"/>
  <c r="HQ26" i="1"/>
  <c r="EO26" i="1"/>
  <c r="AS26" i="1"/>
  <c r="KO26" i="1"/>
  <c r="HI26" i="1"/>
  <c r="DQ26" i="1"/>
  <c r="AK26" i="1"/>
  <c r="DI26" i="1"/>
  <c r="AW36" i="1"/>
  <c r="HU36" i="1"/>
  <c r="LV40" i="1"/>
  <c r="LU41" i="1"/>
  <c r="LV41" i="1" s="1"/>
  <c r="LN25" i="1"/>
  <c r="LN28" i="1"/>
  <c r="LN29" i="1"/>
  <c r="LN26" i="1"/>
  <c r="LN23" i="1"/>
  <c r="LN17" i="1"/>
  <c r="LN10" i="1"/>
  <c r="LN8" i="1"/>
  <c r="LN22" i="1"/>
  <c r="LN21" i="1"/>
  <c r="LN13" i="1"/>
  <c r="LN20" i="1"/>
  <c r="LN9" i="1"/>
  <c r="LN27" i="1"/>
  <c r="C4" i="1"/>
  <c r="EK4" i="1"/>
  <c r="HE4" i="1"/>
  <c r="JY4" i="1"/>
  <c r="AK7" i="1"/>
  <c r="DA7" i="1"/>
  <c r="I12" i="1"/>
  <c r="FY12" i="1"/>
  <c r="JQ12" i="1"/>
  <c r="E15" i="1"/>
  <c r="CW15" i="1"/>
  <c r="FU15" i="1"/>
  <c r="JI15" i="1"/>
  <c r="FY17" i="1"/>
  <c r="Q4" i="1"/>
  <c r="CC4" i="1"/>
  <c r="HQ4" i="1"/>
  <c r="KC4" i="1"/>
  <c r="Q12" i="1"/>
  <c r="DI12" i="1"/>
  <c r="JU12" i="1"/>
  <c r="KG3" i="1"/>
  <c r="IK3" i="1"/>
  <c r="GO3" i="1"/>
  <c r="ES3" i="1"/>
  <c r="CW3" i="1"/>
  <c r="BA3" i="1"/>
  <c r="E3" i="1"/>
  <c r="JY3" i="1"/>
  <c r="HY3" i="1"/>
  <c r="FY3" i="1"/>
  <c r="DY3" i="1"/>
  <c r="BY3" i="1"/>
  <c r="Y3" i="1"/>
  <c r="JU3" i="1"/>
  <c r="HU3" i="1"/>
  <c r="FU3" i="1"/>
  <c r="DU3" i="1"/>
  <c r="BU3" i="1"/>
  <c r="U3" i="1"/>
  <c r="JI3" i="1"/>
  <c r="HI3" i="1"/>
  <c r="FI3" i="1"/>
  <c r="DI3" i="1"/>
  <c r="BI3" i="1"/>
  <c r="I3" i="1"/>
  <c r="BQ3" i="1"/>
  <c r="HA3" i="1"/>
  <c r="JQ3" i="1"/>
  <c r="CK4" i="1"/>
  <c r="FE4" i="1"/>
  <c r="LP6" i="1"/>
  <c r="LW5" i="1"/>
  <c r="LQ6" i="1"/>
  <c r="AW7" i="1"/>
  <c r="GW7" i="1"/>
  <c r="JU7" i="1"/>
  <c r="LN11" i="1"/>
  <c r="AO12" i="1"/>
  <c r="DQ12" i="1"/>
  <c r="HI12" i="1"/>
  <c r="KC12" i="1"/>
  <c r="LN14" i="1"/>
  <c r="Y15" i="1"/>
  <c r="DI15" i="1"/>
  <c r="GO15" i="1"/>
  <c r="KC15" i="1"/>
  <c r="AC17" i="1"/>
  <c r="DQ17" i="1"/>
  <c r="GS17" i="1"/>
  <c r="KC17" i="1"/>
  <c r="BM21" i="1"/>
  <c r="FI21" i="1"/>
  <c r="IO21" i="1"/>
  <c r="EW22" i="1"/>
  <c r="LQ22" i="1"/>
  <c r="LR22" i="1" s="1"/>
  <c r="LP25" i="1"/>
  <c r="FU26" i="1"/>
  <c r="LE27" i="1"/>
  <c r="JI27" i="1"/>
  <c r="HM27" i="1"/>
  <c r="FQ27" i="1"/>
  <c r="DU27" i="1"/>
  <c r="BY27" i="1"/>
  <c r="AC27" i="1"/>
  <c r="JU27" i="1"/>
  <c r="HU27" i="1"/>
  <c r="FU27" i="1"/>
  <c r="DQ27" i="1"/>
  <c r="BQ27" i="1"/>
  <c r="Q27" i="1"/>
  <c r="JQ27" i="1"/>
  <c r="HI27" i="1"/>
  <c r="FE27" i="1"/>
  <c r="DA27" i="1"/>
  <c r="AW27" i="1"/>
  <c r="KW27" i="1"/>
  <c r="IO27" i="1"/>
  <c r="GG27" i="1"/>
  <c r="DY27" i="1"/>
  <c r="BI27" i="1"/>
  <c r="C27" i="1"/>
  <c r="KG27" i="1"/>
  <c r="HY27" i="1"/>
  <c r="FI27" i="1"/>
  <c r="CW27" i="1"/>
  <c r="AO27" i="1"/>
  <c r="KC27" i="1"/>
  <c r="HA27" i="1"/>
  <c r="EK27" i="1"/>
  <c r="BM27" i="1"/>
  <c r="JA27" i="1"/>
  <c r="GK27" i="1"/>
  <c r="DI27" i="1"/>
  <c r="AK27" i="1"/>
  <c r="JY27" i="1"/>
  <c r="GO27" i="1"/>
  <c r="CS27" i="1"/>
  <c r="M27" i="1"/>
  <c r="JM27" i="1"/>
  <c r="GC27" i="1"/>
  <c r="I27" i="1"/>
  <c r="CO27" i="1"/>
  <c r="JE27" i="1"/>
  <c r="FY27" i="1"/>
  <c r="CK27" i="1"/>
  <c r="E27" i="1"/>
  <c r="IS27" i="1"/>
  <c r="FA27" i="1"/>
  <c r="CC27" i="1"/>
  <c r="EG27" i="1"/>
  <c r="IW27" i="1"/>
  <c r="DA36" i="1"/>
  <c r="KK36" i="1"/>
  <c r="CC3" i="1"/>
  <c r="HE3" i="1"/>
  <c r="LR3" i="1"/>
  <c r="CO4" i="1"/>
  <c r="IC4" i="1"/>
  <c r="BA7" i="1"/>
  <c r="JQ9" i="1"/>
  <c r="HU9" i="1"/>
  <c r="FY9" i="1"/>
  <c r="EC9" i="1"/>
  <c r="CG9" i="1"/>
  <c r="AK9" i="1"/>
  <c r="KK9" i="1"/>
  <c r="IK9" i="1"/>
  <c r="GK9" i="1"/>
  <c r="EK9" i="1"/>
  <c r="CK9" i="1"/>
  <c r="AG9" i="1"/>
  <c r="KC9" i="1"/>
  <c r="HY9" i="1"/>
  <c r="FQ9" i="1"/>
  <c r="DM9" i="1"/>
  <c r="BI9" i="1"/>
  <c r="E9" i="1"/>
  <c r="HQ9" i="1"/>
  <c r="DI9" i="1"/>
  <c r="BE9" i="1"/>
  <c r="JY9" i="1"/>
  <c r="FM9" i="1"/>
  <c r="C9" i="1"/>
  <c r="JI9" i="1"/>
  <c r="HE9" i="1"/>
  <c r="FA9" i="1"/>
  <c r="CW9" i="1"/>
  <c r="AS9" i="1"/>
  <c r="BU9" i="1"/>
  <c r="ES9" i="1"/>
  <c r="HM9" i="1"/>
  <c r="M3" i="1"/>
  <c r="CG3" i="1"/>
  <c r="HM3" i="1"/>
  <c r="KK3" i="1"/>
  <c r="AG4" i="1"/>
  <c r="CW4" i="1"/>
  <c r="FU4" i="1"/>
  <c r="IG4" i="1"/>
  <c r="LA4" i="1"/>
  <c r="BI7" i="1"/>
  <c r="EG7" i="1"/>
  <c r="HM7" i="1"/>
  <c r="KC7" i="1"/>
  <c r="I9" i="1"/>
  <c r="BY9" i="1"/>
  <c r="EW9" i="1"/>
  <c r="IC9" i="1"/>
  <c r="KG11" i="1"/>
  <c r="IK11" i="1"/>
  <c r="GO11" i="1"/>
  <c r="ES11" i="1"/>
  <c r="CW11" i="1"/>
  <c r="BA11" i="1"/>
  <c r="E11" i="1"/>
  <c r="JM11" i="1"/>
  <c r="HM11" i="1"/>
  <c r="FM11" i="1"/>
  <c r="DM11" i="1"/>
  <c r="BM11" i="1"/>
  <c r="M11" i="1"/>
  <c r="KO11" i="1"/>
  <c r="IG11" i="1"/>
  <c r="GC11" i="1"/>
  <c r="DY11" i="1"/>
  <c r="BU11" i="1"/>
  <c r="Q11" i="1"/>
  <c r="KK11" i="1"/>
  <c r="FY11" i="1"/>
  <c r="DU11" i="1"/>
  <c r="I11" i="1"/>
  <c r="IC11" i="1"/>
  <c r="BQ11" i="1"/>
  <c r="KC11" i="1"/>
  <c r="HY11" i="1"/>
  <c r="FU11" i="1"/>
  <c r="DQ11" i="1"/>
  <c r="BI11" i="1"/>
  <c r="C11" i="1"/>
  <c r="JU11" i="1"/>
  <c r="HQ11" i="1"/>
  <c r="FI11" i="1"/>
  <c r="DE11" i="1"/>
  <c r="AW11" i="1"/>
  <c r="CK11" i="1"/>
  <c r="FQ11" i="1"/>
  <c r="JA11" i="1"/>
  <c r="AW12" i="1"/>
  <c r="HQ12" i="1"/>
  <c r="KK12" i="1"/>
  <c r="LE14" i="1"/>
  <c r="JI14" i="1"/>
  <c r="HM14" i="1"/>
  <c r="FQ14" i="1"/>
  <c r="DU14" i="1"/>
  <c r="BY14" i="1"/>
  <c r="AC14" i="1"/>
  <c r="KG14" i="1"/>
  <c r="IG14" i="1"/>
  <c r="GG14" i="1"/>
  <c r="EG14" i="1"/>
  <c r="CG14" i="1"/>
  <c r="AG14" i="1"/>
  <c r="KS14" i="1"/>
  <c r="IO14" i="1"/>
  <c r="GK14" i="1"/>
  <c r="EC14" i="1"/>
  <c r="BU14" i="1"/>
  <c r="Q14" i="1"/>
  <c r="KO14" i="1"/>
  <c r="IK14" i="1"/>
  <c r="GC14" i="1"/>
  <c r="DY14" i="1"/>
  <c r="BQ14" i="1"/>
  <c r="M14" i="1"/>
  <c r="KK14" i="1"/>
  <c r="IC14" i="1"/>
  <c r="FY14" i="1"/>
  <c r="DQ14" i="1"/>
  <c r="BM14" i="1"/>
  <c r="I14" i="1"/>
  <c r="JY14" i="1"/>
  <c r="HU14" i="1"/>
  <c r="FM14" i="1"/>
  <c r="DI14" i="1"/>
  <c r="BE14" i="1"/>
  <c r="C14" i="1"/>
  <c r="CO14" i="1"/>
  <c r="FI14" i="1"/>
  <c r="JA14" i="1"/>
  <c r="LP14" i="1"/>
  <c r="AW15" i="1"/>
  <c r="DU15" i="1"/>
  <c r="HI15" i="1"/>
  <c r="KK15" i="1"/>
  <c r="BE17" i="1"/>
  <c r="HQ17" i="1"/>
  <c r="KO17" i="1"/>
  <c r="C20" i="1"/>
  <c r="DE20" i="1"/>
  <c r="KC20" i="1"/>
  <c r="CC21" i="1"/>
  <c r="FU21" i="1"/>
  <c r="JE21" i="1"/>
  <c r="BE22" i="1"/>
  <c r="FE22" i="1"/>
  <c r="IK22" i="1"/>
  <c r="BU26" i="1"/>
  <c r="GG26" i="1"/>
  <c r="ES27" i="1"/>
  <c r="Q3" i="1"/>
  <c r="CK3" i="1"/>
  <c r="FA3" i="1"/>
  <c r="HQ3" i="1"/>
  <c r="KO3" i="1"/>
  <c r="AK4" i="1"/>
  <c r="DA4" i="1"/>
  <c r="FY4" i="1"/>
  <c r="IK4" i="1"/>
  <c r="LE4" i="1"/>
  <c r="Q6" i="1"/>
  <c r="CO6" i="1"/>
  <c r="FA6" i="1"/>
  <c r="HU6" i="1"/>
  <c r="LA6" i="1"/>
  <c r="BM7" i="1"/>
  <c r="ES7" i="1"/>
  <c r="HQ7" i="1"/>
  <c r="KG7" i="1"/>
  <c r="M9" i="1"/>
  <c r="CC9" i="1"/>
  <c r="FE9" i="1"/>
  <c r="IG9" i="1"/>
  <c r="LA9" i="1"/>
  <c r="U11" i="1"/>
  <c r="CO11" i="1"/>
  <c r="GG11" i="1"/>
  <c r="JE11" i="1"/>
  <c r="BE12" i="1"/>
  <c r="EG12" i="1"/>
  <c r="HU12" i="1"/>
  <c r="KW12" i="1"/>
  <c r="E14" i="1"/>
  <c r="CS14" i="1"/>
  <c r="FU14" i="1"/>
  <c r="JE14" i="1"/>
  <c r="BA15" i="1"/>
  <c r="DY15" i="1"/>
  <c r="HM15" i="1"/>
  <c r="KO15" i="1"/>
  <c r="BI17" i="1"/>
  <c r="EC17" i="1"/>
  <c r="HU17" i="1"/>
  <c r="KS17" i="1"/>
  <c r="LO19" i="1"/>
  <c r="LP19" i="1"/>
  <c r="LR19" i="1" s="1"/>
  <c r="I20" i="1"/>
  <c r="DI20" i="1"/>
  <c r="GK20" i="1"/>
  <c r="KO20" i="1"/>
  <c r="CS21" i="1"/>
  <c r="GC21" i="1"/>
  <c r="JU21" i="1"/>
  <c r="BU22" i="1"/>
  <c r="FQ22" i="1"/>
  <c r="IW22" i="1"/>
  <c r="Q25" i="1"/>
  <c r="EG25" i="1"/>
  <c r="HY25" i="1"/>
  <c r="BY26" i="1"/>
  <c r="GS26" i="1"/>
  <c r="AG27" i="1"/>
  <c r="EW27" i="1"/>
  <c r="KS27" i="1"/>
  <c r="U28" i="1"/>
  <c r="GK28" i="1"/>
  <c r="LO32" i="1"/>
  <c r="EO36" i="1"/>
  <c r="FD50" i="1"/>
  <c r="JU47" i="1"/>
  <c r="HY47" i="1"/>
  <c r="JI47" i="1"/>
  <c r="HI47" i="1"/>
  <c r="FM47" i="1"/>
  <c r="DQ47" i="1"/>
  <c r="BU47" i="1"/>
  <c r="Y47" i="1"/>
  <c r="JY47" i="1"/>
  <c r="HQ47" i="1"/>
  <c r="FQ47" i="1"/>
  <c r="DM47" i="1"/>
  <c r="BM47" i="1"/>
  <c r="M47" i="1"/>
  <c r="JM47" i="1"/>
  <c r="HE47" i="1"/>
  <c r="FE47" i="1"/>
  <c r="DE47" i="1"/>
  <c r="BE47" i="1"/>
  <c r="E47" i="1"/>
  <c r="LA47" i="1"/>
  <c r="IO47" i="1"/>
  <c r="GC47" i="1"/>
  <c r="DU47" i="1"/>
  <c r="BA47" i="1"/>
  <c r="KO47" i="1"/>
  <c r="IC47" i="1"/>
  <c r="FI47" i="1"/>
  <c r="CW47" i="1"/>
  <c r="AO47" i="1"/>
  <c r="KK47" i="1"/>
  <c r="HU47" i="1"/>
  <c r="FA47" i="1"/>
  <c r="CS47" i="1"/>
  <c r="AK47" i="1"/>
  <c r="IG47" i="1"/>
  <c r="EO47" i="1"/>
  <c r="BQ47" i="1"/>
  <c r="HM47" i="1"/>
  <c r="EG47" i="1"/>
  <c r="AS47" i="1"/>
  <c r="LE47" i="1"/>
  <c r="HA47" i="1"/>
  <c r="EC47" i="1"/>
  <c r="AG47" i="1"/>
  <c r="IS47" i="1"/>
  <c r="DY47" i="1"/>
  <c r="Q47" i="1"/>
  <c r="KW47" i="1"/>
  <c r="GO47" i="1"/>
  <c r="CK47" i="1"/>
  <c r="KC47" i="1"/>
  <c r="EW47" i="1"/>
  <c r="U47" i="1"/>
  <c r="JE47" i="1"/>
  <c r="EK47" i="1"/>
  <c r="C47" i="1"/>
  <c r="IW47" i="1"/>
  <c r="DA47" i="1"/>
  <c r="KS47" i="1"/>
  <c r="DI47" i="1"/>
  <c r="KG47" i="1"/>
  <c r="CO47" i="1"/>
  <c r="JQ47" i="1"/>
  <c r="CG47" i="1"/>
  <c r="JA47" i="1"/>
  <c r="CC47" i="1"/>
  <c r="IK47" i="1"/>
  <c r="BY47" i="1"/>
  <c r="GW47" i="1"/>
  <c r="BI47" i="1"/>
  <c r="LO47" i="1"/>
  <c r="KG30" i="1"/>
  <c r="IK30" i="1"/>
  <c r="GO30" i="1"/>
  <c r="ES30" i="1"/>
  <c r="CW30" i="1"/>
  <c r="BA30" i="1"/>
  <c r="E30" i="1"/>
  <c r="KK30" i="1"/>
  <c r="IG30" i="1"/>
  <c r="GG30" i="1"/>
  <c r="EG30" i="1"/>
  <c r="CG30" i="1"/>
  <c r="AG30" i="1"/>
  <c r="KW30" i="1"/>
  <c r="IS30" i="1"/>
  <c r="GK30" i="1"/>
  <c r="EC30" i="1"/>
  <c r="BY30" i="1"/>
  <c r="U30" i="1"/>
  <c r="KS30" i="1"/>
  <c r="KC30" i="1"/>
  <c r="HU30" i="1"/>
  <c r="FM30" i="1"/>
  <c r="DE30" i="1"/>
  <c r="AS30" i="1"/>
  <c r="JM30" i="1"/>
  <c r="HE30" i="1"/>
  <c r="EW30" i="1"/>
  <c r="CK30" i="1"/>
  <c r="Y30" i="1"/>
  <c r="JE30" i="1"/>
  <c r="GC30" i="1"/>
  <c r="DM30" i="1"/>
  <c r="AO30" i="1"/>
  <c r="IC30" i="1"/>
  <c r="FI30" i="1"/>
  <c r="CO30" i="1"/>
  <c r="M30" i="1"/>
  <c r="CC30" i="1"/>
  <c r="FU30" i="1"/>
  <c r="JI30" i="1"/>
  <c r="FD32" i="1"/>
  <c r="KO35" i="1"/>
  <c r="IS35" i="1"/>
  <c r="GW35" i="1"/>
  <c r="FA35" i="1"/>
  <c r="DE35" i="1"/>
  <c r="BI35" i="1"/>
  <c r="M35" i="1"/>
  <c r="KC35" i="1"/>
  <c r="IC35" i="1"/>
  <c r="GC35" i="1"/>
  <c r="EC35" i="1"/>
  <c r="CC35" i="1"/>
  <c r="AC35" i="1"/>
  <c r="KG35" i="1"/>
  <c r="HY35" i="1"/>
  <c r="FU35" i="1"/>
  <c r="DQ35" i="1"/>
  <c r="BM35" i="1"/>
  <c r="E35" i="1"/>
  <c r="JY35" i="1"/>
  <c r="HQ35" i="1"/>
  <c r="FI35" i="1"/>
  <c r="CW35" i="1"/>
  <c r="AO35" i="1"/>
  <c r="JU35" i="1"/>
  <c r="HM35" i="1"/>
  <c r="FE35" i="1"/>
  <c r="CS35" i="1"/>
  <c r="AK35" i="1"/>
  <c r="JM35" i="1"/>
  <c r="GS35" i="1"/>
  <c r="DY35" i="1"/>
  <c r="BA35" i="1"/>
  <c r="IW35" i="1"/>
  <c r="FY35" i="1"/>
  <c r="DA35" i="1"/>
  <c r="Y35" i="1"/>
  <c r="JA35" i="1"/>
  <c r="FM35" i="1"/>
  <c r="BY35" i="1"/>
  <c r="LE35" i="1"/>
  <c r="HU35" i="1"/>
  <c r="EK35" i="1"/>
  <c r="AW35" i="1"/>
  <c r="CO35" i="1"/>
  <c r="HA35" i="1"/>
  <c r="LA35" i="1"/>
  <c r="DU41" i="1"/>
  <c r="KO41" i="1"/>
  <c r="AS18" i="1"/>
  <c r="CW18" i="1"/>
  <c r="FI18" i="1"/>
  <c r="HQ18" i="1"/>
  <c r="JY23" i="1"/>
  <c r="JI23" i="1"/>
  <c r="HM23" i="1"/>
  <c r="FQ23" i="1"/>
  <c r="DU23" i="1"/>
  <c r="BY23" i="1"/>
  <c r="AC23" i="1"/>
  <c r="LE23" i="1"/>
  <c r="JA23" i="1"/>
  <c r="HA23" i="1"/>
  <c r="FA23" i="1"/>
  <c r="DA23" i="1"/>
  <c r="BA23" i="1"/>
  <c r="C23" i="1"/>
  <c r="JQ23" i="1"/>
  <c r="HI23" i="1"/>
  <c r="FE23" i="1"/>
  <c r="CW23" i="1"/>
  <c r="AS23" i="1"/>
  <c r="BI23" i="1"/>
  <c r="DQ23" i="1"/>
  <c r="GC23" i="1"/>
  <c r="IK23" i="1"/>
  <c r="KW23" i="1"/>
  <c r="C30" i="1"/>
  <c r="CS30" i="1"/>
  <c r="FY30" i="1"/>
  <c r="JQ30" i="1"/>
  <c r="BQ31" i="1"/>
  <c r="FM31" i="1"/>
  <c r="JM31" i="1"/>
  <c r="C35" i="1"/>
  <c r="DI35" i="1"/>
  <c r="HE35" i="1"/>
  <c r="EC41" i="1"/>
  <c r="DQ44" i="1"/>
  <c r="JQ44" i="1"/>
  <c r="LA41" i="1"/>
  <c r="JE41" i="1"/>
  <c r="HI41" i="1"/>
  <c r="FM41" i="1"/>
  <c r="DQ41" i="1"/>
  <c r="BU41" i="1"/>
  <c r="Y41" i="1"/>
  <c r="KG41" i="1"/>
  <c r="IG41" i="1"/>
  <c r="GG41" i="1"/>
  <c r="EG41" i="1"/>
  <c r="CG41" i="1"/>
  <c r="AG41" i="1"/>
  <c r="JY41" i="1"/>
  <c r="HY41" i="1"/>
  <c r="FY41" i="1"/>
  <c r="DY41" i="1"/>
  <c r="BY41" i="1"/>
  <c r="U41" i="1"/>
  <c r="JQ41" i="1"/>
  <c r="HE41" i="1"/>
  <c r="EW41" i="1"/>
  <c r="CO41" i="1"/>
  <c r="AC41" i="1"/>
  <c r="JA41" i="1"/>
  <c r="GS41" i="1"/>
  <c r="EK41" i="1"/>
  <c r="BQ41" i="1"/>
  <c r="I41" i="1"/>
  <c r="IO41" i="1"/>
  <c r="FQ41" i="1"/>
  <c r="CW41" i="1"/>
  <c r="Q41" i="1"/>
  <c r="JI41" i="1"/>
  <c r="GC41" i="1"/>
  <c r="DA41" i="1"/>
  <c r="M41" i="1"/>
  <c r="IW41" i="1"/>
  <c r="FU41" i="1"/>
  <c r="CS41" i="1"/>
  <c r="E41" i="1"/>
  <c r="KK41" i="1"/>
  <c r="GO41" i="1"/>
  <c r="CK41" i="1"/>
  <c r="IS41" i="1"/>
  <c r="FA41" i="1"/>
  <c r="BE41" i="1"/>
  <c r="KS41" i="1"/>
  <c r="GK41" i="1"/>
  <c r="BI41" i="1"/>
  <c r="KC41" i="1"/>
  <c r="FE41" i="1"/>
  <c r="AW41" i="1"/>
  <c r="JM41" i="1"/>
  <c r="EO41" i="1"/>
  <c r="AO41" i="1"/>
  <c r="ES41" i="1"/>
  <c r="LE41" i="1"/>
  <c r="LP47" i="1"/>
  <c r="LQ48" i="1"/>
  <c r="LO48" i="1"/>
  <c r="LQ47" i="1"/>
  <c r="JQ18" i="1"/>
  <c r="HU18" i="1"/>
  <c r="FY18" i="1"/>
  <c r="EC18" i="1"/>
  <c r="LE18" i="1"/>
  <c r="JE18" i="1"/>
  <c r="HE18" i="1"/>
  <c r="FE18" i="1"/>
  <c r="DE18" i="1"/>
  <c r="BI18" i="1"/>
  <c r="M18" i="1"/>
  <c r="LA18" i="1"/>
  <c r="IW18" i="1"/>
  <c r="GS18" i="1"/>
  <c r="EO18" i="1"/>
  <c r="CK18" i="1"/>
  <c r="AK18" i="1"/>
  <c r="BA18" i="1"/>
  <c r="DI18" i="1"/>
  <c r="FQ18" i="1"/>
  <c r="IC18" i="1"/>
  <c r="KK18" i="1"/>
  <c r="LO29" i="1"/>
  <c r="LQ29" i="1"/>
  <c r="LP29" i="1"/>
  <c r="Q30" i="1"/>
  <c r="DI30" i="1"/>
  <c r="GW30" i="1"/>
  <c r="JY30" i="1"/>
  <c r="CC31" i="1"/>
  <c r="GG31" i="1"/>
  <c r="Q35" i="1"/>
  <c r="DU35" i="1"/>
  <c r="IG35" i="1"/>
  <c r="C41" i="1"/>
  <c r="FI41" i="1"/>
  <c r="EC44" i="1"/>
  <c r="KS46" i="1"/>
  <c r="IW46" i="1"/>
  <c r="HA46" i="1"/>
  <c r="FE46" i="1"/>
  <c r="DI46" i="1"/>
  <c r="BM46" i="1"/>
  <c r="Q46" i="1"/>
  <c r="JY46" i="1"/>
  <c r="HY46" i="1"/>
  <c r="FY46" i="1"/>
  <c r="DY46" i="1"/>
  <c r="BY46" i="1"/>
  <c r="Y46" i="1"/>
  <c r="JQ46" i="1"/>
  <c r="HQ46" i="1"/>
  <c r="FQ46" i="1"/>
  <c r="DQ46" i="1"/>
  <c r="BQ46" i="1"/>
  <c r="M46" i="1"/>
  <c r="KW46" i="1"/>
  <c r="IK46" i="1"/>
  <c r="GC46" i="1"/>
  <c r="DM46" i="1"/>
  <c r="BA46" i="1"/>
  <c r="KG46" i="1"/>
  <c r="HU46" i="1"/>
  <c r="FI46" i="1"/>
  <c r="CW46" i="1"/>
  <c r="AO46" i="1"/>
  <c r="KC46" i="1"/>
  <c r="HM46" i="1"/>
  <c r="FA46" i="1"/>
  <c r="CS46" i="1"/>
  <c r="AK46" i="1"/>
  <c r="JU46" i="1"/>
  <c r="GS46" i="1"/>
  <c r="DU46" i="1"/>
  <c r="AG46" i="1"/>
  <c r="JA46" i="1"/>
  <c r="FM46" i="1"/>
  <c r="CC46" i="1"/>
  <c r="IS46" i="1"/>
  <c r="EW46" i="1"/>
  <c r="BU46" i="1"/>
  <c r="LA46" i="1"/>
  <c r="GO46" i="1"/>
  <c r="CK46" i="1"/>
  <c r="JI46" i="1"/>
  <c r="ES46" i="1"/>
  <c r="AW46" i="1"/>
  <c r="KO46" i="1"/>
  <c r="FU46" i="1"/>
  <c r="AC46" i="1"/>
  <c r="JM46" i="1"/>
  <c r="EK46" i="1"/>
  <c r="I46" i="1"/>
  <c r="IO46" i="1"/>
  <c r="EC46" i="1"/>
  <c r="C46" i="1"/>
  <c r="GG46" i="1"/>
  <c r="GW41" i="1"/>
  <c r="KC44" i="1"/>
  <c r="IG44" i="1"/>
  <c r="GK44" i="1"/>
  <c r="EO44" i="1"/>
  <c r="CS44" i="1"/>
  <c r="AW44" i="1"/>
  <c r="C44" i="1"/>
  <c r="KS44" i="1"/>
  <c r="IS44" i="1"/>
  <c r="GS44" i="1"/>
  <c r="ES44" i="1"/>
  <c r="CO44" i="1"/>
  <c r="AO44" i="1"/>
  <c r="KK44" i="1"/>
  <c r="IK44" i="1"/>
  <c r="GG44" i="1"/>
  <c r="EG44" i="1"/>
  <c r="CG44" i="1"/>
  <c r="AG44" i="1"/>
  <c r="LE44" i="1"/>
  <c r="IW44" i="1"/>
  <c r="GC44" i="1"/>
  <c r="DU44" i="1"/>
  <c r="BM44" i="1"/>
  <c r="E44" i="1"/>
  <c r="KO44" i="1"/>
  <c r="HY44" i="1"/>
  <c r="FQ44" i="1"/>
  <c r="DI44" i="1"/>
  <c r="BA44" i="1"/>
  <c r="KG44" i="1"/>
  <c r="HU44" i="1"/>
  <c r="FM44" i="1"/>
  <c r="DE44" i="1"/>
  <c r="AS44" i="1"/>
  <c r="LA44" i="1"/>
  <c r="HM44" i="1"/>
  <c r="EK44" i="1"/>
  <c r="BI44" i="1"/>
  <c r="IO44" i="1"/>
  <c r="FA44" i="1"/>
  <c r="BQ44" i="1"/>
  <c r="IC44" i="1"/>
  <c r="EW44" i="1"/>
  <c r="BE44" i="1"/>
  <c r="HE44" i="1"/>
  <c r="DA44" i="1"/>
  <c r="I44" i="1"/>
  <c r="JU44" i="1"/>
  <c r="FY44" i="1"/>
  <c r="BY44" i="1"/>
  <c r="JA44" i="1"/>
  <c r="DM44" i="1"/>
  <c r="HI44" i="1"/>
  <c r="CK44" i="1"/>
  <c r="GW44" i="1"/>
  <c r="BU44" i="1"/>
  <c r="FE44" i="1"/>
  <c r="LP45" i="1"/>
  <c r="LO45" i="1"/>
  <c r="LQ45" i="1"/>
  <c r="LR45" i="1" s="1"/>
  <c r="LQ24" i="1"/>
  <c r="LR24" i="1" s="1"/>
  <c r="LO24" i="1"/>
  <c r="LO27" i="1"/>
  <c r="LP27" i="1"/>
  <c r="LQ27" i="1"/>
  <c r="LQ30" i="1"/>
  <c r="LP30" i="1"/>
  <c r="AC30" i="1"/>
  <c r="DQ30" i="1"/>
  <c r="HA30" i="1"/>
  <c r="KO30" i="1"/>
  <c r="KO31" i="1"/>
  <c r="IS31" i="1"/>
  <c r="GW31" i="1"/>
  <c r="FA31" i="1"/>
  <c r="DE31" i="1"/>
  <c r="BI31" i="1"/>
  <c r="M31" i="1"/>
  <c r="JY31" i="1"/>
  <c r="HY31" i="1"/>
  <c r="FY31" i="1"/>
  <c r="DY31" i="1"/>
  <c r="BY31" i="1"/>
  <c r="Y31" i="1"/>
  <c r="JI31" i="1"/>
  <c r="HE31" i="1"/>
  <c r="EW31" i="1"/>
  <c r="CS31" i="1"/>
  <c r="AO31" i="1"/>
  <c r="JE31" i="1"/>
  <c r="HA31" i="1"/>
  <c r="ES31" i="1"/>
  <c r="CO31" i="1"/>
  <c r="AK31" i="1"/>
  <c r="LE31" i="1"/>
  <c r="IO31" i="1"/>
  <c r="GC31" i="1"/>
  <c r="DM31" i="1"/>
  <c r="AW31" i="1"/>
  <c r="KK31" i="1"/>
  <c r="HU31" i="1"/>
  <c r="FI31" i="1"/>
  <c r="CK31" i="1"/>
  <c r="U31" i="1"/>
  <c r="JU31" i="1"/>
  <c r="GO31" i="1"/>
  <c r="DQ31" i="1"/>
  <c r="AG31" i="1"/>
  <c r="IW31" i="1"/>
  <c r="FQ31" i="1"/>
  <c r="CG31" i="1"/>
  <c r="E31" i="1"/>
  <c r="CW31" i="1"/>
  <c r="GK31" i="1"/>
  <c r="KG31" i="1"/>
  <c r="U35" i="1"/>
  <c r="EG35" i="1"/>
  <c r="IK35" i="1"/>
  <c r="AK41" i="1"/>
  <c r="KW5" i="1"/>
  <c r="JA5" i="1"/>
  <c r="HE5" i="1"/>
  <c r="FI5" i="1"/>
  <c r="DM5" i="1"/>
  <c r="BQ5" i="1"/>
  <c r="U5" i="1"/>
  <c r="AW5" i="1"/>
  <c r="CW5" i="1"/>
  <c r="EW5" i="1"/>
  <c r="GW5" i="1"/>
  <c r="IW5" i="1"/>
  <c r="LA5" i="1"/>
  <c r="KW13" i="1"/>
  <c r="JA13" i="1"/>
  <c r="HE13" i="1"/>
  <c r="FI13" i="1"/>
  <c r="DM13" i="1"/>
  <c r="BQ13" i="1"/>
  <c r="U13" i="1"/>
  <c r="KO13" i="1"/>
  <c r="IO13" i="1"/>
  <c r="GO13" i="1"/>
  <c r="EO13" i="1"/>
  <c r="CO13" i="1"/>
  <c r="AO13" i="1"/>
  <c r="BA13" i="1"/>
  <c r="DE13" i="1"/>
  <c r="FM13" i="1"/>
  <c r="HQ13" i="1"/>
  <c r="JU13" i="1"/>
  <c r="LO16" i="1"/>
  <c r="E18" i="1"/>
  <c r="BM18" i="1"/>
  <c r="DQ18" i="1"/>
  <c r="GC18" i="1"/>
  <c r="IK18" i="1"/>
  <c r="KS18" i="1"/>
  <c r="Q23" i="1"/>
  <c r="CC23" i="1"/>
  <c r="EK23" i="1"/>
  <c r="GS23" i="1"/>
  <c r="JE23" i="1"/>
  <c r="AK30" i="1"/>
  <c r="DU30" i="1"/>
  <c r="HI30" i="1"/>
  <c r="LA30" i="1"/>
  <c r="C31" i="1"/>
  <c r="DA31" i="1"/>
  <c r="GS31" i="1"/>
  <c r="KS31" i="1"/>
  <c r="AG35" i="1"/>
  <c r="EO35" i="1"/>
  <c r="IO35" i="1"/>
  <c r="KS40" i="1"/>
  <c r="KO40" i="1"/>
  <c r="IS40" i="1"/>
  <c r="GW40" i="1"/>
  <c r="FA40" i="1"/>
  <c r="DE40" i="1"/>
  <c r="BI40" i="1"/>
  <c r="M40" i="1"/>
  <c r="KG40" i="1"/>
  <c r="IK40" i="1"/>
  <c r="GO40" i="1"/>
  <c r="ES40" i="1"/>
  <c r="CW40" i="1"/>
  <c r="BA40" i="1"/>
  <c r="E40" i="1"/>
  <c r="JQ40" i="1"/>
  <c r="HM40" i="1"/>
  <c r="FI40" i="1"/>
  <c r="DA40" i="1"/>
  <c r="AS40" i="1"/>
  <c r="JE40" i="1"/>
  <c r="HA40" i="1"/>
  <c r="EO40" i="1"/>
  <c r="CK40" i="1"/>
  <c r="AG40" i="1"/>
  <c r="IO40" i="1"/>
  <c r="FY40" i="1"/>
  <c r="DM40" i="1"/>
  <c r="AO40" i="1"/>
  <c r="LE40" i="1"/>
  <c r="IC40" i="1"/>
  <c r="FM40" i="1"/>
  <c r="CG40" i="1"/>
  <c r="Q40" i="1"/>
  <c r="LA40" i="1"/>
  <c r="HY40" i="1"/>
  <c r="FE40" i="1"/>
  <c r="CC40" i="1"/>
  <c r="I40" i="1"/>
  <c r="JU40" i="1"/>
  <c r="GG40" i="1"/>
  <c r="CS40" i="1"/>
  <c r="C40" i="1"/>
  <c r="IW40" i="1"/>
  <c r="EW40" i="1"/>
  <c r="BQ40" i="1"/>
  <c r="HQ40" i="1"/>
  <c r="DU40" i="1"/>
  <c r="U40" i="1"/>
  <c r="HE40" i="1"/>
  <c r="DI40" i="1"/>
  <c r="KK40" i="1"/>
  <c r="GK40" i="1"/>
  <c r="BY40" i="1"/>
  <c r="EG40" i="1"/>
  <c r="JY40" i="1"/>
  <c r="AS41" i="1"/>
  <c r="HA41" i="1"/>
  <c r="M44" i="1"/>
  <c r="FI44" i="1"/>
  <c r="U46" i="1"/>
  <c r="GW46" i="1"/>
  <c r="KG34" i="1"/>
  <c r="IK34" i="1"/>
  <c r="GO34" i="1"/>
  <c r="ES34" i="1"/>
  <c r="CW34" i="1"/>
  <c r="BA34" i="1"/>
  <c r="E34" i="1"/>
  <c r="KO34" i="1"/>
  <c r="IO34" i="1"/>
  <c r="GK34" i="1"/>
  <c r="EK34" i="1"/>
  <c r="CK34" i="1"/>
  <c r="AK34" i="1"/>
  <c r="JI34" i="1"/>
  <c r="HE34" i="1"/>
  <c r="FA34" i="1"/>
  <c r="CS34" i="1"/>
  <c r="AO34" i="1"/>
  <c r="KC34" i="1"/>
  <c r="HU34" i="1"/>
  <c r="FM34" i="1"/>
  <c r="DE34" i="1"/>
  <c r="AS34" i="1"/>
  <c r="JY34" i="1"/>
  <c r="HQ34" i="1"/>
  <c r="FI34" i="1"/>
  <c r="DA34" i="1"/>
  <c r="AG34" i="1"/>
  <c r="JU34" i="1"/>
  <c r="HA34" i="1"/>
  <c r="EC34" i="1"/>
  <c r="BM34" i="1"/>
  <c r="JA34" i="1"/>
  <c r="GC34" i="1"/>
  <c r="DM34" i="1"/>
  <c r="AC34" i="1"/>
  <c r="BY34" i="1"/>
  <c r="FQ34" i="1"/>
  <c r="IW34" i="1"/>
  <c r="BQ37" i="1"/>
  <c r="FM37" i="1"/>
  <c r="CW42" i="1"/>
  <c r="LP49" i="1"/>
  <c r="LQ50" i="1"/>
  <c r="LR50" i="1" s="1"/>
  <c r="LO50" i="1"/>
  <c r="LO49" i="1"/>
  <c r="LR49" i="1" s="1"/>
  <c r="LE37" i="1"/>
  <c r="JI37" i="1"/>
  <c r="HM37" i="1"/>
  <c r="FQ37" i="1"/>
  <c r="DU37" i="1"/>
  <c r="BY37" i="1"/>
  <c r="AC37" i="1"/>
  <c r="JE37" i="1"/>
  <c r="HE37" i="1"/>
  <c r="FE37" i="1"/>
  <c r="DE37" i="1"/>
  <c r="BE37" i="1"/>
  <c r="E37" i="1"/>
  <c r="JU37" i="1"/>
  <c r="HQ37" i="1"/>
  <c r="FI37" i="1"/>
  <c r="DA37" i="1"/>
  <c r="AW37" i="1"/>
  <c r="JM37" i="1"/>
  <c r="GW37" i="1"/>
  <c r="EO37" i="1"/>
  <c r="CG37" i="1"/>
  <c r="U37" i="1"/>
  <c r="GS37" i="1"/>
  <c r="EK37" i="1"/>
  <c r="CC37" i="1"/>
  <c r="Q37" i="1"/>
  <c r="LA37" i="1"/>
  <c r="IO37" i="1"/>
  <c r="FY37" i="1"/>
  <c r="CW37" i="1"/>
  <c r="AG37" i="1"/>
  <c r="KK37" i="1"/>
  <c r="HY37" i="1"/>
  <c r="EW37" i="1"/>
  <c r="BU37" i="1"/>
  <c r="C37" i="1"/>
  <c r="CO37" i="1"/>
  <c r="GC37" i="1"/>
  <c r="JA37" i="1"/>
  <c r="JM42" i="1"/>
  <c r="HQ42" i="1"/>
  <c r="FU42" i="1"/>
  <c r="DY42" i="1"/>
  <c r="CC42" i="1"/>
  <c r="AG42" i="1"/>
  <c r="JU42" i="1"/>
  <c r="HU42" i="1"/>
  <c r="FQ42" i="1"/>
  <c r="DQ42" i="1"/>
  <c r="BQ42" i="1"/>
  <c r="Q42" i="1"/>
  <c r="JI42" i="1"/>
  <c r="HI42" i="1"/>
  <c r="FI42" i="1"/>
  <c r="DI42" i="1"/>
  <c r="BI42" i="1"/>
  <c r="I42" i="1"/>
  <c r="JQ42" i="1"/>
  <c r="HA42" i="1"/>
  <c r="ES42" i="1"/>
  <c r="CK42" i="1"/>
  <c r="Y42" i="1"/>
  <c r="LE42" i="1"/>
  <c r="IW42" i="1"/>
  <c r="GO42" i="1"/>
  <c r="EG42" i="1"/>
  <c r="BU42" i="1"/>
  <c r="E42" i="1"/>
  <c r="LA42" i="1"/>
  <c r="IK42" i="1"/>
  <c r="FM42" i="1"/>
  <c r="CS42" i="1"/>
  <c r="U42" i="1"/>
  <c r="KG42" i="1"/>
  <c r="GW42" i="1"/>
  <c r="DU42" i="1"/>
  <c r="AS42" i="1"/>
  <c r="KC42" i="1"/>
  <c r="GS42" i="1"/>
  <c r="DM42" i="1"/>
  <c r="AO42" i="1"/>
  <c r="KK42" i="1"/>
  <c r="GG42" i="1"/>
  <c r="CO42" i="1"/>
  <c r="IS42" i="1"/>
  <c r="FA42" i="1"/>
  <c r="BE42" i="1"/>
  <c r="DE42" i="1"/>
  <c r="IC42" i="1"/>
  <c r="LU48" i="1"/>
  <c r="LV48" i="1" s="1"/>
  <c r="LE8" i="1"/>
  <c r="JI8" i="1"/>
  <c r="HM8" i="1"/>
  <c r="FQ8" i="1"/>
  <c r="DU8" i="1"/>
  <c r="BY8" i="1"/>
  <c r="AC8" i="1"/>
  <c r="AW8" i="1"/>
  <c r="CW8" i="1"/>
  <c r="EW8" i="1"/>
  <c r="GW8" i="1"/>
  <c r="IW8" i="1"/>
  <c r="KW8" i="1"/>
  <c r="LU28" i="1"/>
  <c r="Q34" i="1"/>
  <c r="DI34" i="1"/>
  <c r="GS34" i="1"/>
  <c r="KK34" i="1"/>
  <c r="M37" i="1"/>
  <c r="DI37" i="1"/>
  <c r="GK37" i="1"/>
  <c r="JY37" i="1"/>
  <c r="M42" i="1"/>
  <c r="EK42" i="1"/>
  <c r="IO42" i="1"/>
  <c r="JY38" i="1"/>
  <c r="IC38" i="1"/>
  <c r="GG38" i="1"/>
  <c r="JQ38" i="1"/>
  <c r="HU38" i="1"/>
  <c r="FY38" i="1"/>
  <c r="EC38" i="1"/>
  <c r="CG38" i="1"/>
  <c r="AK38" i="1"/>
  <c r="LE38" i="1"/>
  <c r="JA38" i="1"/>
  <c r="GW38" i="1"/>
  <c r="ES38" i="1"/>
  <c r="CS38" i="1"/>
  <c r="AS38" i="1"/>
  <c r="KO38" i="1"/>
  <c r="IG38" i="1"/>
  <c r="FQ38" i="1"/>
  <c r="DM38" i="1"/>
  <c r="BI38" i="1"/>
  <c r="E38" i="1"/>
  <c r="JE38" i="1"/>
  <c r="GO38" i="1"/>
  <c r="DY38" i="1"/>
  <c r="BQ38" i="1"/>
  <c r="I38" i="1"/>
  <c r="IW38" i="1"/>
  <c r="GK38" i="1"/>
  <c r="DU38" i="1"/>
  <c r="BM38" i="1"/>
  <c r="C38" i="1"/>
  <c r="BY38" i="1"/>
  <c r="EW38" i="1"/>
  <c r="HQ38" i="1"/>
  <c r="KW38" i="1"/>
  <c r="CT63" i="1"/>
  <c r="LO38" i="1"/>
  <c r="JU51" i="1"/>
  <c r="HY51" i="1"/>
  <c r="GC51" i="1"/>
  <c r="EG51" i="1"/>
  <c r="CK51" i="1"/>
  <c r="AO51" i="1"/>
  <c r="JQ51" i="1"/>
  <c r="HU51" i="1"/>
  <c r="FY51" i="1"/>
  <c r="EC51" i="1"/>
  <c r="CG51" i="1"/>
  <c r="AK51" i="1"/>
  <c r="KW51" i="1"/>
  <c r="JA51" i="1"/>
  <c r="HE51" i="1"/>
  <c r="FI51" i="1"/>
  <c r="DM51" i="1"/>
  <c r="BQ51" i="1"/>
  <c r="U51" i="1"/>
  <c r="KC51" i="1"/>
  <c r="IG51" i="1"/>
  <c r="GK51" i="1"/>
  <c r="EO51" i="1"/>
  <c r="CS51" i="1"/>
  <c r="AW51" i="1"/>
  <c r="C51" i="1"/>
  <c r="IW51" i="1"/>
  <c r="GG51" i="1"/>
  <c r="DI51" i="1"/>
  <c r="AS51" i="1"/>
  <c r="IS51" i="1"/>
  <c r="FQ51" i="1"/>
  <c r="CW51" i="1"/>
  <c r="Q51" i="1"/>
  <c r="LE51" i="1"/>
  <c r="IK51" i="1"/>
  <c r="FE51" i="1"/>
  <c r="CC51" i="1"/>
  <c r="I51" i="1"/>
  <c r="JE51" i="1"/>
  <c r="FA51" i="1"/>
  <c r="BM51" i="1"/>
  <c r="IO51" i="1"/>
  <c r="EW51" i="1"/>
  <c r="BI51" i="1"/>
  <c r="LA51" i="1"/>
  <c r="HM51" i="1"/>
  <c r="DY51" i="1"/>
  <c r="AG51" i="1"/>
  <c r="KS51" i="1"/>
  <c r="HI51" i="1"/>
  <c r="DU51" i="1"/>
  <c r="AC51" i="1"/>
  <c r="JM51" i="1"/>
  <c r="DQ51" i="1"/>
  <c r="IC51" i="1"/>
  <c r="DA51" i="1"/>
  <c r="FM51" i="1"/>
  <c r="LP52" i="1"/>
  <c r="AS10" i="1"/>
  <c r="CO10" i="1"/>
  <c r="EK10" i="1"/>
  <c r="GG10" i="1"/>
  <c r="IC10" i="1"/>
  <c r="AS16" i="1"/>
  <c r="CO16" i="1"/>
  <c r="EK16" i="1"/>
  <c r="GG16" i="1"/>
  <c r="IC16" i="1"/>
  <c r="LP38" i="1"/>
  <c r="E51" i="1"/>
  <c r="FU51" i="1"/>
  <c r="AS19" i="1"/>
  <c r="CO19" i="1"/>
  <c r="EK19" i="1"/>
  <c r="GG19" i="1"/>
  <c r="IC19" i="1"/>
  <c r="KG24" i="1"/>
  <c r="IK24" i="1"/>
  <c r="GO24" i="1"/>
  <c r="ES24" i="1"/>
  <c r="CW24" i="1"/>
  <c r="BA24" i="1"/>
  <c r="E24" i="1"/>
  <c r="AW24" i="1"/>
  <c r="DA24" i="1"/>
  <c r="FA24" i="1"/>
  <c r="HA24" i="1"/>
  <c r="JA24" i="1"/>
  <c r="LA24" i="1"/>
  <c r="LP41" i="1"/>
  <c r="LQ41" i="1"/>
  <c r="LO42" i="1"/>
  <c r="JU43" i="1"/>
  <c r="HY43" i="1"/>
  <c r="GC43" i="1"/>
  <c r="EG43" i="1"/>
  <c r="CK43" i="1"/>
  <c r="AO43" i="1"/>
  <c r="LA43" i="1"/>
  <c r="JA43" i="1"/>
  <c r="HA43" i="1"/>
  <c r="FA43" i="1"/>
  <c r="DA43" i="1"/>
  <c r="BA43" i="1"/>
  <c r="C43" i="1"/>
  <c r="KS43" i="1"/>
  <c r="IS43" i="1"/>
  <c r="GS43" i="1"/>
  <c r="ES43" i="1"/>
  <c r="CS43" i="1"/>
  <c r="AS43" i="1"/>
  <c r="IW43" i="1"/>
  <c r="GK43" i="1"/>
  <c r="DY43" i="1"/>
  <c r="BQ43" i="1"/>
  <c r="I43" i="1"/>
  <c r="KO43" i="1"/>
  <c r="IG43" i="1"/>
  <c r="FU43" i="1"/>
  <c r="DM43" i="1"/>
  <c r="BE43" i="1"/>
  <c r="BU43" i="1"/>
  <c r="EO43" i="1"/>
  <c r="HM43" i="1"/>
  <c r="KG43" i="1"/>
  <c r="LE49" i="1"/>
  <c r="JI49" i="1"/>
  <c r="HM49" i="1"/>
  <c r="FQ49" i="1"/>
  <c r="DU49" i="1"/>
  <c r="BY49" i="1"/>
  <c r="AC49" i="1"/>
  <c r="LA49" i="1"/>
  <c r="JE49" i="1"/>
  <c r="HI49" i="1"/>
  <c r="FM49" i="1"/>
  <c r="DQ49" i="1"/>
  <c r="BU49" i="1"/>
  <c r="Y49" i="1"/>
  <c r="KK49" i="1"/>
  <c r="IO49" i="1"/>
  <c r="GS49" i="1"/>
  <c r="EW49" i="1"/>
  <c r="DA49" i="1"/>
  <c r="BE49" i="1"/>
  <c r="I49" i="1"/>
  <c r="IW49" i="1"/>
  <c r="GK49" i="1"/>
  <c r="EC49" i="1"/>
  <c r="BM49" i="1"/>
  <c r="C49" i="1"/>
  <c r="JA49" i="1"/>
  <c r="GG49" i="1"/>
  <c r="DM49" i="1"/>
  <c r="AW49" i="1"/>
  <c r="IK49" i="1"/>
  <c r="FY49" i="1"/>
  <c r="DE49" i="1"/>
  <c r="AO49" i="1"/>
  <c r="KG49" i="1"/>
  <c r="HE49" i="1"/>
  <c r="EG49" i="1"/>
  <c r="AS49" i="1"/>
  <c r="KC49" i="1"/>
  <c r="HA49" i="1"/>
  <c r="DY49" i="1"/>
  <c r="AK49" i="1"/>
  <c r="JQ49" i="1"/>
  <c r="GC49" i="1"/>
  <c r="CS49" i="1"/>
  <c r="Q49" i="1"/>
  <c r="JM49" i="1"/>
  <c r="FU49" i="1"/>
  <c r="CO49" i="1"/>
  <c r="M49" i="1"/>
  <c r="EK49" i="1"/>
  <c r="IG49" i="1"/>
  <c r="LP55" i="1"/>
  <c r="LQ55" i="1"/>
  <c r="LO55" i="1"/>
  <c r="JM57" i="1"/>
  <c r="HQ57" i="1"/>
  <c r="FU57" i="1"/>
  <c r="DY57" i="1"/>
  <c r="CC57" i="1"/>
  <c r="AG57" i="1"/>
  <c r="LE57" i="1"/>
  <c r="JI57" i="1"/>
  <c r="HM57" i="1"/>
  <c r="FQ57" i="1"/>
  <c r="DU57" i="1"/>
  <c r="BY57" i="1"/>
  <c r="AC57" i="1"/>
  <c r="KS57" i="1"/>
  <c r="IW57" i="1"/>
  <c r="HA57" i="1"/>
  <c r="FE57" i="1"/>
  <c r="DI57" i="1"/>
  <c r="BM57" i="1"/>
  <c r="Q57" i="1"/>
  <c r="KG57" i="1"/>
  <c r="IK57" i="1"/>
  <c r="GO57" i="1"/>
  <c r="ES57" i="1"/>
  <c r="CW57" i="1"/>
  <c r="BA57" i="1"/>
  <c r="E57" i="1"/>
  <c r="IO57" i="1"/>
  <c r="FY57" i="1"/>
  <c r="DA57" i="1"/>
  <c r="AK57" i="1"/>
  <c r="LA57" i="1"/>
  <c r="IG57" i="1"/>
  <c r="FM57" i="1"/>
  <c r="CS57" i="1"/>
  <c r="Y57" i="1"/>
  <c r="KO57" i="1"/>
  <c r="HY57" i="1"/>
  <c r="FA57" i="1"/>
  <c r="CK57" i="1"/>
  <c r="M57" i="1"/>
  <c r="KK57" i="1"/>
  <c r="HU57" i="1"/>
  <c r="EW57" i="1"/>
  <c r="CG57" i="1"/>
  <c r="I57" i="1"/>
  <c r="KC57" i="1"/>
  <c r="HI57" i="1"/>
  <c r="EO57" i="1"/>
  <c r="BU57" i="1"/>
  <c r="C57" i="1"/>
  <c r="JA57" i="1"/>
  <c r="GG57" i="1"/>
  <c r="DM57" i="1"/>
  <c r="AS57" i="1"/>
  <c r="JE57" i="1"/>
  <c r="DQ57" i="1"/>
  <c r="IS57" i="1"/>
  <c r="CO57" i="1"/>
  <c r="HE57" i="1"/>
  <c r="BI57" i="1"/>
  <c r="GS57" i="1"/>
  <c r="AW57" i="1"/>
  <c r="EK57" i="1"/>
  <c r="EG57" i="1"/>
  <c r="EC57" i="1"/>
  <c r="JY57" i="1"/>
  <c r="BQ57" i="1"/>
  <c r="JU57" i="1"/>
  <c r="BE57" i="1"/>
  <c r="GK57" i="1"/>
  <c r="U57" i="1"/>
  <c r="LQ62" i="1"/>
  <c r="LO62" i="1"/>
  <c r="LP62" i="1"/>
  <c r="LU45" i="1"/>
  <c r="LV45" i="1" s="1"/>
  <c r="LO56" i="1"/>
  <c r="LQ56" i="1"/>
  <c r="LP56" i="1"/>
  <c r="BQ53" i="1"/>
  <c r="FA53" i="1"/>
  <c r="IS53" i="1"/>
  <c r="LQ60" i="1"/>
  <c r="LP60" i="1"/>
  <c r="LO60" i="1"/>
  <c r="AS29" i="1"/>
  <c r="CO29" i="1"/>
  <c r="EK29" i="1"/>
  <c r="GG29" i="1"/>
  <c r="IC29" i="1"/>
  <c r="KK45" i="1"/>
  <c r="IO45" i="1"/>
  <c r="GS45" i="1"/>
  <c r="EW45" i="1"/>
  <c r="DA45" i="1"/>
  <c r="BE45" i="1"/>
  <c r="I45" i="1"/>
  <c r="KG45" i="1"/>
  <c r="IG45" i="1"/>
  <c r="GG45" i="1"/>
  <c r="EG45" i="1"/>
  <c r="CG45" i="1"/>
  <c r="AG45" i="1"/>
  <c r="JY45" i="1"/>
  <c r="HY45" i="1"/>
  <c r="FY45" i="1"/>
  <c r="DY45" i="1"/>
  <c r="BY45" i="1"/>
  <c r="Y45" i="1"/>
  <c r="BI45" i="1"/>
  <c r="DQ45" i="1"/>
  <c r="GC45" i="1"/>
  <c r="IS45" i="1"/>
  <c r="LA45" i="1"/>
  <c r="CC53" i="1"/>
  <c r="FU53" i="1"/>
  <c r="LQ57" i="1"/>
  <c r="LP57" i="1"/>
  <c r="LQ58" i="1"/>
  <c r="LP58" i="1"/>
  <c r="LO58" i="1"/>
  <c r="KK53" i="1"/>
  <c r="IO53" i="1"/>
  <c r="GS53" i="1"/>
  <c r="EW53" i="1"/>
  <c r="DA53" i="1"/>
  <c r="BE53" i="1"/>
  <c r="I53" i="1"/>
  <c r="KG53" i="1"/>
  <c r="IK53" i="1"/>
  <c r="GO53" i="1"/>
  <c r="ES53" i="1"/>
  <c r="CW53" i="1"/>
  <c r="BA53" i="1"/>
  <c r="E53" i="1"/>
  <c r="JQ53" i="1"/>
  <c r="HU53" i="1"/>
  <c r="FY53" i="1"/>
  <c r="EC53" i="1"/>
  <c r="CG53" i="1"/>
  <c r="AK53" i="1"/>
  <c r="KS53" i="1"/>
  <c r="IW53" i="1"/>
  <c r="HA53" i="1"/>
  <c r="FE53" i="1"/>
  <c r="DI53" i="1"/>
  <c r="BM53" i="1"/>
  <c r="Q53" i="1"/>
  <c r="LE53" i="1"/>
  <c r="IG53" i="1"/>
  <c r="FQ53" i="1"/>
  <c r="CS53" i="1"/>
  <c r="AC53" i="1"/>
  <c r="JU53" i="1"/>
  <c r="GW53" i="1"/>
  <c r="DU53" i="1"/>
  <c r="AS53" i="1"/>
  <c r="JI53" i="1"/>
  <c r="GG53" i="1"/>
  <c r="DM53" i="1"/>
  <c r="AG53" i="1"/>
  <c r="CK53" i="1"/>
  <c r="GC53" i="1"/>
  <c r="JY53" i="1"/>
  <c r="LO57" i="1"/>
  <c r="AS39" i="1"/>
  <c r="CO39" i="1"/>
  <c r="EK39" i="1"/>
  <c r="GG39" i="1"/>
  <c r="IC39" i="1"/>
  <c r="LP48" i="1"/>
  <c r="LU53" i="1"/>
  <c r="LV53" i="1" s="1"/>
  <c r="LP59" i="1"/>
  <c r="LO59" i="1"/>
  <c r="LQ59" i="1"/>
  <c r="LU57" i="1"/>
  <c r="KW48" i="1"/>
  <c r="JA48" i="1"/>
  <c r="HE48" i="1"/>
  <c r="FI48" i="1"/>
  <c r="DM48" i="1"/>
  <c r="BQ48" i="1"/>
  <c r="U48" i="1"/>
  <c r="KS48" i="1"/>
  <c r="IW48" i="1"/>
  <c r="HA48" i="1"/>
  <c r="FE48" i="1"/>
  <c r="DI48" i="1"/>
  <c r="BM48" i="1"/>
  <c r="KC48" i="1"/>
  <c r="IG48" i="1"/>
  <c r="GK48" i="1"/>
  <c r="EO48" i="1"/>
  <c r="CS48" i="1"/>
  <c r="AW48" i="1"/>
  <c r="C48" i="1"/>
  <c r="BE48" i="1"/>
  <c r="DU48" i="1"/>
  <c r="GC48" i="1"/>
  <c r="IO48" i="1"/>
  <c r="LE48" i="1"/>
  <c r="LQ61" i="1"/>
  <c r="LP61" i="1"/>
  <c r="LO61" i="1"/>
  <c r="KS61" i="1"/>
  <c r="IW61" i="1"/>
  <c r="HA61" i="1"/>
  <c r="FE61" i="1"/>
  <c r="DI61" i="1"/>
  <c r="BM61" i="1"/>
  <c r="Q61" i="1"/>
  <c r="KO61" i="1"/>
  <c r="IS61" i="1"/>
  <c r="GW61" i="1"/>
  <c r="FA61" i="1"/>
  <c r="DE61" i="1"/>
  <c r="BI61" i="1"/>
  <c r="M61" i="1"/>
  <c r="KK61" i="1"/>
  <c r="IO61" i="1"/>
  <c r="GS61" i="1"/>
  <c r="EW61" i="1"/>
  <c r="DA61" i="1"/>
  <c r="BE61" i="1"/>
  <c r="I61" i="1"/>
  <c r="KG61" i="1"/>
  <c r="IK61" i="1"/>
  <c r="GO61" i="1"/>
  <c r="ES61" i="1"/>
  <c r="CW61" i="1"/>
  <c r="BA61" i="1"/>
  <c r="E61" i="1"/>
  <c r="KC61" i="1"/>
  <c r="IG61" i="1"/>
  <c r="GK61" i="1"/>
  <c r="EO61" i="1"/>
  <c r="CS61" i="1"/>
  <c r="AW61" i="1"/>
  <c r="C61" i="1"/>
  <c r="JQ61" i="1"/>
  <c r="HU61" i="1"/>
  <c r="FY61" i="1"/>
  <c r="EC61" i="1"/>
  <c r="CG61" i="1"/>
  <c r="AK61" i="1"/>
  <c r="CO61" i="1"/>
  <c r="GG61" i="1"/>
  <c r="JY61" i="1"/>
  <c r="GJ62" i="1"/>
  <c r="C78" i="1"/>
  <c r="AC52" i="1"/>
  <c r="BY52" i="1"/>
  <c r="DU52" i="1"/>
  <c r="FQ52" i="1"/>
  <c r="HM52" i="1"/>
  <c r="JI52" i="1"/>
  <c r="LE52" i="1"/>
  <c r="KG54" i="1"/>
  <c r="IK54" i="1"/>
  <c r="JU54" i="1"/>
  <c r="HY54" i="1"/>
  <c r="GC54" i="1"/>
  <c r="EG54" i="1"/>
  <c r="CK54" i="1"/>
  <c r="AO54" i="1"/>
  <c r="AW54" i="1"/>
  <c r="CW54" i="1"/>
  <c r="EW54" i="1"/>
  <c r="GW54" i="1"/>
  <c r="JA54" i="1"/>
  <c r="LE54" i="1"/>
  <c r="KS55" i="1"/>
  <c r="IW55" i="1"/>
  <c r="HA55" i="1"/>
  <c r="FE55" i="1"/>
  <c r="DI55" i="1"/>
  <c r="BM55" i="1"/>
  <c r="Q55" i="1"/>
  <c r="KO55" i="1"/>
  <c r="IS55" i="1"/>
  <c r="GW55" i="1"/>
  <c r="FA55" i="1"/>
  <c r="DE55" i="1"/>
  <c r="BI55" i="1"/>
  <c r="M55" i="1"/>
  <c r="KC55" i="1"/>
  <c r="IG55" i="1"/>
  <c r="GK55" i="1"/>
  <c r="EO55" i="1"/>
  <c r="CS55" i="1"/>
  <c r="AW55" i="1"/>
  <c r="C55" i="1"/>
  <c r="JQ55" i="1"/>
  <c r="HU55" i="1"/>
  <c r="FY55" i="1"/>
  <c r="EC55" i="1"/>
  <c r="CG55" i="1"/>
  <c r="AK55" i="1"/>
  <c r="BU55" i="1"/>
  <c r="EK55" i="1"/>
  <c r="HI55" i="1"/>
  <c r="JY55" i="1"/>
  <c r="AS58" i="1"/>
  <c r="DI58" i="1"/>
  <c r="GG58" i="1"/>
  <c r="AO61" i="1"/>
  <c r="EG61" i="1"/>
  <c r="HY61" i="1"/>
  <c r="R63" i="1"/>
  <c r="C68" i="1"/>
  <c r="LU61" i="1"/>
  <c r="LV61" i="1" s="1"/>
  <c r="LU62" i="1"/>
  <c r="LV62" i="1" s="1"/>
  <c r="AX63" i="1"/>
  <c r="AS52" i="1"/>
  <c r="CO52" i="1"/>
  <c r="EK52" i="1"/>
  <c r="GG52" i="1"/>
  <c r="IC52" i="1"/>
  <c r="JY52" i="1"/>
  <c r="JU58" i="1"/>
  <c r="HY58" i="1"/>
  <c r="GC58" i="1"/>
  <c r="EG58" i="1"/>
  <c r="CK58" i="1"/>
  <c r="AO58" i="1"/>
  <c r="JQ58" i="1"/>
  <c r="HU58" i="1"/>
  <c r="FY58" i="1"/>
  <c r="EC58" i="1"/>
  <c r="CG58" i="1"/>
  <c r="AK58" i="1"/>
  <c r="LA58" i="1"/>
  <c r="JE58" i="1"/>
  <c r="HI58" i="1"/>
  <c r="FM58" i="1"/>
  <c r="DQ58" i="1"/>
  <c r="BU58" i="1"/>
  <c r="Y58" i="1"/>
  <c r="KO58" i="1"/>
  <c r="IS58" i="1"/>
  <c r="GW58" i="1"/>
  <c r="FA58" i="1"/>
  <c r="DE58" i="1"/>
  <c r="BI58" i="1"/>
  <c r="M58" i="1"/>
  <c r="BM58" i="1"/>
  <c r="EK58" i="1"/>
  <c r="HA58" i="1"/>
  <c r="JY58" i="1"/>
  <c r="BY61" i="1"/>
  <c r="FQ61" i="1"/>
  <c r="JI61" i="1"/>
  <c r="C52" i="1"/>
  <c r="AW52" i="1"/>
  <c r="CS52" i="1"/>
  <c r="EO52" i="1"/>
  <c r="GK52" i="1"/>
  <c r="IG52" i="1"/>
  <c r="Q54" i="1"/>
  <c r="BQ54" i="1"/>
  <c r="DQ54" i="1"/>
  <c r="FQ54" i="1"/>
  <c r="HQ54" i="1"/>
  <c r="JY54" i="1"/>
  <c r="AC55" i="1"/>
  <c r="CW55" i="1"/>
  <c r="FQ55" i="1"/>
  <c r="IK55" i="1"/>
  <c r="LE55" i="1"/>
  <c r="C58" i="1"/>
  <c r="BQ58" i="1"/>
  <c r="EO58" i="1"/>
  <c r="HE58" i="1"/>
  <c r="KC58" i="1"/>
  <c r="CC61" i="1"/>
  <c r="FU61" i="1"/>
  <c r="JM61" i="1"/>
  <c r="C77" i="1"/>
  <c r="B69" i="1"/>
  <c r="C69" i="1" s="1"/>
  <c r="B81" i="1"/>
  <c r="C80" i="1" s="1"/>
  <c r="AT63" i="1"/>
  <c r="DV63" i="1"/>
  <c r="GX63" i="1"/>
  <c r="IT63" i="1"/>
  <c r="JZ63" i="1"/>
  <c r="JV64" i="1" s="1"/>
  <c r="B82" i="1"/>
  <c r="B70" i="1"/>
  <c r="C70" i="1" s="1"/>
  <c r="AS56" i="1"/>
  <c r="CO56" i="1"/>
  <c r="EK56" i="1"/>
  <c r="GG56" i="1"/>
  <c r="IC56" i="1"/>
  <c r="JY56" i="1"/>
  <c r="U59" i="1"/>
  <c r="BQ59" i="1"/>
  <c r="DM59" i="1"/>
  <c r="FI59" i="1"/>
  <c r="HE59" i="1"/>
  <c r="JA59" i="1"/>
  <c r="KW59" i="1"/>
  <c r="EP63" i="1"/>
  <c r="HR63" i="1"/>
  <c r="IH63" i="1"/>
  <c r="B71" i="1"/>
  <c r="C71" i="1" s="1"/>
  <c r="B66" i="1"/>
  <c r="I56" i="1"/>
  <c r="BE56" i="1"/>
  <c r="DA56" i="1"/>
  <c r="EW56" i="1"/>
  <c r="GS56" i="1"/>
  <c r="IO56" i="1"/>
  <c r="KK56" i="1"/>
  <c r="AG59" i="1"/>
  <c r="CC59" i="1"/>
  <c r="DY59" i="1"/>
  <c r="FU59" i="1"/>
  <c r="HQ59" i="1"/>
  <c r="JM59" i="1"/>
  <c r="AK59" i="1"/>
  <c r="CG59" i="1"/>
  <c r="EC59" i="1"/>
  <c r="FY59" i="1"/>
  <c r="HU59" i="1"/>
  <c r="JQ59" i="1"/>
  <c r="AS60" i="1"/>
  <c r="CO60" i="1"/>
  <c r="EK60" i="1"/>
  <c r="GG60" i="1"/>
  <c r="IC60" i="1"/>
  <c r="B67" i="1"/>
  <c r="C67" i="1" s="1"/>
  <c r="B79" i="1"/>
  <c r="C79" i="1" s="1"/>
  <c r="U56" i="1"/>
  <c r="BQ56" i="1"/>
  <c r="DM56" i="1"/>
  <c r="FI56" i="1"/>
  <c r="HE56" i="1"/>
  <c r="JA56" i="1"/>
  <c r="KW56" i="1"/>
  <c r="AS59" i="1"/>
  <c r="CO59" i="1"/>
  <c r="EK59" i="1"/>
  <c r="GG59" i="1"/>
  <c r="IC59" i="1"/>
  <c r="JY59" i="1"/>
  <c r="FM56" i="1"/>
  <c r="HI56" i="1"/>
  <c r="JE56" i="1"/>
  <c r="C59" i="1"/>
  <c r="AW59" i="1"/>
  <c r="CS59" i="1"/>
  <c r="EO59" i="1"/>
  <c r="GK59" i="1"/>
  <c r="IG59" i="1"/>
  <c r="JX64" i="1" l="1"/>
  <c r="LU10" i="1"/>
  <c r="LU24" i="1"/>
  <c r="LV24" i="1" s="1"/>
  <c r="LV23" i="1"/>
  <c r="LR5" i="1"/>
  <c r="LO5" i="1"/>
  <c r="LR25" i="1"/>
  <c r="B62" i="1"/>
  <c r="GJ63" i="1"/>
  <c r="LL62" i="1"/>
  <c r="LM62" i="1" s="1"/>
  <c r="GK62" i="1"/>
  <c r="LR28" i="1"/>
  <c r="C66" i="1"/>
  <c r="LU58" i="1"/>
  <c r="LV58" i="1" s="1"/>
  <c r="LV57" i="1"/>
  <c r="LR55" i="1"/>
  <c r="LR54" i="1"/>
  <c r="LL50" i="1"/>
  <c r="LM50" i="1" s="1"/>
  <c r="B50" i="1"/>
  <c r="LU54" i="1"/>
  <c r="LR17" i="1"/>
  <c r="LR10" i="1"/>
  <c r="LR29" i="1"/>
  <c r="LR47" i="1"/>
  <c r="LR14" i="1"/>
  <c r="LY6" i="1"/>
  <c r="LX6" i="1"/>
  <c r="LR9" i="1"/>
  <c r="LR16" i="1"/>
  <c r="E82" i="1"/>
  <c r="LR56" i="1"/>
  <c r="LV28" i="1"/>
  <c r="LU29" i="1"/>
  <c r="LR6" i="1"/>
  <c r="LR13" i="1"/>
  <c r="LR42" i="1"/>
  <c r="LR8" i="1"/>
  <c r="LR26" i="1"/>
  <c r="LR15" i="1"/>
  <c r="LR30" i="1"/>
  <c r="LR48" i="1"/>
  <c r="LY5" i="1"/>
  <c r="LX5" i="1"/>
  <c r="LR12" i="1"/>
  <c r="LL32" i="1"/>
  <c r="LM32" i="1" s="1"/>
  <c r="B32" i="1"/>
  <c r="FD33" i="1"/>
  <c r="FD63" i="1" s="1"/>
  <c r="LR27" i="1"/>
  <c r="LR21" i="1"/>
  <c r="LR18" i="1"/>
  <c r="LR20" i="1"/>
  <c r="DQ63" i="1" l="1"/>
  <c r="DR63" i="1" s="1"/>
  <c r="AO63" i="1"/>
  <c r="AP63" i="1" s="1"/>
  <c r="CW63" i="1"/>
  <c r="CX63" i="1" s="1"/>
  <c r="U63" i="1"/>
  <c r="V63" i="1" s="1"/>
  <c r="B83" i="1"/>
  <c r="FF63" i="1"/>
  <c r="EK63" i="1"/>
  <c r="EL63" i="1" s="1"/>
  <c r="BI63" i="1"/>
  <c r="BJ63" i="1" s="1"/>
  <c r="CC63" i="1"/>
  <c r="CD63" i="1" s="1"/>
  <c r="B73" i="1"/>
  <c r="JM50" i="1"/>
  <c r="HQ50" i="1"/>
  <c r="FU50" i="1"/>
  <c r="EC50" i="1"/>
  <c r="CG50" i="1"/>
  <c r="AK50" i="1"/>
  <c r="LE50" i="1"/>
  <c r="JI50" i="1"/>
  <c r="HM50" i="1"/>
  <c r="FQ50" i="1"/>
  <c r="DY50" i="1"/>
  <c r="CC50" i="1"/>
  <c r="AG50" i="1"/>
  <c r="KO50" i="1"/>
  <c r="IS50" i="1"/>
  <c r="GW50" i="1"/>
  <c r="DI50" i="1"/>
  <c r="BM50" i="1"/>
  <c r="Q50" i="1"/>
  <c r="JU50" i="1"/>
  <c r="HY50" i="1"/>
  <c r="GC50" i="1"/>
  <c r="EK50" i="1"/>
  <c r="CO50" i="1"/>
  <c r="AS50" i="1"/>
  <c r="KG50" i="1"/>
  <c r="HI50" i="1"/>
  <c r="EW50" i="1"/>
  <c r="BY50" i="1"/>
  <c r="I50" i="1"/>
  <c r="IW50" i="1"/>
  <c r="FY50" i="1"/>
  <c r="DA50" i="1"/>
  <c r="Y50" i="1"/>
  <c r="IK50" i="1"/>
  <c r="FI50" i="1"/>
  <c r="CS50" i="1"/>
  <c r="M50" i="1"/>
  <c r="JQ50" i="1"/>
  <c r="GG50" i="1"/>
  <c r="CK50" i="1"/>
  <c r="JE50" i="1"/>
  <c r="FM50" i="1"/>
  <c r="BU50" i="1"/>
  <c r="IG50" i="1"/>
  <c r="ES50" i="1"/>
  <c r="BE50" i="1"/>
  <c r="IC50" i="1"/>
  <c r="EO50" i="1"/>
  <c r="BA50" i="1"/>
  <c r="HU50" i="1"/>
  <c r="DE50" i="1"/>
  <c r="KC50" i="1"/>
  <c r="DU50" i="1"/>
  <c r="JY50" i="1"/>
  <c r="DQ50" i="1"/>
  <c r="GO50" i="1"/>
  <c r="U50" i="1"/>
  <c r="KW50" i="1"/>
  <c r="EG50" i="1"/>
  <c r="FA50" i="1"/>
  <c r="LA50" i="1"/>
  <c r="CW50" i="1"/>
  <c r="KK50" i="1"/>
  <c r="BI50" i="1"/>
  <c r="IO50" i="1"/>
  <c r="C50" i="1"/>
  <c r="HE50" i="1"/>
  <c r="HA50" i="1"/>
  <c r="GS50" i="1"/>
  <c r="GK50" i="1"/>
  <c r="FE50" i="1"/>
  <c r="BQ50" i="1"/>
  <c r="JA50" i="1"/>
  <c r="DM50" i="1"/>
  <c r="AW50" i="1"/>
  <c r="AO50" i="1"/>
  <c r="KS50" i="1"/>
  <c r="AC50" i="1"/>
  <c r="E50" i="1"/>
  <c r="LP51" i="1"/>
  <c r="LO51" i="1"/>
  <c r="LQ51" i="1"/>
  <c r="LR51" i="1" s="1"/>
  <c r="LO53" i="1"/>
  <c r="LQ53" i="1"/>
  <c r="LR53" i="1" s="1"/>
  <c r="LO52" i="1"/>
  <c r="LP53" i="1"/>
  <c r="LQ52" i="1"/>
  <c r="KS32" i="1"/>
  <c r="IW32" i="1"/>
  <c r="HA32" i="1"/>
  <c r="FE32" i="1"/>
  <c r="DM32" i="1"/>
  <c r="BQ32" i="1"/>
  <c r="U32" i="1"/>
  <c r="JI32" i="1"/>
  <c r="HI32" i="1"/>
  <c r="FI32" i="1"/>
  <c r="DI32" i="1"/>
  <c r="BI32" i="1"/>
  <c r="I32" i="1"/>
  <c r="JY32" i="1"/>
  <c r="HU32" i="1"/>
  <c r="FQ32" i="1"/>
  <c r="DQ32" i="1"/>
  <c r="BE32" i="1"/>
  <c r="C32" i="1"/>
  <c r="JU32" i="1"/>
  <c r="HQ32" i="1"/>
  <c r="FM32" i="1"/>
  <c r="DE32" i="1"/>
  <c r="BA32" i="1"/>
  <c r="JM32" i="1"/>
  <c r="GS32" i="1"/>
  <c r="EK32" i="1"/>
  <c r="BY32" i="1"/>
  <c r="E32" i="1"/>
  <c r="LE32" i="1"/>
  <c r="IO32" i="1"/>
  <c r="GC32" i="1"/>
  <c r="DU32" i="1"/>
  <c r="AS32" i="1"/>
  <c r="KO32" i="1"/>
  <c r="HM32" i="1"/>
  <c r="EO32" i="1"/>
  <c r="BM32" i="1"/>
  <c r="JQ32" i="1"/>
  <c r="GK32" i="1"/>
  <c r="DA32" i="1"/>
  <c r="AG32" i="1"/>
  <c r="KW32" i="1"/>
  <c r="GW32" i="1"/>
  <c r="CW32" i="1"/>
  <c r="Q32" i="1"/>
  <c r="KK32" i="1"/>
  <c r="GO32" i="1"/>
  <c r="M32" i="1"/>
  <c r="CS32" i="1"/>
  <c r="KG32" i="1"/>
  <c r="GG32" i="1"/>
  <c r="CO32" i="1"/>
  <c r="JE32" i="1"/>
  <c r="FU32" i="1"/>
  <c r="CG32" i="1"/>
  <c r="JA32" i="1"/>
  <c r="CC32" i="1"/>
  <c r="FA32" i="1"/>
  <c r="Y32" i="1"/>
  <c r="LA32" i="1"/>
  <c r="IG32" i="1"/>
  <c r="BU32" i="1"/>
  <c r="HE32" i="1"/>
  <c r="AK32" i="1"/>
  <c r="EW32" i="1"/>
  <c r="AW32" i="1"/>
  <c r="AO32" i="1"/>
  <c r="ES32" i="1"/>
  <c r="FY32" i="1"/>
  <c r="EG32" i="1"/>
  <c r="HY32" i="1"/>
  <c r="KC32" i="1"/>
  <c r="EC32" i="1"/>
  <c r="IS32" i="1"/>
  <c r="DY32" i="1"/>
  <c r="IK32" i="1"/>
  <c r="CK32" i="1"/>
  <c r="IC32" i="1"/>
  <c r="AC32" i="1"/>
  <c r="B63" i="1"/>
  <c r="LV29" i="1"/>
  <c r="LU30" i="1"/>
  <c r="EW63" i="1"/>
  <c r="EX63" i="1" s="1"/>
  <c r="BU63" i="1"/>
  <c r="BV63" i="1" s="1"/>
  <c r="EC63" i="1"/>
  <c r="ED63" i="1" s="1"/>
  <c r="BA63" i="1"/>
  <c r="BB63" i="1" s="1"/>
  <c r="GL63" i="1"/>
  <c r="DI63" i="1"/>
  <c r="DJ63" i="1" s="1"/>
  <c r="FQ63" i="1"/>
  <c r="FR63" i="1" s="1"/>
  <c r="CO63" i="1"/>
  <c r="CP63" i="1" s="1"/>
  <c r="M63" i="1"/>
  <c r="N63" i="1" s="1"/>
  <c r="AG63" i="1"/>
  <c r="AH63" i="1" s="1"/>
  <c r="B84" i="1"/>
  <c r="B75" i="1"/>
  <c r="B33" i="1"/>
  <c r="LL33" i="1"/>
  <c r="LM33" i="1" s="1"/>
  <c r="LO33" i="1"/>
  <c r="LP33" i="1"/>
  <c r="LQ33" i="1"/>
  <c r="LR33" i="1" s="1"/>
  <c r="LN59" i="1"/>
  <c r="LR59" i="1" s="1"/>
  <c r="LN37" i="1"/>
  <c r="LR37" i="1" s="1"/>
  <c r="LN47" i="1"/>
  <c r="LN44" i="1"/>
  <c r="LN39" i="1"/>
  <c r="LR39" i="1" s="1"/>
  <c r="LN33" i="1"/>
  <c r="LN57" i="1"/>
  <c r="LR57" i="1" s="1"/>
  <c r="LN38" i="1"/>
  <c r="LR38" i="1" s="1"/>
  <c r="LN36" i="1"/>
  <c r="LP35" i="1"/>
  <c r="LN40" i="1"/>
  <c r="LR40" i="1" s="1"/>
  <c r="LN55" i="1"/>
  <c r="LN53" i="1"/>
  <c r="LN45" i="1"/>
  <c r="LN50" i="1"/>
  <c r="LN41" i="1"/>
  <c r="LR41" i="1" s="1"/>
  <c r="LN49" i="1"/>
  <c r="LN61" i="1"/>
  <c r="LR61" i="1" s="1"/>
  <c r="LN58" i="1"/>
  <c r="LR58" i="1" s="1"/>
  <c r="LN43" i="1"/>
  <c r="LN48" i="1"/>
  <c r="LN34" i="1"/>
  <c r="LN60" i="1"/>
  <c r="LR60" i="1" s="1"/>
  <c r="LN56" i="1"/>
  <c r="LN54" i="1"/>
  <c r="LN42" i="1"/>
  <c r="LN35" i="1"/>
  <c r="LN62" i="1"/>
  <c r="LR62" i="1" s="1"/>
  <c r="LN52" i="1"/>
  <c r="LN51" i="1"/>
  <c r="LN46" i="1"/>
  <c r="LV10" i="1"/>
  <c r="LU11" i="1"/>
  <c r="LU55" i="1"/>
  <c r="LV55" i="1" s="1"/>
  <c r="LV54" i="1"/>
  <c r="KW62" i="1"/>
  <c r="JA62" i="1"/>
  <c r="HE62" i="1"/>
  <c r="FM62" i="1"/>
  <c r="DQ62" i="1"/>
  <c r="BU62" i="1"/>
  <c r="Y62" i="1"/>
  <c r="KS62" i="1"/>
  <c r="IW62" i="1"/>
  <c r="HA62" i="1"/>
  <c r="FI62" i="1"/>
  <c r="DM62" i="1"/>
  <c r="BQ62" i="1"/>
  <c r="U62" i="1"/>
  <c r="KO62" i="1"/>
  <c r="IS62" i="1"/>
  <c r="GW62" i="1"/>
  <c r="FE62" i="1"/>
  <c r="DI62" i="1"/>
  <c r="BM62" i="1"/>
  <c r="Q62" i="1"/>
  <c r="KK62" i="1"/>
  <c r="IO62" i="1"/>
  <c r="GS62" i="1"/>
  <c r="FA62" i="1"/>
  <c r="DE62" i="1"/>
  <c r="BI62" i="1"/>
  <c r="M62" i="1"/>
  <c r="KG62" i="1"/>
  <c r="IK62" i="1"/>
  <c r="GO62" i="1"/>
  <c r="EW62" i="1"/>
  <c r="DA62" i="1"/>
  <c r="BE62" i="1"/>
  <c r="I62" i="1"/>
  <c r="JU62" i="1"/>
  <c r="HY62" i="1"/>
  <c r="GG62" i="1"/>
  <c r="EK62" i="1"/>
  <c r="CO62" i="1"/>
  <c r="AS62" i="1"/>
  <c r="JM62" i="1"/>
  <c r="FY62" i="1"/>
  <c r="CG62" i="1"/>
  <c r="JI62" i="1"/>
  <c r="FU62" i="1"/>
  <c r="CC62" i="1"/>
  <c r="JE62" i="1"/>
  <c r="FQ62" i="1"/>
  <c r="BY62" i="1"/>
  <c r="IG62" i="1"/>
  <c r="ES62" i="1"/>
  <c r="BA62" i="1"/>
  <c r="IC62" i="1"/>
  <c r="EO62" i="1"/>
  <c r="AW62" i="1"/>
  <c r="HU62" i="1"/>
  <c r="EG62" i="1"/>
  <c r="AO62" i="1"/>
  <c r="JY62" i="1"/>
  <c r="CS62" i="1"/>
  <c r="C62" i="1"/>
  <c r="EC62" i="1"/>
  <c r="GC62" i="1"/>
  <c r="DU62" i="1"/>
  <c r="LE62" i="1"/>
  <c r="CK62" i="1"/>
  <c r="CW62" i="1"/>
  <c r="AK62" i="1"/>
  <c r="AG62" i="1"/>
  <c r="AC62" i="1"/>
  <c r="LA62" i="1"/>
  <c r="E62" i="1"/>
  <c r="KC62" i="1"/>
  <c r="HI62" i="1"/>
  <c r="JQ62" i="1"/>
  <c r="HM62" i="1"/>
  <c r="DY62" i="1"/>
  <c r="HQ62" i="1"/>
  <c r="C73" i="1" l="1"/>
  <c r="C72" i="1"/>
  <c r="E83" i="1"/>
  <c r="C83" i="1"/>
  <c r="C82" i="1"/>
  <c r="E84" i="1"/>
  <c r="C84" i="1"/>
  <c r="LV11" i="1"/>
  <c r="LU12" i="1"/>
  <c r="LQ34" i="1"/>
  <c r="LR34" i="1" s="1"/>
  <c r="LO34" i="1"/>
  <c r="LO35" i="1"/>
  <c r="LP34" i="1"/>
  <c r="LO36" i="1"/>
  <c r="LQ36" i="1"/>
  <c r="LP36" i="1"/>
  <c r="LQ35" i="1"/>
  <c r="KW33" i="1"/>
  <c r="JA33" i="1"/>
  <c r="HE33" i="1"/>
  <c r="FI33" i="1"/>
  <c r="DQ33" i="1"/>
  <c r="BU33" i="1"/>
  <c r="Y33" i="1"/>
  <c r="KS33" i="1"/>
  <c r="IS33" i="1"/>
  <c r="GS33" i="1"/>
  <c r="EW33" i="1"/>
  <c r="CW33" i="1"/>
  <c r="AW33" i="1"/>
  <c r="KO33" i="1"/>
  <c r="IK33" i="1"/>
  <c r="GG33" i="1"/>
  <c r="EG33" i="1"/>
  <c r="CC33" i="1"/>
  <c r="U33" i="1"/>
  <c r="KK33" i="1"/>
  <c r="IG33" i="1"/>
  <c r="GC33" i="1"/>
  <c r="EC33" i="1"/>
  <c r="BY33" i="1"/>
  <c r="Q33" i="1"/>
  <c r="LA33" i="1"/>
  <c r="HY33" i="1"/>
  <c r="FM33" i="1"/>
  <c r="DA33" i="1"/>
  <c r="AK33" i="1"/>
  <c r="JU33" i="1"/>
  <c r="HI33" i="1"/>
  <c r="ES33" i="1"/>
  <c r="CG33" i="1"/>
  <c r="I33" i="1"/>
  <c r="IW33" i="1"/>
  <c r="FQ33" i="1"/>
  <c r="CO33" i="1"/>
  <c r="E33" i="1"/>
  <c r="LE33" i="1"/>
  <c r="HQ33" i="1"/>
  <c r="EO33" i="1"/>
  <c r="BI33" i="1"/>
  <c r="HA33" i="1"/>
  <c r="DM33" i="1"/>
  <c r="AC33" i="1"/>
  <c r="KG33" i="1"/>
  <c r="GW33" i="1"/>
  <c r="DI33" i="1"/>
  <c r="M33" i="1"/>
  <c r="KC33" i="1"/>
  <c r="GO33" i="1"/>
  <c r="DE33" i="1"/>
  <c r="C33" i="1"/>
  <c r="JQ33" i="1"/>
  <c r="FY33" i="1"/>
  <c r="CK33" i="1"/>
  <c r="JM33" i="1"/>
  <c r="FU33" i="1"/>
  <c r="BQ33" i="1"/>
  <c r="JE33" i="1"/>
  <c r="CS33" i="1"/>
  <c r="HU33" i="1"/>
  <c r="BA33" i="1"/>
  <c r="JY33" i="1"/>
  <c r="DY33" i="1"/>
  <c r="JI33" i="1"/>
  <c r="DU33" i="1"/>
  <c r="IO33" i="1"/>
  <c r="BM33" i="1"/>
  <c r="FA33" i="1"/>
  <c r="EK33" i="1"/>
  <c r="IC33" i="1"/>
  <c r="BE33" i="1"/>
  <c r="HM33" i="1"/>
  <c r="AS33" i="1"/>
  <c r="GK33" i="1"/>
  <c r="AO33" i="1"/>
  <c r="FE33" i="1"/>
  <c r="AG33" i="1"/>
  <c r="LR52" i="1"/>
  <c r="C63" i="1"/>
  <c r="C75" i="1"/>
  <c r="C74" i="1"/>
  <c r="LV30" i="1"/>
  <c r="LU31" i="1"/>
  <c r="LV31" i="1" l="1"/>
  <c r="LU32" i="1"/>
  <c r="LV12" i="1"/>
  <c r="LU13" i="1"/>
  <c r="LR35" i="1"/>
  <c r="LR36" i="1"/>
  <c r="LV13" i="1" l="1"/>
  <c r="LU14" i="1"/>
  <c r="LV32" i="1"/>
  <c r="LU33" i="1"/>
  <c r="LV14" i="1" l="1"/>
  <c r="LU15" i="1"/>
  <c r="LV15" i="1" s="1"/>
  <c r="LV33" i="1"/>
  <c r="LU34" i="1"/>
  <c r="LV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D8" authorId="0" shapeId="0" xr:uid="{00000000-0006-0000-0000-000001000000}">
      <text>
        <r>
          <rPr>
            <sz val="10"/>
            <color rgb="FF000000"/>
            <rFont val="Arial"/>
            <scheme val="minor"/>
          </rPr>
          <t>SAIU DE 1,00 PARA 0,85</t>
        </r>
      </text>
    </comment>
  </commentList>
</comments>
</file>

<file path=xl/sharedStrings.xml><?xml version="1.0" encoding="utf-8"?>
<sst xmlns="http://schemas.openxmlformats.org/spreadsheetml/2006/main" count="9326" uniqueCount="3816">
  <si>
    <t>PREV</t>
  </si>
  <si>
    <t>BASE HIST.</t>
  </si>
  <si>
    <t>RAZÃO D/HIST</t>
  </si>
  <si>
    <t>FATOR DIA</t>
  </si>
  <si>
    <t>FATOR RECENTE</t>
  </si>
  <si>
    <t>INCLINAÇÃO</t>
  </si>
  <si>
    <t>RUPTURA</t>
  </si>
  <si>
    <t>FATOR FINAL</t>
  </si>
  <si>
    <t>PESO TEMA</t>
  </si>
  <si>
    <t>TROCA TEMA</t>
  </si>
  <si>
    <t>DUR. BLOCO</t>
  </si>
  <si>
    <t>FATOR TEMA</t>
  </si>
  <si>
    <t>🚦 SINAL</t>
  </si>
  <si>
    <t>💡 SUGESTÃO</t>
  </si>
  <si>
    <t>📋 MOTIVO</t>
  </si>
  <si>
    <t>📌 LOG SGEST.</t>
  </si>
  <si>
    <t>✅ ESCOLHA</t>
  </si>
  <si>
    <t>🎯 SEGUIU?</t>
  </si>
  <si>
    <t>HORA</t>
  </si>
  <si>
    <t>MÉDIA</t>
  </si>
  <si>
    <t>% MÉDIA</t>
  </si>
  <si>
    <t>AUDIÊNCIA</t>
  </si>
  <si>
    <t>&amp;/MIN</t>
  </si>
  <si>
    <t>TEMA</t>
  </si>
  <si>
    <t>TERMOS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</si>
  <si>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</si>
  <si>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</si>
  <si>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</si>
  <si>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</si>
  <si>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</si>
  <si>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</si>
  <si>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</si>
  <si>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</si>
  <si>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</si>
  <si>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</si>
  <si>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</si>
  <si>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</si>
  <si>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</si>
  <si>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</si>
  <si>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</si>
  <si>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</si>
  <si>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</si>
  <si>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CORINTHIANS</t>
  </si>
  <si>
    <t>corinthians, gazeta, palmeiras, santos, neymar</t>
  </si>
  <si>
    <t>corinthians, flamengo, gazeta, otima, costa</t>
  </si>
  <si>
    <t>corinthians, palmeiras, verdao, botafogo, vasco</t>
  </si>
  <si>
    <t>SÃO PAULO</t>
  </si>
  <si>
    <t>corinthians, gazeta, silvestre, sao paulo, morumbi</t>
  </si>
  <si>
    <t>PALMEIRAS</t>
  </si>
  <si>
    <t>OSCAR SCHMIDT</t>
  </si>
  <si>
    <t>corinthians, fernando, diniz, errado, comecamos</t>
  </si>
  <si>
    <t>gazeta, palmeiras, abel ferreira, direto, acompanham</t>
  </si>
  <si>
    <t>santos, neymar, peixe, corinthians, silvestre</t>
  </si>
  <si>
    <t>palmeiras, corinthians, flamengo, jose, gazeta</t>
  </si>
  <si>
    <t>palmeiras, corinthians, timao, gazeta, foguete</t>
  </si>
  <si>
    <t>corinthians, palmeiras, timao, abel ferreira, gazeta</t>
  </si>
  <si>
    <t>palmeiras, abel ferreira, sao paulo, gazeta, libertadores</t>
  </si>
  <si>
    <t>palmeiras, flamengo, verdao, gazeta, sao paulo</t>
  </si>
  <si>
    <t>corinthians, acontecendo, dorival, internacional, fernando</t>
  </si>
  <si>
    <t>palmeiras, pressionado, sao paulo, voltar, pouquinho</t>
  </si>
  <si>
    <t>palmeiras, corinthians, dorival, timao, verdao</t>
  </si>
  <si>
    <t>corinthians, silvestre, direto, ligadinho, tela</t>
  </si>
  <si>
    <t>timao, palmeiras, gazeta, abel ferreira, flaco lopes</t>
  </si>
  <si>
    <t>palmeiras, santos, abel ferreira, sao paulo, programa</t>
  </si>
  <si>
    <t>palmeiras, gazeta, nba, abel ferreira, sao paulo</t>
  </si>
  <si>
    <t>palmeiras, corinthians, gazeta, desportiva, abel ferreira</t>
  </si>
  <si>
    <t>GIRO ESPORTE</t>
  </si>
  <si>
    <t>gazeta, santos, neymar, nba, palmeiras</t>
  </si>
  <si>
    <t>palmeiras, corinthians, gazeta, glorioso, leila pereira</t>
  </si>
  <si>
    <t>palmeiras, botafogo, abel ferreira, gazeta, rodada</t>
  </si>
  <si>
    <t>SANTOS</t>
  </si>
  <si>
    <t>neymar, passar, grupo, garrafa, estar</t>
  </si>
  <si>
    <t>neymar, gazeta, alex, ancelotti, esperanca</t>
  </si>
  <si>
    <t>corinthians, palmeiras, passar, lopes, lingard</t>
  </si>
  <si>
    <t>corinthians, palmeiras, gazeta, coritiba, verdao</t>
  </si>
  <si>
    <t>gazeta, sao paulo, marcelo, novidade, tricolor</t>
  </si>
  <si>
    <t>gazeta, festa, jose, paca, ligadinho</t>
  </si>
  <si>
    <t>palmeiras, gazeta, alegria, quebrar, park</t>
  </si>
  <si>
    <t>palmeiras, santos, flamengo, gazeta, abel ferreira</t>
  </si>
  <si>
    <t>direto, arena, acompanhando, alex, calor</t>
  </si>
  <si>
    <t>palmeiras, abel ferreira, sao paulo, gazeta, fernanda</t>
  </si>
  <si>
    <t>flamengo, nba, palmeiras, gazeta, estar</t>
  </si>
  <si>
    <t>palmeiras, fluminense, verdao, sao paulo, chover</t>
  </si>
  <si>
    <t>palmeiras, fluminense, torcedor, julgamento, abel</t>
  </si>
  <si>
    <t>corinthians, timao, palmeiras, segundou, silver</t>
  </si>
  <si>
    <t>corinthians, timao, gazeta, trazer, sao paulo</t>
  </si>
  <si>
    <t>palmeiras, bahia, gazeta, salazar, sao paulo</t>
  </si>
  <si>
    <t>palmeiras, verdao, timao, carnaval, silvestre</t>
  </si>
  <si>
    <t>corinthians, palmeiras, coxa, abel ferreira, quartas</t>
  </si>
  <si>
    <t>palmeiras, fluminense, flamengo, internacional, peixe</t>
  </si>
  <si>
    <t>palmeiras, santos, verdao, internacional, peixe</t>
  </si>
  <si>
    <t>gremio, flamengo, santos, crespo, sao paulo</t>
  </si>
  <si>
    <t>corinthians, palmeiras, flamengo, timao, salazar</t>
  </si>
  <si>
    <t>palmeiras, corinthians, semana, classico, silvestre</t>
  </si>
  <si>
    <t>palmeiras, timao, corinthians, informacoes, outras</t>
  </si>
  <si>
    <t>corinthians, santos, dorival, palmeiras, timao</t>
  </si>
  <si>
    <t>voivoda, santos, dorival, palmeiras, neymar</t>
  </si>
  <si>
    <t>gazeta, santos, corinthians, sao paulo, vila belmiro</t>
  </si>
  <si>
    <t>corinthians, gazeta, campeao, salve, graus</t>
  </si>
  <si>
    <t>palmeiras, santos, peixe, verdao, silvestre</t>
  </si>
  <si>
    <t>palmeiras, corinthians, verdao, bahia, abel ferreira</t>
  </si>
  <si>
    <t>corinthians, dorival, timao, bahia, palmeiras</t>
  </si>
  <si>
    <t>corinthians, bahia, santos, vila belmiro, temos</t>
  </si>
  <si>
    <t>gazeta, palmeiras, esportiva, abel ferreira, sao paulo</t>
  </si>
  <si>
    <t>palmeiras, dorival, voivoda, santos, corinthians</t>
  </si>
  <si>
    <t>corinthians, paulista, zona, sao paulo, esportiva</t>
  </si>
  <si>
    <t>santos, verdao, palmeiras, abel ferreira, abel</t>
  </si>
  <si>
    <t>corinthians, timao, gazeta, esportiva, jose</t>
  </si>
  <si>
    <t>MERCHAN/BREAK</t>
  </si>
  <si>
    <t>sexta, gazeta, esportiva, morumbis, feira</t>
  </si>
  <si>
    <t>BRAGANTINO</t>
  </si>
  <si>
    <t>corinthians, bragantino, paulista, braganca, sao paulo</t>
  </si>
  <si>
    <t>palmeiras, santos, arena, barueri, verdao</t>
  </si>
  <si>
    <t>corinthians, sao paulo, alex, jose, pais</t>
  </si>
  <si>
    <t>corinthians, demorou, cirurgia, ola, rodrigo</t>
  </si>
  <si>
    <t>tapete, mexico, especial, tetracampeao, muller</t>
  </si>
  <si>
    <t>eder, programa, pouquinho, brasileiro, honra</t>
  </si>
  <si>
    <t>nba, gazeta, sergio, conferir, outros</t>
  </si>
  <si>
    <t>santos, palmeiras, coritiba, neymar, informacoes</t>
  </si>
  <si>
    <t>corinthians, foram, assistencia, consegui, cobrar</t>
  </si>
  <si>
    <t>neymar, santos, nba, dupla, salazar</t>
  </si>
  <si>
    <t>palmeiras, corinthians, timao, verdao, gazeta</t>
  </si>
  <si>
    <t>neymar, santos, flamengo, fluminense, corinthians</t>
  </si>
  <si>
    <t>verdao, corinthians, itaquera, neymar, botafogo</t>
  </si>
  <si>
    <t>santos, palmeiras, gazeta, neymar, flamengo</t>
  </si>
  <si>
    <t>gazeta, santos, cruzeiro, estudio, alex</t>
  </si>
  <si>
    <t>corinthians, timao, santos, gazeta, estilo</t>
  </si>
  <si>
    <t>corinthians, timao, tiago, salazar, alex</t>
  </si>
  <si>
    <t>sao paulo, esperando, via, equipe, perde</t>
  </si>
  <si>
    <t>internacional, palmeiras, sao paulo, retorno, preparado</t>
  </si>
  <si>
    <t>santos, palmeiras, neymar, sao paulo, vila belmiro</t>
  </si>
  <si>
    <t>sendo, otima, rendendo, dupla, comigo</t>
  </si>
  <si>
    <t>santos, neymar, salazar, gazeta, assuntos</t>
  </si>
  <si>
    <t>partir, mes, prime, rapido, intervalo</t>
  </si>
  <si>
    <t>corinthians, dorival, flamengo, leila pereira, sao paulo</t>
  </si>
  <si>
    <t>corinthians, timao, dorival, flamengo, silvestre</t>
  </si>
  <si>
    <t>corinthians, caio, neymar, facilidade, area</t>
  </si>
  <si>
    <t>neymar, selecao, ambientalizar, atuais, jogou</t>
  </si>
  <si>
    <t>dai, pronto, vitor, cade, entendendo</t>
  </si>
  <si>
    <t>palmeiras, corinthians, abel ferreira, sao paulo, temos</t>
  </si>
  <si>
    <t>corinthians, coritiba, trazer, sao paulo, parque</t>
  </si>
  <si>
    <t>corinthians, trazer, parque, jorge, mudancas</t>
  </si>
  <si>
    <t>verdao, fluminense, sao paulo, tecnico, moreira</t>
  </si>
  <si>
    <t>palmeiras, diogo, alex, abel ferreira, seja</t>
  </si>
  <si>
    <t>palmeiras, corinthians, botafogo, gazeta, desportiva</t>
  </si>
  <si>
    <t>corinthians, palmeiras, fluminense, timao, dorival</t>
  </si>
  <si>
    <t>fluminense, palmeiras, verdao, venceu, bora</t>
  </si>
  <si>
    <t>corinthians, timao, cruzeiro, abel ferreira, trazer</t>
  </si>
  <si>
    <t>fluminense, palmeiras, julgamentos, muller, semana</t>
  </si>
  <si>
    <t>verdao, palmeiras, sao paulo, gazeta, informacoes</t>
  </si>
  <si>
    <t>palmeiras, bragantino, abel ferreira, sao paulo, red bull bragantino</t>
  </si>
  <si>
    <t>palmeiras, corinthians, botafogo, abel ferreira, pouquinho</t>
  </si>
  <si>
    <t>santos, corinthians, dorival, gazeta, reforcos</t>
  </si>
  <si>
    <t>palmeiras, corinthians, bragantino, santos, neymar</t>
  </si>
  <si>
    <t>neymar, santos, voivoda, acompanhando, despedindo</t>
  </si>
  <si>
    <t>corinthians, bragantino, neymar, sao paulo, red bull bragantino</t>
  </si>
  <si>
    <t>santos, peixe, neymar, vila belmiro, baixada</t>
  </si>
  <si>
    <t>corinthians, palmeiras, gremio, leila pereira, sao paulo</t>
  </si>
  <si>
    <t>corinthians, fiel, bragantino, paulista, sao paulo</t>
  </si>
  <si>
    <t>palmeiras, corinthians, derby, gazeta, domingo</t>
  </si>
  <si>
    <t>santos, palmeiras, corinthians, voivoda, neymar</t>
  </si>
  <si>
    <t>palmeiras, verdao, galo, botafogo, abel ferreira</t>
  </si>
  <si>
    <t>palmeiras, verdao, despediu, emprestimo, pouquinho</t>
  </si>
  <si>
    <t>palmeiras, corinthians, flamengo, sao paulo, amanha</t>
  </si>
  <si>
    <t>verdao, botafogo, gazeta, semana, abel ferreira</t>
  </si>
  <si>
    <t>palmeiras, verdao, abel ferreira, sao paulo, atletico mineiro</t>
  </si>
  <si>
    <t>flamengo, sao paulo, gazeta, esportiva, zona</t>
  </si>
  <si>
    <t>corinthians, santos, dorival, clube, sao paulo</t>
  </si>
  <si>
    <t>palmeiras, esportiva, verdao, flamengo, vasco</t>
  </si>
  <si>
    <t>timao, corinthians, dorival, palmeiras, esportiva</t>
  </si>
  <si>
    <t>palmeiras, abel ferreira, sao paulo, presidente, comissao</t>
  </si>
  <si>
    <t>corinthians, timao, sao paulo, capita, maneira</t>
  </si>
  <si>
    <t>bragantino, dorival, paulista, morumbi, sao paulo</t>
  </si>
  <si>
    <t>santos, palmeiras, voivoda, peixe, abel ferreira</t>
  </si>
  <si>
    <t>pote, corinthians, palmeiras, santos, bragantino</t>
  </si>
  <si>
    <t>corinthians, vasco, rodrigo, garro, ferias</t>
  </si>
  <si>
    <t>verdao, palmeiras, esses, caras, treinaram</t>
  </si>
  <si>
    <t>abel ferreira, decima, primeira, alexandre, tmc</t>
  </si>
  <si>
    <t>timao, corinthians, corinthiano, brasil, longe</t>
  </si>
  <si>
    <t>FLAMENGO</t>
  </si>
  <si>
    <t>neymar, nba, gazeta, destaques, estudio</t>
  </si>
  <si>
    <t>corinthians, linha, a00, continue, cobrando</t>
  </si>
  <si>
    <t>corinthians, pouquinho, largada, coxa, voltar</t>
  </si>
  <si>
    <t>corinthians, palmeiras, coxa, pai, abel ferreira</t>
  </si>
  <si>
    <t>MOTO GP</t>
  </si>
  <si>
    <t>podio, primeira, interlagos, etapa, comentarista</t>
  </si>
  <si>
    <t>corinthians, palmeiras, timao, bora, nubank</t>
  </si>
  <si>
    <t>corinthians, dorival, timao, salazar, fernando</t>
  </si>
  <si>
    <t>palmeiras, verdao, bahia, pouquinho, libertadores</t>
  </si>
  <si>
    <t>corinthians, gazeta, foguete, estrelas, tcr</t>
  </si>
  <si>
    <t>corinthians, dorival, diniz, culpa, elenco</t>
  </si>
  <si>
    <t>sao paulo, esquema, rapido, lado, ponta</t>
  </si>
  <si>
    <t>nba, neymar, corinthians, milan, chai</t>
  </si>
  <si>
    <t>flamengo, semana, fisica, conto, detalhes</t>
  </si>
  <si>
    <t>volei, dupla, fifa, conquistar, vaga</t>
  </si>
  <si>
    <t>sky, educacao, ensino, medio, meia</t>
  </si>
  <si>
    <t>neymar, santos, peixe, cruzeiro, vila belmiro</t>
  </si>
  <si>
    <t>palmeiras, santos, vasco, fluminense, sao paulo</t>
  </si>
  <si>
    <t>neymar, santos, convocacao, muller, leitura</t>
  </si>
  <si>
    <t>neymar, aceitaria, alex, obviamente, daquilo</t>
  </si>
  <si>
    <t>fraco, anjo, corinthians, jaci, fiquei</t>
  </si>
  <si>
    <t>sao paulo, trazer, quartafeira, especial, professor</t>
  </si>
  <si>
    <t>palmeiras, flamengo, botafogo, nba, flaco lopes</t>
  </si>
  <si>
    <t>cruzeiro, palmeiras, verdao, alex, sao paulo</t>
  </si>
  <si>
    <t>corinthians, fiel, flamengo, santos, bora</t>
  </si>
  <si>
    <t>palmeiras, flaco lopes, defesa, jovem, redes</t>
  </si>
  <si>
    <t>botafogo, santos, gazeta, salazar, chegou</t>
  </si>
  <si>
    <t>flamengo, nba, gazeta, esportivo, fique</t>
  </si>
  <si>
    <t>fomos, superiores, tricolor carioca, opiniao, conseguir</t>
  </si>
  <si>
    <t>palmeiras, fluminense, verdao, adora, opa</t>
  </si>
  <si>
    <t>palmeiras, corinthians, domingo, quarta, elenco</t>
  </si>
  <si>
    <t>palmeiras, verdao, fluminense, gremio, gramado</t>
  </si>
  <si>
    <t>corinthians, palmeiras, santos, questao, financeira</t>
  </si>
  <si>
    <t>corinthians, alex, postagem, tuto, memphis</t>
  </si>
  <si>
    <t>gazete, sao paulo, gazeta, obvio, faltando</t>
  </si>
  <si>
    <t>carnaval, estamos, trabalho, gazeta, folia</t>
  </si>
  <si>
    <t>corinthians, bragantino, red bull bragantino, parque, jorge</t>
  </si>
  <si>
    <t>gremio, galo, palmeiras, sao paulo, estudio</t>
  </si>
  <si>
    <t>palmeiras, corinthians, leila pereira, quero, saber</t>
  </si>
  <si>
    <t>rodada, santos, neymar, paulista, sao paulo</t>
  </si>
  <si>
    <t>gremio, sao paulo, meio, semana, brasileiro</t>
  </si>
  <si>
    <t>santos, timao, sao paulo, confronto, primavera</t>
  </si>
  <si>
    <t>corinthians, santos, voivoda, botafogo, palmeiras</t>
  </si>
  <si>
    <t>neymar, verdao, santos, pouquinho, joga</t>
  </si>
  <si>
    <t>corinthians, dorival, santos, apresentado, quero</t>
  </si>
  <si>
    <t>palmeiras, botafogo, corinthians, flamengo, abel ferreira</t>
  </si>
  <si>
    <t>corinthians, sao paulo, treino, aberto, treinou</t>
  </si>
  <si>
    <t>palmeiras, verdao, cruzeiro, fluminense, flamengo</t>
  </si>
  <si>
    <t>palmeiras, flamengo, sao paulo, informacoes, gazeta</t>
  </si>
  <si>
    <t>sabesp, meninos, certo, mariana, bufon</t>
  </si>
  <si>
    <t>timao, palmeiras, fluminense, corinthians, santos</t>
  </si>
  <si>
    <t>sao paulo, assunto, bastidores, tricolores, movimentados</t>
  </si>
  <si>
    <t>santos, classico, vila belmiro, brasileiro, vitoria</t>
  </si>
  <si>
    <t>sao paulo, estadual, federacao, estaduais, continuar</t>
  </si>
  <si>
    <t>flamengo, corinthians, garro, cirurgia, completamente</t>
  </si>
  <si>
    <t>tecnica, forco, area, vos, disse</t>
  </si>
  <si>
    <t>bahia, bragantino, abel, abel ferreira, eder</t>
  </si>
  <si>
    <t>timao, corinthians, internacional, zaka, gostando</t>
  </si>
  <si>
    <t>corinthians, sao paulo, conversar, silvestre, pressao</t>
  </si>
  <si>
    <t>jogos, alex, diniz, reconectou, torcida</t>
  </si>
  <si>
    <t>corinthians, timao, chamou, fisioterapeuta, farmin</t>
  </si>
  <si>
    <t>corinthians, timao, trouxe, brasil, rapaz</t>
  </si>
  <si>
    <t>itaquera, palmeiras, corinthians, santos, classico</t>
  </si>
  <si>
    <t>corinthians, galo, timao, caique, fiz</t>
  </si>
  <si>
    <t>corinthians, timao, vence, partidas, garro</t>
  </si>
  <si>
    <t>palmeiras, verdao, corinthians, abel ferreira, flaco lopes</t>
  </si>
  <si>
    <t>corinthians, timao, nome, onde, salazar</t>
  </si>
  <si>
    <t>dorival, torcida, corinthians, junior, pouquinho</t>
  </si>
  <si>
    <t>gols, internacional, santos, ferreirinha, grupo</t>
  </si>
  <si>
    <t>milan, corinthians, gazeta, proposta, desportiva</t>
  </si>
  <si>
    <t>corinthians, comecar, relacionado, silvestre, lingard</t>
  </si>
  <si>
    <t>justica, tarde, gazeta, news, cidadania</t>
  </si>
  <si>
    <t>palmeiras, corinthians, flamengo, leila pereira, sao paulo</t>
  </si>
  <si>
    <t>neymar, meses, deselegante, fisicamente, entregar</t>
  </si>
  <si>
    <t>corinthians, sao paulo, concussao, zagueiros, mano</t>
  </si>
  <si>
    <t>gremio, roger, machado, sao paulo, coletiva</t>
  </si>
  <si>
    <t>palmeiras, abel ferreira, setima, paulistao, ultimas</t>
  </si>
  <si>
    <t>palmeiras, verdao, novo, santos, corinthians</t>
  </si>
  <si>
    <t>palmeiras, sao paulo, injusto, vior, roque</t>
  </si>
  <si>
    <t>palmeiras, abel, alex, abel ferreira, sao paulo</t>
  </si>
  <si>
    <t>corinthians, fiel, salazar, gazeta, certo</t>
  </si>
  <si>
    <t>fluminense, palmeiras, sao paulo, superior, domingo</t>
  </si>
  <si>
    <t>palmeiras, internacional, fluminense, equipe, titular</t>
  </si>
  <si>
    <t>palmeiras, dorival, corinthians, flamengo, titulo</t>
  </si>
  <si>
    <t>corinthians, timao, gazeta, semana, xerifao</t>
  </si>
  <si>
    <t>renovacao, entrevista, clube, certo, acaba</t>
  </si>
  <si>
    <t>palmeiras, corinthians, carnaval, miller, gosta</t>
  </si>
  <si>
    <t>corinthians, dorival, trabalho, salazar, informacao</t>
  </si>
  <si>
    <t>palmeiras, verdao, silvestre, supersticao, gosto</t>
  </si>
  <si>
    <t>palmeiras, novo, academia, brasil, horas</t>
  </si>
  <si>
    <t>corinthians, bragantino, palmeiras, programa, red bull bragantino</t>
  </si>
  <si>
    <t>jogos, gazeta, lado, informacao, reporteres</t>
  </si>
  <si>
    <t>palmeiras, corinthians, flaco lopes, comecando, garrafa</t>
  </si>
  <si>
    <t>palmeiras, fluminense, overhampton, amadurecendo, programa</t>
  </si>
  <si>
    <t>neymar, santos, paulistao, rodada, primeira</t>
  </si>
  <si>
    <t>corinthians, palmeiras, alisson, sao paulo, gazete</t>
  </si>
  <si>
    <t>flamengo, corinthians, titulo, gavioes, ajudar</t>
  </si>
  <si>
    <t>santos, corinthians, dorival, alex, acompanha</t>
  </si>
  <si>
    <t>sao paulo, bora, morumbis, meio, certo</t>
  </si>
  <si>
    <t>corinthians, bragantino, palmeiras, santos, timao</t>
  </si>
  <si>
    <t>redes, sociais, sao paulo, chegava, miller</t>
  </si>
  <si>
    <t>corinthians, andre, ramalho, zagueiro, pessoal</t>
  </si>
  <si>
    <t>corinthians, timao, bragantino, santos, palmeiras</t>
  </si>
  <si>
    <t>corinthians, certo, errado, garro, fizeram</t>
  </si>
  <si>
    <t>palmeiras, corinthians, feminino, gabi, volta</t>
  </si>
  <si>
    <t>CRUZEIRO</t>
  </si>
  <si>
    <t>flamengo, cruzeiro, cebolinha, tit, marcos</t>
  </si>
  <si>
    <t>palmeiras, sossa, abel ferreira, vitor, outros</t>
  </si>
  <si>
    <t>palmeiras, santos, sport, cruzeiro, brasileirao</t>
  </si>
  <si>
    <t>corinthians, dando, sono, gostou, segundo</t>
  </si>
  <si>
    <t>dorival, rui, costa, sao paulo, menos</t>
  </si>
  <si>
    <t>corinthians, dorival, assistencias, palmeiras, cruzeiro</t>
  </si>
  <si>
    <t>fisioterapeuta, chegou, corinthians, machucada, dias</t>
  </si>
  <si>
    <t>corinthians, barradao, amanha, grava, profissional</t>
  </si>
  <si>
    <t>corinthians, palmeiras, atletas, andre, segundo</t>
  </si>
  <si>
    <t>fator, emocional, preponderante, trabalho, peguei</t>
  </si>
  <si>
    <t>corinthians, internacional, estreia, libertadores, alex</t>
  </si>
  <si>
    <t>palmeiras, corinthians, treinar, libertadores, rivalidade</t>
  </si>
  <si>
    <t>corinthians, torcedor, sinceramente, combina, acha</t>
  </si>
  <si>
    <t>corinthians, sao paulo, diniz, contrato, fortalecer</t>
  </si>
  <si>
    <t>milan, corinthians, proposta, millar, andre</t>
  </si>
  <si>
    <t>corinthians, olhos, proprio, sereto, comentou</t>
  </si>
  <si>
    <t>educacao, precisa, brasil, lado, horas</t>
  </si>
  <si>
    <t>corinthians, palmeiras, verdao, flamengo, marcelo</t>
  </si>
  <si>
    <t>palmeiras, leila pereira, sao paulo, leila, pereira</t>
  </si>
  <si>
    <t>palmeiras, botafogo, verdao, abel ferreira, muller</t>
  </si>
  <si>
    <t>neymar, meses, recuperar, entregou, ultima</t>
  </si>
  <si>
    <t>neymar, grupo, estragar, objetivo, corrida</t>
  </si>
  <si>
    <t>internacional, corinthians, professor, mim, prazer</t>
  </si>
  <si>
    <t>muller, sao paulo, roger, machado, achou</t>
  </si>
  <si>
    <t>verdao, titulo, vezes, trave, passado</t>
  </si>
  <si>
    <t>palmeiras, onibus, viagem, segue, confesso</t>
  </si>
  <si>
    <t>palmeiras, novo, falei, sabemos, forca</t>
  </si>
  <si>
    <t>alan, mauricio, titular, aras, acontecendo</t>
  </si>
  <si>
    <t>corinthians, jogos, minimo, metas, faceis</t>
  </si>
  <si>
    <t>palmeiras, fluminense, menos, verdade, brasileiro</t>
  </si>
  <si>
    <t>jogou, ritmo, palmeiras, banco, arias</t>
  </si>
  <si>
    <t>corinthians, timao, hugo, penaltis, nunca</t>
  </si>
  <si>
    <t>embora, corinthians, pai, contrato, meio</t>
  </si>
  <si>
    <t>palmeiras, fluminense, silvestre, folga, nino</t>
  </si>
  <si>
    <t>corinthians, area, atacante, definido, comissao</t>
  </si>
  <si>
    <t>palmeiras, presidente, pressao, leila pereira, simpatico</t>
  </si>
  <si>
    <t>palmeiras, verdao, internacional, vale, brasileiro</t>
  </si>
  <si>
    <t>verdao, pereira, leila pereira, presidente, leila</t>
  </si>
  <si>
    <t>corinthians, palmeiras, imagens, flaco lopes, sao paulo</t>
  </si>
  <si>
    <t>verdao, empurrando, sair, penalti, ligado</t>
  </si>
  <si>
    <t>fluminense, palmeiras, leila pereira, detalhes, aviao</t>
  </si>
  <si>
    <t>santos, neymar, voivoda, peixe, falta</t>
  </si>
  <si>
    <t>alisson, torcida, corinthians, santos, reconquistar</t>
  </si>
  <si>
    <t>corinthians, flamengo, clube, contrato, proposta</t>
  </si>
  <si>
    <t>corinthians, dorival, bahia, fomos, atras</t>
  </si>
  <si>
    <t>corinthians, bahia, timao, vila belmiro, serra</t>
  </si>
  <si>
    <t>gustavo, corinthians, henrique, gabigol, lance</t>
  </si>
  <si>
    <t>palmeiras, fluminense, wolverhampton, jogos, ruim</t>
  </si>
  <si>
    <t>sao paulo, carro, pista, chuva, cessava</t>
  </si>
  <si>
    <t>corinthians, palmeiras, itaquera, santos, ganhamos</t>
  </si>
  <si>
    <t>corinthians, dorival, vasco, ponte, preta</t>
  </si>
  <si>
    <t>semanas, recuperacao, tratamento, conservador, poder</t>
  </si>
  <si>
    <t>corinthians, palmeiras, sao paulo, jogadora, frente</t>
  </si>
  <si>
    <t>cruzeiro, flamengo, gerson, palmeiras, capita</t>
  </si>
  <si>
    <t>linguagem, corporal, tornozelo, esquerdo, poupou</t>
  </si>
  <si>
    <t>palmeiras, bahia, flamengo, botafogo, acredito</t>
  </si>
  <si>
    <t>corinthians, jazz, bateu, normalmente, mim</t>
  </si>
  <si>
    <t>jogos, rui, costa, planejamento, chegou</t>
  </si>
  <si>
    <t>corinthians, palmeiras, jogos, confianca, render</t>
  </si>
  <si>
    <t>verdade, corinthians, informacoes, lesao, opiniao</t>
  </si>
  <si>
    <t>corinthians, galo, profissionais, muller, marcelo</t>
  </si>
  <si>
    <t>palmeiras, fiel, abel ferreira, cotovelada, passado</t>
  </si>
  <si>
    <t>diniz, corinthians, garro, torcida, podem</t>
  </si>
  <si>
    <t>corinthians, dorival, internacional, aquela, parte</t>
  </si>
  <si>
    <t>treino, bahia, normalmente, treina, viaja</t>
  </si>
  <si>
    <t>corinthians, cruzeiro, diniz, rafa, fernando</t>
  </si>
  <si>
    <t>corinthians, dorival, proposta, diniz, repente</t>
  </si>
  <si>
    <t>corinthians, santos, internacional, inter, dorival</t>
  </si>
  <si>
    <t>corinthians, milan, dorival, proposta, aumentar</t>
  </si>
  <si>
    <t>corinthians, bragantino, apelar, novo, passado</t>
  </si>
  <si>
    <t>SELEÇÃO</t>
  </si>
  <si>
    <t>selecao, franca, ganhou, resultado, trabalho</t>
  </si>
  <si>
    <t>palmeiras, verdao, sao paulo, gazeta, desportiva</t>
  </si>
  <si>
    <t>palmeiras, parte, deixou, foco, gramado</t>
  </si>
  <si>
    <t>palmeiras, verdao, botafogo, sao paulo, atletico mineiro</t>
  </si>
  <si>
    <t>neymar, banco, ancelotti, reserva, encarar</t>
  </si>
  <si>
    <t>neymar, conversar, convocacao, nunca, sao paulo</t>
  </si>
  <si>
    <t>corinthians, esperando, voltar, foram, corrida</t>
  </si>
  <si>
    <t>corinthians, coritiba, metro, temos, talvez</t>
  </si>
  <si>
    <t>palmeiras, sao paulo, casar, afastado, maneira</t>
  </si>
  <si>
    <t>palmeiras, verdao, trabalho, leila pereira, glorioso</t>
  </si>
  <si>
    <t>aviao, seria, pegar, minutos, rio</t>
  </si>
  <si>
    <t>palmeiras, sensacao, torcida, atmosfera, decisao</t>
  </si>
  <si>
    <t>palmeiras, deveria, alex, falei, necessidade</t>
  </si>
  <si>
    <t>corinthians, meta, contratando, dessas, teria</t>
  </si>
  <si>
    <t>palmeiras, titular, fluminense, abel, alex</t>
  </si>
  <si>
    <t>diferenca, corinthians, palmeiras, quarta, sabado</t>
  </si>
  <si>
    <t>timao, dorival, hugo, nona, opiniao</t>
  </si>
  <si>
    <t>corinthians, sentou, memphis, conversar, contrato</t>
  </si>
  <si>
    <t>corinthians, brasil, conseguiu, tirar, rebaixamento</t>
  </si>
  <si>
    <t>palmeiras, fluminense, nino, zenit, voltar</t>
  </si>
  <si>
    <t>corinthians, mercado, certo, dorival, caracteristicas</t>
  </si>
  <si>
    <t>palmeiras, fluminense, flu, campeao, libertadores</t>
  </si>
  <si>
    <t>corinthians, flamengo, cruzeiro, palmeiras, receber</t>
  </si>
  <si>
    <t>palmeiras, deve, caso, abel ferreira, flaco lopes</t>
  </si>
  <si>
    <t>palmeiras, corinthians, super, colocamos, deixaram</t>
  </si>
  <si>
    <t>neymar, santos, menos, meio, banco</t>
  </si>
  <si>
    <t>corinthians, flamengo, santos, alisson, sao paulo</t>
  </si>
  <si>
    <t>dorival, flamengo, busca, titulo, frente</t>
  </si>
  <si>
    <t>bahia, corinthians, rogerio, mim, inclusive</t>
  </si>
  <si>
    <t>corinthians, dorival, flamengo, brasil, brasileiro</t>
  </si>
  <si>
    <t>fiel, timao, ultima, vez, classico</t>
  </si>
  <si>
    <t>bolsa, estudante, educacao, superior, tiver</t>
  </si>
  <si>
    <t>almada, palmeiras, nino, fluminense, zagueiro</t>
  </si>
  <si>
    <t>claro, sao paulo, condiciona, mercado, poder</t>
  </si>
  <si>
    <t>palmeiras, complicado, temporada, ganhou, classico</t>
  </si>
  <si>
    <t>afeta, qualquer, corinthians, passado, sao paulo</t>
  </si>
  <si>
    <t>corinthians, dorival, base, vitoria, importante</t>
  </si>
  <si>
    <t>palmeiras, corinthians, santos, botafogo, jogos</t>
  </si>
  <si>
    <t>lesao, ficou, outro, sao paulo, thiago</t>
  </si>
  <si>
    <t>conselho, impeachment, casares, julio, votar</t>
  </si>
  <si>
    <t>palmeiras, feito, resultado, vitor, roque</t>
  </si>
  <si>
    <t>palmeiras, bahia, botafogo, pouquinho, abel</t>
  </si>
  <si>
    <t>corinthians, dorival, dificuldade, marcou, ruim</t>
  </si>
  <si>
    <t>dorival, roger, machado, resultado, treinador</t>
  </si>
  <si>
    <t>formula, sao paulo, formula 1, velocidade, brasileiro</t>
  </si>
  <si>
    <t>corinthians, lesao, pessoas, repouso, errou</t>
  </si>
  <si>
    <t>corinthians, clube, chave, juridico, fisioterapeuta</t>
  </si>
  <si>
    <t>palmeiras, corinthians, alex, 0a0, demonstracao</t>
  </si>
  <si>
    <t>corinthians, caique, assistencias, hugo, ruim</t>
  </si>
  <si>
    <t>corinthians, libertadores, vitoria, platense, times</t>
  </si>
  <si>
    <t>corinthians, denunciado, abel ferreira, viagens, brasil</t>
  </si>
  <si>
    <t>corinthians, diniz, passou, tal, tive</t>
  </si>
  <si>
    <t>corinthians, dorival, junior, salazar, pagar</t>
  </si>
  <si>
    <t>palmeiras, verdao, gremio, abel ferreira, amanha</t>
  </si>
  <si>
    <t>corinthians, milan, errado, rota, corrigiu</t>
  </si>
  <si>
    <t>fluminense, chegar, holanda, queimar, certo</t>
  </si>
  <si>
    <t>deveria, neymar, protagonista, surpresa, absolutamente</t>
  </si>
  <si>
    <t>ATLÉTICO-MG</t>
  </si>
  <si>
    <t>paulinho, atletico mineiro, primeira, cirurgia, relacionado</t>
  </si>
  <si>
    <t>arrebentar, zagueiro, corinthians, mozart, imagina</t>
  </si>
  <si>
    <t>corinthians, juiz, direto, beleza, rapidinho</t>
  </si>
  <si>
    <t>palmeiras, verdao, sao paulo, muller, comentarista</t>
  </si>
  <si>
    <t>palmeiras, corinthians, santos, parte, vejo</t>
  </si>
  <si>
    <t>classico, vive, diferente, sao paulo, morumbi</t>
  </si>
  <si>
    <t>neymar, empurrou, cima, placar, parcelar</t>
  </si>
  <si>
    <t>neymar, meses, dias, porta, convocacao</t>
  </si>
  <si>
    <t>roger, machado, palmeiras, dias, sao paulo</t>
  </si>
  <si>
    <t>corinthians, fim, manchester united, contrato, trajetoria</t>
  </si>
  <si>
    <t>costa, treinador, sao paulo, mal, declaracoes</t>
  </si>
  <si>
    <t>palmeiras, botar, dor, cabeca, conta</t>
  </si>
  <si>
    <t>palmeiras, aviao, horas, sala, trofeus</t>
  </si>
  <si>
    <t>palmeiras, vantagem, disputar, entrar, tanto</t>
  </si>
  <si>
    <t>palmeiras, mauricio, setor, meio, aparece</t>
  </si>
  <si>
    <t>corinthians, aposta, jogou, manchester united, trata</t>
  </si>
  <si>
    <t>fluminense, var, palmeiras, arbitragem, nenhuma</t>
  </si>
  <si>
    <t>titular, abel ferreira, compreensivel, abel, poucos</t>
  </si>
  <si>
    <t>dorival, corinthians, mauricio, aras, gostaria</t>
  </si>
  <si>
    <t>corinthians, vasco, hugo, ninguem, alem</t>
  </si>
  <si>
    <t>corinthians, timao, acordo, memphis, pagar</t>
  </si>
  <si>
    <t>corinthians, contrato, meio, seria, atletas</t>
  </si>
  <si>
    <t>palmeiras, nino, abel ferreira, sao paulo, miller</t>
  </si>
  <si>
    <t>corinthians, dorival, base, talvez, andre</t>
  </si>
  <si>
    <t>fluminense, contratacao, palmeiras, cobra, acontece</t>
  </si>
  <si>
    <t>palmeiras, fluminense, ganha, abel ferreira, salario</t>
  </si>
  <si>
    <t>errou, memphis, chutou, corinthians, penalti</t>
  </si>
  <si>
    <t>pereira, penalti, miller, normal, andreas</t>
  </si>
  <si>
    <t>fiel, corinthians, palmeiras, comecar, derby</t>
  </si>
  <si>
    <t>corinthians, capivariano, junto, ressaca, titulo</t>
  </si>
  <si>
    <t>palmeiras, areas, verdao, fluminense, torcida</t>
  </si>
  <si>
    <t>crespo, corinthians, alisson, sao paulo, relacionamento</t>
  </si>
  <si>
    <t>corinthians, fiel, andre, gazeta, craques</t>
  </si>
  <si>
    <t>alisson, camisa, sao paulo, torcedor, saber</t>
  </si>
  <si>
    <t>atras, corinthians, dorival, gerson, posso</t>
  </si>
  <si>
    <t>corinthians, informacao, timao, bahia, memphis</t>
  </si>
  <si>
    <t>hendrick, palmeiras, esperou, martinelli, atacante</t>
  </si>
  <si>
    <t>corinthians, brasil, lado, mulheres, terca</t>
  </si>
  <si>
    <t>timao, corinthians, santos, peixe, neymar</t>
  </si>
  <si>
    <t>sao paulo, diante, portuguesa, marcou, volta</t>
  </si>
  <si>
    <t>sao paulo, vivo, maior, polemica, falam</t>
  </si>
  <si>
    <t>palmeiras, base, flamengo, pouquinho, gomes</t>
  </si>
  <si>
    <t>corinthians, santos, falha, sao paulo, hugo</t>
  </si>
  <si>
    <t>corinthians, onde, importante, sao paulo, feliz</t>
  </si>
  <si>
    <t>palmeiras, verdao, flaco lopes, flaco, alan</t>
  </si>
  <si>
    <t>corinthians, vasco, dorival, relacao, elenco</t>
  </si>
  <si>
    <t>corinthians, dorival, teremos, competicoes, longo</t>
  </si>
  <si>
    <t>portuguesa, palmeiras, jogos, paulista, inicio</t>
  </si>
  <si>
    <t>apoiar, mao, punho, toma, jogada</t>
  </si>
  <si>
    <t>INTERNACIONAL</t>
  </si>
  <si>
    <t>cruzeiro, flamengo, internacional, gerson, joga</t>
  </si>
  <si>
    <t>palmeiras, criou, placar, gols, poderia</t>
  </si>
  <si>
    <t>corinthians, vasco, palmeiras, timao, itaquera</t>
  </si>
  <si>
    <t>corinthians, fernando, diniz, jogos, potencial</t>
  </si>
  <si>
    <t>corinthians, timao, multa, vasco, penarol</t>
  </si>
  <si>
    <t>podio, formula 1, preliminar, formula, estar</t>
  </si>
  <si>
    <t>corinthians, confianca, departamento, cabeca, fisioterapeuta</t>
  </si>
  <si>
    <t>corinthians, palmeiras, profissionais, seja, trabalho</t>
  </si>
  <si>
    <t>palmeiras, corinthians, melhores, america, sul</t>
  </si>
  <si>
    <t>palmeiras, corinthians, 0a0, pegador, penalti</t>
  </si>
  <si>
    <t>corinthians, vitoria, seria, alberto, duvida</t>
  </si>
  <si>
    <t>corinthians, sao paulo, jogando, pedro, raul</t>
  </si>
  <si>
    <t>rapido, fernando, diniz, rede, social</t>
  </si>
  <si>
    <t>dorival, reforcos, junior, decisao, tomada</t>
  </si>
  <si>
    <t>palmeiras, deve, gremio, amanha, data</t>
  </si>
  <si>
    <t>corinthians, milan, dorival, timao, negocio</t>
  </si>
  <si>
    <t>corinthians, fluminense, dorival, flamengo, jogos</t>
  </si>
  <si>
    <t>neymar, santos, palavra, ancelotti, tanto</t>
  </si>
  <si>
    <t>palmeiras, verdao, frutos, contratacao, risco</t>
  </si>
  <si>
    <t>lado, corinthians, centroavante, yuri, gosto</t>
  </si>
  <si>
    <t>corinthians, intervencao, judicial, clube, seja</t>
  </si>
  <si>
    <t>palmeiras, calleri, joga, achando, igual</t>
  </si>
  <si>
    <t>palmeiras, rivalidade, corinthians, sao paulo, classico</t>
  </si>
  <si>
    <t>neymar, convocado, acha, mal, personalidade</t>
  </si>
  <si>
    <t>neymar, santos, questao, vila belmiro, estar</t>
  </si>
  <si>
    <t>palmeiras, roger, sao paulo, lado, apoiar</t>
  </si>
  <si>
    <t>comeca, ponta, atras, relacao, amigos</t>
  </si>
  <si>
    <t>palmeiras, roger, treinador, forma, rapida</t>
  </si>
  <si>
    <t>palmeiras, paulista, taca, investimento, levantar</t>
  </si>
  <si>
    <t>palmeiras, sacanagem, invertido, opiniao, segundo</t>
  </si>
  <si>
    <t>mauricio, mexeu, alex, funcao, aras</t>
  </si>
  <si>
    <t>correspondente, gazeta, luiz, ultimos, menos</t>
  </si>
  <si>
    <t>penalti, toque, vitor, roque, erro</t>
  </si>
  <si>
    <t>palmeiras, fluminense, sao paulo, arian, precisa</t>
  </si>
  <si>
    <t>peixe, mauricio, alan, maioria, gazeta</t>
  </si>
  <si>
    <t>corinthians, cruzeiro, dorival, portuguesa, alex</t>
  </si>
  <si>
    <t>corinthians, parece, situacao, problemas, pos</t>
  </si>
  <si>
    <t>palmeiras, fluminense, seria, zaga, contratacao</t>
  </si>
  <si>
    <t>corinthians, cruzeiro, flamengo, fazendo, leonardo</t>
  </si>
  <si>
    <t>palmeiras, sair, foram, mauricio, sai</t>
  </si>
  <si>
    <t>palmeiras, sao paulo, amanha, estarei, mundial</t>
  </si>
  <si>
    <t>pereira, errou, palmeiras, certo, andras</t>
  </si>
  <si>
    <t>punir, pereira, stjd, penalti, vantagem</t>
  </si>
  <si>
    <t>dorival, gracas, assistencia, marcado, feliz</t>
  </si>
  <si>
    <t>palmeiras, fluminense, flamengo, silvestre, valor</t>
  </si>
  <si>
    <t>corinthians, alisson, crespo, sao paulo, tal</t>
  </si>
  <si>
    <t>titulo, flamengo, corinthians, tao, andre</t>
  </si>
  <si>
    <t>situacao, sao paulo, utilizado, entendo, temporada</t>
  </si>
  <si>
    <t>corinthians, staff, memphis, ficou, primeira</t>
  </si>
  <si>
    <t>hendrick, pombo, mateus, problema, ancelote</t>
  </si>
  <si>
    <t>corinthians, poder, equipe, novamente, conferir</t>
  </si>
  <si>
    <t>corinthians, pronto, deixa, yuri, alberto</t>
  </si>
  <si>
    <t>palmeiras, verdao, sao paulo, precisa, falo</t>
  </si>
  <si>
    <t>clube, sao paulo, aconteceu, presidente, julio</t>
  </si>
  <si>
    <t>palmeiras, faltou, flamengo, sao paulo, perna</t>
  </si>
  <si>
    <t>hugo, bragantino, souza, achei, falha</t>
  </si>
  <si>
    <t>jogando, palmeiras, corinthians, sao paulo, elenco</t>
  </si>
  <si>
    <t>palmeiras, banco, graca, jogando, ton</t>
  </si>
  <si>
    <t>corinthians, palmeiras, torcida, sao paulo, pressao</t>
  </si>
  <si>
    <t>flamengo, corinthians, precisa, mengao, palmeiras</t>
  </si>
  <si>
    <t>corinthians, palmeiras, santos, jogos, sequencia</t>
  </si>
  <si>
    <t>casares, sao paulo, presidente, cargo, vez</t>
  </si>
  <si>
    <t>flamengo, cruzeiro, santos, peixe, focado</t>
  </si>
  <si>
    <t>recuperacao, lesao, tornozelo, vitor, roque</t>
  </si>
  <si>
    <t>corinthians, vasco, timao, gripe, disposicao</t>
  </si>
  <si>
    <t>defesa, sistema, ataque, volante, partidas</t>
  </si>
  <si>
    <t>corinthians, barra, provavel, lateral, andre</t>
  </si>
  <si>
    <t>legal, corinthians, feliz, historia, estrear</t>
  </si>
  <si>
    <t>corinthians, voltou, departamento, medico, vila belmiro</t>
  </si>
  <si>
    <t>corinthians, partidas, santos, palmeiras, pegar</t>
  </si>
  <si>
    <t>corinthians, garoto, ficou, pilhado, entra</t>
  </si>
  <si>
    <t>corinthians, yuri, outro, inter, alberto</t>
  </si>
  <si>
    <t>formula 1, semana, brasil, conta, ficou</t>
  </si>
  <si>
    <t>corinthians, escalaria, pedro, raul, sentido</t>
  </si>
  <si>
    <t>sou, expulso, seja, surpresa, sala</t>
  </si>
  <si>
    <t>dorival, corinthians, importantes, entendimento, comissao</t>
  </si>
  <si>
    <t>jogava, tornozelo, selecao, outro, estranhando</t>
  </si>
  <si>
    <t>corinthians, reais, entende, euros, atletas</t>
  </si>
  <si>
    <t>fluminense, corinthians, causa, arrepio, torcedor</t>
  </si>
  <si>
    <t>neymar, situacao, rodar, benicio, junior</t>
  </si>
  <si>
    <t>paulinho, coxa, palmeiras, flaco, flaco lopes</t>
  </si>
  <si>
    <t>yuri, pega, sente, maior, sendo</t>
  </si>
  <si>
    <t>corinthians, acontecam, eleicoes, algo, trabalho</t>
  </si>
  <si>
    <t>palmeiras, sao paulo, calleri, pensar, rival</t>
  </si>
  <si>
    <t>abel ferreira, leila pereira, leila, essas, deixa</t>
  </si>
  <si>
    <t>palmeiras, aras, sao paulo, lado, parque</t>
  </si>
  <si>
    <t>neymar, santos, convocacao, topico, esperanca</t>
  </si>
  <si>
    <t>torcida, sao paulo, cima, roger, machado</t>
  </si>
  <si>
    <t>curriculo, condicao, tecnica, fazendo, completamente</t>
  </si>
  <si>
    <t>roger, sao paulo, machado, rui, costa</t>
  </si>
  <si>
    <t>palmeiras, marca, abel ferreira, titulo, jogou</t>
  </si>
  <si>
    <t>palmeiras, corinthians, novo, horizontino, teria</t>
  </si>
  <si>
    <t>palmeiras, novo, horizontino, alex, romulo</t>
  </si>
  <si>
    <t>palmeiras, jogos, aproveitar, novo, diferenca</t>
  </si>
  <si>
    <t>liverpool, inglaterra, manchester, chegou, principal</t>
  </si>
  <si>
    <t>toque, palmeiras, sentiu, parte, penalti</t>
  </si>
  <si>
    <t>corinthians, dorival, fiel, cruzeiro, coxa</t>
  </si>
  <si>
    <t>mauricio, alan, palmeiras, arias, voando</t>
  </si>
  <si>
    <t>dorival, corinthians, reserva, paulista, domingo</t>
  </si>
  <si>
    <t>corinthians, contrato, questao, intencao, oferecer</t>
  </si>
  <si>
    <t>memphis, corinthians, substituto, pai, yurio</t>
  </si>
  <si>
    <t>palmeiras, fluminense, flamengo, ofereceu, gomes</t>
  </si>
  <si>
    <t>corinthians, dorival, realidade, base, espaco</t>
  </si>
  <si>
    <t>palmeiras, gremio, cavalo, sao paulo, tricolor paulista</t>
  </si>
  <si>
    <t>nenhuma, andreas, pereira, carater, malandro</t>
  </si>
  <si>
    <t>corinthians, cultural, certo, errado, europa</t>
  </si>
  <si>
    <t>palmeiras, corinthians, tao, derby, superioridade</t>
  </si>
  <si>
    <t>palmeiras, corinthians, dorival, domingo, paulista</t>
  </si>
  <si>
    <t>palmeiras, milhoes, avaliacao, milhoesais, paqueta</t>
  </si>
  <si>
    <t>santos, cedric, sao paulo, garoto, base</t>
  </si>
  <si>
    <t>corinthians, palmeiras, flamengo, cruzeiro, explica</t>
  </si>
  <si>
    <t>bahia, corinthians, flamengo, fortaleza, dorival</t>
  </si>
  <si>
    <t>corinthians, bahia, timao, fiel, dorival</t>
  </si>
  <si>
    <t>corinthians, dorival, santos, vila belmiro, classico</t>
  </si>
  <si>
    <t>palmeiras, portuguesa, derrota, sao paulo, trabalhar</t>
  </si>
  <si>
    <t>presidente, dias, casares, sao paulo, clube</t>
  </si>
  <si>
    <t>palmeiras, novo, horizontino, flaco, lopes</t>
  </si>
  <si>
    <t>corinthians, tapia, zagueiro, deve, sao paulo</t>
  </si>
  <si>
    <t>sao paulo, resultado, fase, luciano, crespo</t>
  </si>
  <si>
    <t>peixe, gremio, palmeiras, voivoda, epoca</t>
  </si>
  <si>
    <t>palmeiras, abel, historia, torcedores, logico</t>
  </si>
  <si>
    <t>formula 1, estados, unidos, aspas, fato</t>
  </si>
  <si>
    <t>corinthians, cruzeiro, santos, dentro, fortaleza</t>
  </si>
  <si>
    <t>dor, ossinho, punho, mencao, nenhuma</t>
  </si>
  <si>
    <t>copinha, sao paulo, processo, casares, volta</t>
  </si>
  <si>
    <t>santos, peixe, neymar, kauan, sao paulo</t>
  </si>
  <si>
    <t>tornozelo, sao paulo, problema, esquerdo, lesao</t>
  </si>
  <si>
    <t>corinthians, gostou, seria, europeu, importantissimo</t>
  </si>
  <si>
    <t>tac, tic, empates, desenvolvimento, meio</t>
  </si>
  <si>
    <t>corinthians, barra, sao paulo, seria, comentario</t>
  </si>
  <si>
    <t>corinthians, palmeiras, tecnico, marcelo, fernando</t>
  </si>
  <si>
    <t>neymar, santos, vila belmiro, aceitar, mete</t>
  </si>
  <si>
    <t>corinthians, palmeiras, criterio, perder, jogos</t>
  </si>
  <si>
    <t>corinthians, postagem, flamengo, diniz, flaco</t>
  </si>
  <si>
    <t>corinthians, caique, palmeiras, flamengo, jogou</t>
  </si>
  <si>
    <t>truck, jafone, estar, caminhoes, felipe</t>
  </si>
  <si>
    <t>tratando, lesao, seria, novo, caique</t>
  </si>
  <si>
    <t>vasco, corinthians, muller, estar, aprendendo</t>
  </si>
  <si>
    <t>dorival, corinthians, cruzeiro, palmeiras, vasco</t>
  </si>
  <si>
    <t>santos, peixe, galo, cuca, abel ferreira</t>
  </si>
  <si>
    <t>corinthians, reais, milan, liverpool, euros</t>
  </si>
  <si>
    <t>corinthians, palmeiras, problemas, jogos, yuri</t>
  </si>
  <si>
    <t>neymar, santos, dias, media, passa</t>
  </si>
  <si>
    <t>palmeiras, flaco lopez, segundo, atacante, mauricio</t>
  </si>
  <si>
    <t>corinthians, jorge, timao, caracteristica, frente</t>
  </si>
  <si>
    <t>corinthians, preocupacao, torcedor, impactar, dorival</t>
  </si>
  <si>
    <t>palmeiras, joga, sao paulo, nariz, tao</t>
  </si>
  <si>
    <t>palmeiras, leila pereira, sao paulo, histerico, leila</t>
  </si>
  <si>
    <t>palmeiras, botafogo, arthur, xara, jogaram</t>
  </si>
  <si>
    <t>neymar, convocado, jogos, convocacao, ancelotti</t>
  </si>
  <si>
    <t>neymar, santos, seja, ouvi, pessoas</t>
  </si>
  <si>
    <t>palmeiras, roger, sao paulo, nomes, reverter</t>
  </si>
  <si>
    <t>inter, muller, fosse, desempregado, verdade</t>
  </si>
  <si>
    <t>palmeiras, mim, vitor, roque, paulistao</t>
  </si>
  <si>
    <t>dogao, corinthians, peixe, anuncio, chips</t>
  </si>
  <si>
    <t>carlos, miguel, palmeiras, penalti, meio</t>
  </si>
  <si>
    <t>palmeiras, novo, horizontino, pagar, romulo</t>
  </si>
  <si>
    <t>corinthians, redes, sociais, manchester united, ativo</t>
  </si>
  <si>
    <t>toque, penalti, vitor, roque, marca</t>
  </si>
  <si>
    <t>corinthians, reserva, mineirao, ceu, azul</t>
  </si>
  <si>
    <t>palmeiras, alan, flaco, mercado, jovem</t>
  </si>
  <si>
    <t>palmeiras, corinthians, hipotese, paulista, paulistao</t>
  </si>
  <si>
    <t>mes, corinthians, igual, paqueta, salario</t>
  </si>
  <si>
    <t>corinthians, fato, algo, memphis, entrou</t>
  </si>
  <si>
    <t>palmeiras, nino, miller, passado, oscilacoes</t>
  </si>
  <si>
    <t>corinthians, santos, botafogo, andre, junior</t>
  </si>
  <si>
    <t>palmeiras, vale, flamengo, arias, chega</t>
  </si>
  <si>
    <t>flamengo, penalti, mim, garoto, jogando</t>
  </si>
  <si>
    <t>corinthians, outra, situacao, errado, regra</t>
  </si>
  <si>
    <t>corinthians, palmeiras, podia, contratar, profissionais</t>
  </si>
  <si>
    <t>palmeiras, corinthians, derby, magia, contraria</t>
  </si>
  <si>
    <t>corinthians, dorival, palmeiras, botafogo, derby</t>
  </si>
  <si>
    <t>palmeiras, joga, arias, gastando, meio</t>
  </si>
  <si>
    <t>santos, deveria, corinthians, mudar, palpite</t>
  </si>
  <si>
    <t>santos, titular, milan, sao paulo, entregar</t>
  </si>
  <si>
    <t>dorival, trabalho, sendo, processo, trave</t>
  </si>
  <si>
    <t>torcida, alisson, atleta, sao paulo, ajuda</t>
  </si>
  <si>
    <t>corinthians, flamengo, internacional, torino, dorival</t>
  </si>
  <si>
    <t>corinthians, contrato, meio, pagar, prioridade</t>
  </si>
  <si>
    <t>hendrick, gosto, tecnica, explosao, artilheiro</t>
  </si>
  <si>
    <t>corinthians, dorival, flamengo, alberto, saiu</t>
  </si>
  <si>
    <t>palmeiras, corinthians, flamengo, mim, penalti</t>
  </si>
  <si>
    <t>portuguesa, expulsao, sao paulo, alex, faltou</t>
  </si>
  <si>
    <t>corinthians, sao paulo, inclusive, sendo, teria</t>
  </si>
  <si>
    <t>neymar, santos, flamengo, pacaembu, exposicao</t>
  </si>
  <si>
    <t>corinthians, sao paulo, tapia, perto, acontece</t>
  </si>
  <si>
    <t>luciano, sao paulo, figura, polemica, claro</t>
  </si>
  <si>
    <t>verdao, palmeiras, segundo, lance, fisicamente</t>
  </si>
  <si>
    <t>palmeiras, gremio, fluminense, lomba, everton</t>
  </si>
  <si>
    <t>errado, filho, aconteceu, violencia, dar</t>
  </si>
  <si>
    <t>santos, clube, vencendo, reforco, recurso</t>
  </si>
  <si>
    <t>santos, miracol, palmeiras, corinthians, sao paulo</t>
  </si>
  <si>
    <t>corinthians, bragantino, santos, sao paulo, red bull bragantino</t>
  </si>
  <si>
    <t>sao paulo, fico, votos, meio, vez</t>
  </si>
  <si>
    <t>santos, gabigol, vila belmiro, enfim, bastante</t>
  </si>
  <si>
    <t>lesao, vezes, infelizmente, outra, triste</t>
  </si>
  <si>
    <t>corinthians, contrato, realidade, selecao, topa</t>
  </si>
  <si>
    <t>corinthians, brasileiro, focar, velocidade, tanto</t>
  </si>
  <si>
    <t>corinthians, titular, palmeiras, brasileiro, barra</t>
  </si>
  <si>
    <t>essas, diniz, fosse, conferir, monte</t>
  </si>
  <si>
    <t>santos, neymar, peixe, ninguem, mano</t>
  </si>
  <si>
    <t>confusao, jogos, bruno, henrique, toda</t>
  </si>
  <si>
    <t>santos, corinthians, matheuzinho, flaco lopez, parte</t>
  </si>
  <si>
    <t>treinamento, fernando, diniz, garrafa, banco</t>
  </si>
  <si>
    <t>motor, stock, car, pilotos, formula 1</t>
  </si>
  <si>
    <t>timao, sao paulo, caique, oportunidade, vesse</t>
  </si>
  <si>
    <t>corinthians, galo, fluminense, varias, vezes</t>
  </si>
  <si>
    <t>corinthians, dorival, vasco, fluminense, diniz</t>
  </si>
  <si>
    <t>santos, corinthians, coritiba, belmiro, vila belmiro</t>
  </si>
  <si>
    <t>corinthians, hugo, guinegao, vender, escolha</t>
  </si>
  <si>
    <t>junto, dias, conseguir, aquela, terra</t>
  </si>
  <si>
    <t>neymar, santos, risco, lesao, ultimo</t>
  </si>
  <si>
    <t>salarios, atrasados, harry, macis, ultimo</t>
  </si>
  <si>
    <t>linhar, dorival, fluminense, corinthians, podera</t>
  </si>
  <si>
    <t>corinthians, palmeiras, portugal, abel ferreira, departamento</t>
  </si>
  <si>
    <t>palmeiras, outro, sao paulo, dedo, rival</t>
  </si>
  <si>
    <t>daronco, arbitro, segura, discutido, domingo</t>
  </si>
  <si>
    <t>palmeiras, cima, botafogo, desafio, manter</t>
  </si>
  <si>
    <t>neymar, ancelotti, hugo, fisicamente, chegar</t>
  </si>
  <si>
    <t>neymar, apagado, ancelotti, tecnicamente, aspecto</t>
  </si>
  <si>
    <t>corinthians, titular, crie, depender, atuacao</t>
  </si>
  <si>
    <t>titulos, treinamento, palmeiras, declaracao, sao paulo</t>
  </si>
  <si>
    <t>carlos, miguel, palmeiras, conferir, lance</t>
  </si>
  <si>
    <t>corinthians, valido, imagem, veio, brasileiro</t>
  </si>
  <si>
    <t>palmeiras, carlos, miguel, horizontino, penalti</t>
  </si>
  <si>
    <t>novo, palmeiras, corinthians, horizontino, horizonte</t>
  </si>
  <si>
    <t>internacional, gosta, luiz, correspondente, esqueceu</t>
  </si>
  <si>
    <t>palmeiras, seguinte, abel, relatou, baralho</t>
  </si>
  <si>
    <t>corinthians, dorival, bidu, cruzeiro, brasileirao</t>
  </si>
  <si>
    <t>palmeiras, flamengo, alan, sao paulo, domingo</t>
  </si>
  <si>
    <t>palmeiras, corinthians, dorival, novo, hugo</t>
  </si>
  <si>
    <t>corinthians, precisam, pagar, consigo, hotel</t>
  </si>
  <si>
    <t>palmeiras, forca, fisica, tricolor carioca, conquistar</t>
  </si>
  <si>
    <t>corinthians, alberto, tera, cairia, custam</t>
  </si>
  <si>
    <t>palmeiras, certeza, contratacao, premier, league</t>
  </si>
  <si>
    <t>braco, marcos, antonio, sao paulo, outro</t>
  </si>
  <si>
    <t>cultura, algo, penalti, provoca, conhecimento</t>
  </si>
  <si>
    <t>fiel, corinthians, precisa, poderia, evitado</t>
  </si>
  <si>
    <t>palmeiras, corinthians, flamengo, alex, jogou</t>
  </si>
  <si>
    <t>corinthians, mim, confianca, corinthiano, destaque</t>
  </si>
  <si>
    <t>palmeiras, abel, times, outro, gosto</t>
  </si>
  <si>
    <t>santos, corinthians, voivoda, outro, estar</t>
  </si>
  <si>
    <t>discurso, neymar, sao paulo, sendo, tecnico</t>
  </si>
  <si>
    <t>uniao, corinthians, espirito, conseguir, seja</t>
  </si>
  <si>
    <t>corinthians, torino, dorival, contato, palavra</t>
  </si>
  <si>
    <t>corinthians, milhoes, flamengo, dialogo, clube</t>
  </si>
  <si>
    <t>henrique, caio, jorge, hendrick, luiz</t>
  </si>
  <si>
    <t>corinthians, santos, dorival, rio, planejamento</t>
  </si>
  <si>
    <t>penalti, santos, jogada, voivoda, corinthians</t>
  </si>
  <si>
    <t>perde, lance, perder, goleiro, sao paulo</t>
  </si>
  <si>
    <t>corinthians, nenhuma, duvida, sao paulo, presidente</t>
  </si>
  <si>
    <t>santos, flamengo, neymar, corinthians, voivoda</t>
  </si>
  <si>
    <t>falta, paulino, principalmente, sou, dar</t>
  </si>
  <si>
    <t>corinthians, questao, elenco, luciano, ponto</t>
  </si>
  <si>
    <t>palmeiras, luigi, fim, impossivel, alex</t>
  </si>
  <si>
    <t>everton, corinthians, palmeiras, flamengo, perde</t>
  </si>
  <si>
    <t>santos, peixe, instinto, complicado, marcelo</t>
  </si>
  <si>
    <t>palmeiras, corinthians, verdadeiro, sao paulo, alex</t>
  </si>
  <si>
    <t>bahia, corinthians, temporada, perde, ritmo</t>
  </si>
  <si>
    <t>vasco, corinthians, cruzeiro, furacao, sao paulo</t>
  </si>
  <si>
    <t>voivoda, santos, volta, legal, sao paulo</t>
  </si>
  <si>
    <t>palmeiras, corinthians, flamengo, abriu, elenco</t>
  </si>
  <si>
    <t>corinthians, botafogo, vasco, brasileiro, sao paulo</t>
  </si>
  <si>
    <t>corinthians, brasil, botafogo, sao paulo, indo</t>
  </si>
  <si>
    <t>corinthians, ceara, pedro, situacao, relacao</t>
  </si>
  <si>
    <t>flamengo, diniz, opiniao, quarta, domingo</t>
  </si>
  <si>
    <t>santos, neymar, alguns, reservas, equipe</t>
  </si>
  <si>
    <t>corinthians, palmeiras, posjogo, infelizmente, extracampo</t>
  </si>
  <si>
    <t>palmeiras, gustavo, cabeca, gomes, detentor</t>
  </si>
  <si>
    <t>palmeiras, caique, futsal, menino, aquilo</t>
  </si>
  <si>
    <t>verdao, palmeiras, mauro, abel ferreira, stock</t>
  </si>
  <si>
    <t>corinthians, titular, caique, diniz, possibilidade</t>
  </si>
  <si>
    <t>diniz, estilo, gosto, lance, ganso</t>
  </si>
  <si>
    <t>dorival, tiraram, junior, estavam, cobranca</t>
  </si>
  <si>
    <t>corinthians, proposta, hugo, chegou, vendido</t>
  </si>
  <si>
    <t>palmeiras, piquerez, lesao, outra, informacao</t>
  </si>
  <si>
    <t>neymar, vovo, saber, selecao, aproveitar</t>
  </si>
  <si>
    <t>sao paulo, clube, partir, marcelo, minimo</t>
  </si>
  <si>
    <t>corinthians, adaptacao, esperar, brasileiro, conhece</t>
  </si>
  <si>
    <t>palmeiras, gremio, abel, semana, sao paulo</t>
  </si>
  <si>
    <t>palmeiras, verdao, verdade, exagero, sao paulo</t>
  </si>
  <si>
    <t>corinthians, timao, arbitragem, reclamando, falta</t>
  </si>
  <si>
    <t>flamengo, neymar, convocacao, vila belmiro, pereira</t>
  </si>
  <si>
    <t>neymar, santos, duvida, sao paulo, mes</t>
  </si>
  <si>
    <t>sao paulo, infantil, luan, maia, tirou</t>
  </si>
  <si>
    <t>dorival, corinthians, coxa, cruzeiro, coritiba</t>
  </si>
  <si>
    <t>verdade, sao paulo, elenco, temporada, aquela</t>
  </si>
  <si>
    <t>palmeiras, goleiro, carlos, miguel, falhou</t>
  </si>
  <si>
    <t>dorival, corinthians, pessimismo, lingard, quanto</t>
  </si>
  <si>
    <t>palmeiras, novo, horizontino, abel ferreira, coloco</t>
  </si>
  <si>
    <t>palmeiras, novo, horizonte, calor, dando</t>
  </si>
  <si>
    <t>corinthians, redes, sociais, sergio, ativo</t>
  </si>
  <si>
    <t>palmeiras, abel, vasco, fluminense, abel ferreira</t>
  </si>
  <si>
    <t>corinthians, hugo, souza, torcedores, video</t>
  </si>
  <si>
    <t>brasil, clube, corinthians, flamengo, memphis</t>
  </si>
  <si>
    <t>palmeiras, corinthians, liverpool, amigos, silvestre</t>
  </si>
  <si>
    <t>palmeiras, gomes, futuramente, conta, murilo</t>
  </si>
  <si>
    <t>palmeiras, corinthians, verdao, guarani, sabado</t>
  </si>
  <si>
    <t>fluminense, flamengo, palmeiras, voltar, rival</t>
  </si>
  <si>
    <t>lucas, sao paulo, ataque, trio, jogou</t>
  </si>
  <si>
    <t>corinthians, palmeiras, parte, chute, flaco lopes</t>
  </si>
  <si>
    <t>palmeiras, corinthians, the, nenhuma, multa</t>
  </si>
  <si>
    <t>corinthians, palmeiras, dorival, corinthiano, flamengo</t>
  </si>
  <si>
    <t>corinthians, dorival, negociacao, mateus, pereira</t>
  </si>
  <si>
    <t>palmeiras, carlos, goleiro, lateral, direita</t>
  </si>
  <si>
    <t>fortaleza, voivoda, palmeiras, abel ferreira, sao paulo</t>
  </si>
  <si>
    <t>corinthians, timao, caio, profissionalismo, passa</t>
  </si>
  <si>
    <t>santos, clube, afetados, enfim, queria</t>
  </si>
  <si>
    <t>corinthians, flamengo, problema, gazeta, precisa</t>
  </si>
  <si>
    <t>contrato, corinthians, numeros, mes, brasil</t>
  </si>
  <si>
    <t>corinthians, ganha, supercopa, buscar, taca</t>
  </si>
  <si>
    <t>dorival, corinthians, ponta, percebe, escalacao</t>
  </si>
  <si>
    <t>palmeiras, sao paulo, furou, meio, pressao</t>
  </si>
  <si>
    <t>palmeiras, equipa, verdao, abel ferreira, sao paulo</t>
  </si>
  <si>
    <t>santos, flamengo, michael, neymar, seria</t>
  </si>
  <si>
    <t>lance, corinthians, cartao, breno, bidon</t>
  </si>
  <si>
    <t>empresario, protagonista, lucas, moura, outros</t>
  </si>
  <si>
    <t>palmeiras, flaco lopes, fisicamente, ferias, importante</t>
  </si>
  <si>
    <t>palmeiras, lesao, corinthians, everton, carlos</t>
  </si>
  <si>
    <t>santos, essas, falei, gestoes, passadas</t>
  </si>
  <si>
    <t>santos, corinthians, palmeiras, segundo, neymar</t>
  </si>
  <si>
    <t>corinthians, dorival, mes, conta, super</t>
  </si>
  <si>
    <t>vasco, corinthians, guanabara, city, minutos</t>
  </si>
  <si>
    <t>santos, gabigol, flamengo, divida, neymar</t>
  </si>
  <si>
    <t>vasco, corinthians, palmeiras, havia, jogos</t>
  </si>
  <si>
    <t>corinthians, gols, vasco, santos, vila belmiro</t>
  </si>
  <si>
    <t>sao paulo, parece, questiona, obviamente, alguns</t>
  </si>
  <si>
    <t>corinthians, pai, timao, mendes, reais</t>
  </si>
  <si>
    <t>corinthians, palmeiras, repetir, dorival, diniz</t>
  </si>
  <si>
    <t>santos, midia, torcedor, acaba, forma</t>
  </si>
  <si>
    <t>var, poderia, palmeiras, pessoal, galo</t>
  </si>
  <si>
    <t>corinthians, palmeiras, pior, poderia, arbitragem</t>
  </si>
  <si>
    <t>corinthians, palmeiras, cabeca, fernando, diniz</t>
  </si>
  <si>
    <t>palmeiras, var, cometeu, penalti, tel</t>
  </si>
  <si>
    <t>corinthians, dorival, alberto, oportunidade, profundidade</t>
  </si>
  <si>
    <t>diniz, exemplo, acham, inclusive, alex</t>
  </si>
  <si>
    <t>corinthians, dorival, palmeiras, vao, ralar</t>
  </si>
  <si>
    <t>santos, pacaembu, neymar, gramado, morreu</t>
  </si>
  <si>
    <t>corinthians, seguinte, andre, contando, grana</t>
  </si>
  <si>
    <t>palmeiras, meses, menos, recuperacao, realmente</t>
  </si>
  <si>
    <t>neymar, levaria, minutos, selecao, pergunta</t>
  </si>
  <si>
    <t>palmeiras, flaco lopez, flaco lopes, sao paulo, algo</t>
  </si>
  <si>
    <t>coritiba, brasil, semana, colocar, joga</t>
  </si>
  <si>
    <t>palmeiras, portugueses, certo, pausa, meio</t>
  </si>
  <si>
    <t>palmeiras, santos, corinthians, classicos, venceu</t>
  </si>
  <si>
    <t>dorival, corinthians, timao, junior, jogos</t>
  </si>
  <si>
    <t>palmeiras, shopping, curiosa, sumula, alan</t>
  </si>
  <si>
    <t>neymar, santos, kings, league, fazendo</t>
  </si>
  <si>
    <t>neymar, outra, levar, entendo, errado</t>
  </si>
  <si>
    <t>gremio, sao paulo, pede, escalacao, situacao</t>
  </si>
  <si>
    <t>neymar, vasco, santos, elenco, constatamos</t>
  </si>
  <si>
    <t>maior, palmeiras, flamengo, temporada, rivalidade</t>
  </si>
  <si>
    <t>palmeiras, ponderacao, carlos, miguel, senhor</t>
  </si>
  <si>
    <t>dorival, corinthians, memphis, joga, meses</t>
  </si>
  <si>
    <t>verdao, titular, abel, equipa, abel ferreira</t>
  </si>
  <si>
    <t>corinthians, ganhou, cotas, televisao, sao paulo</t>
  </si>
  <si>
    <t>corinthians, memphis, mens, pai, trazer</t>
  </si>
  <si>
    <t>fluminense, vasco, fosse, abel ferreira, sao paulo</t>
  </si>
  <si>
    <t>corinthians, palmeiras, dorival, sao paulo, ideia</t>
  </si>
  <si>
    <t>coritiba, brasileiro, sao paulo, amanha, poupar</t>
  </si>
  <si>
    <t>corinthians, federacao, vao, emitiu, nota</t>
  </si>
  <si>
    <t>corinthians, brasil, clube, flamengo, outro</t>
  </si>
  <si>
    <t>palmeiras, alan, proposta, sao paulo, informacao</t>
  </si>
  <si>
    <t>fux, palmeiras, flamengo, murilo, forca</t>
  </si>
  <si>
    <t>palmeiras, goleiro, mim, carlos, miguel</t>
  </si>
  <si>
    <t>flamengo, palmeiras, fluminense, abel ferreira, disse</t>
  </si>
  <si>
    <t>corinthians, principal, sao paulo, dilema, responsavel</t>
  </si>
  <si>
    <t>pereira, influenciou, liso, gandula, citar</t>
  </si>
  <si>
    <t>corinthians, palmeiras, culturalmente, funciona, cheio</t>
  </si>
  <si>
    <t>corinthians, palmeiras, precisa, pouquinho, leve</t>
  </si>
  <si>
    <t>palmeiras, corinthians, dupla, flaco lopes, zagueiros</t>
  </si>
  <si>
    <t>palmeiras, botafogo, bahia, abel ferreira, vitoria da bahia</t>
  </si>
  <si>
    <t>corinthians, altura, meus, base, acredito</t>
  </si>
  <si>
    <t>flamengo, poucos, maior, aquela, tiveram</t>
  </si>
  <si>
    <t>santos, camisa, alisson, doi, sao paulo</t>
  </si>
  <si>
    <t>palmeiras, corinthians, base, atletico mineiro, brasileirao</t>
  </si>
  <si>
    <t>contrato, corinthians, salazar, feito, temos</t>
  </si>
  <si>
    <t>palmeiras, daverson, fortaleza, flamengo, santos</t>
  </si>
  <si>
    <t>flamengo, corinthians, dorival, fluminense, fase</t>
  </si>
  <si>
    <t>chance, perde, frango, teria, sido</t>
  </si>
  <si>
    <t>palmeiras, pressionado, verdao, derrota, novo</t>
  </si>
  <si>
    <t>bonito, quatro, gols, hat, trick</t>
  </si>
  <si>
    <t>santos, flamengo, neymar, atacante, guilherme</t>
  </si>
  <si>
    <t>corinthians, reclamar, parte, pique, sao paulo</t>
  </si>
  <si>
    <t>crespo, agenciados, empresario, sonho, tirar</t>
  </si>
  <si>
    <t>palmeiras, outros, acontece, mereceriam, perguntar</t>
  </si>
  <si>
    <t>cruzeiro, corinthians, novos, ares, marcelo</t>
  </si>
  <si>
    <t>santos, palmeiras, voivoda, principal, gabigol</t>
  </si>
  <si>
    <t>santos, neymar, temporada, precisa, gestao</t>
  </si>
  <si>
    <t>santos, palmeiras, corinthians, peixe, bragantino</t>
  </si>
  <si>
    <t>corinthians, times, internacional, paulista, impressao</t>
  </si>
  <si>
    <t>VASCO</t>
  </si>
  <si>
    <t>vasco, equipes, guanabara, city, vitoria</t>
  </si>
  <si>
    <t>santos, neymar, profissional, acostumado, kauan</t>
  </si>
  <si>
    <t>corinthians, vasco, itaquera, fluminense, internacional</t>
  </si>
  <si>
    <t>santos, neymar, coritiba, peixe, vila belmiro</t>
  </si>
  <si>
    <t>evidente, ambiente, externo, pressao, treinador</t>
  </si>
  <si>
    <t>corinthians, memphis, escolhe, mens, elenco</t>
  </si>
  <si>
    <t>corinthians, questao, outros, quesito, obrigada</t>
  </si>
  <si>
    <t>neymar, jogou, boca, ruim, outra</t>
  </si>
  <si>
    <t>corinthians, sao paulo, escalacao, lateral, rigor</t>
  </si>
  <si>
    <t>cima, rola, palmeiras, alex, merito</t>
  </si>
  <si>
    <t>timao, certo, andre, garro, carro</t>
  </si>
  <si>
    <t>palmeiras, verdao, sossa, empate, pior</t>
  </si>
  <si>
    <t>corinthians, sao paulo, alberto, boston, river</t>
  </si>
  <si>
    <t>diniz, corinthians, fluminense, fernando, coritiba</t>
  </si>
  <si>
    <t>corinthians, verdao, gremio, dorival, gazeta</t>
  </si>
  <si>
    <t>santos, neymar, sao paulo, prime, cuca</t>
  </si>
  <si>
    <t>corinthians, qual, titular, liberar, sao paulo</t>
  </si>
  <si>
    <t>piquerez, sao paulo, noticia, grupo, coberta</t>
  </si>
  <si>
    <t>amem, neymar, cristal, jogou, santos</t>
  </si>
  <si>
    <t>cruzeiro, santos, fiel, corinthians, feliz</t>
  </si>
  <si>
    <t>corinthians, timao, caio, cesar, entrou</t>
  </si>
  <si>
    <t>palmeiras, abel, cruzeiro, botafogo, certo</t>
  </si>
  <si>
    <t>abel, vasco, comportamento, abel ferreira, expulso</t>
  </si>
  <si>
    <t>dorival, corinthians, flamengo, jogos, discordo</t>
  </si>
  <si>
    <t>neymar, vovo, peixe, internacional, treino</t>
  </si>
  <si>
    <t>neymar, teste, conversa, convocacao, franca</t>
  </si>
  <si>
    <t>oportunidade, base, agarrar, ultimos, tecnicos</t>
  </si>
  <si>
    <t>neymar, santos, mirassol, corinthians, treinos</t>
  </si>
  <si>
    <t>neymar, santos, tecnica, salarios, flaco lopez</t>
  </si>
  <si>
    <t>palmeiras, historia, gustavo, carlos, miguel</t>
  </si>
  <si>
    <t>corinthians, timao, coritiba, informacao, disposicao</t>
  </si>
  <si>
    <t>palmeiras, abel, certo, titular, roque</t>
  </si>
  <si>
    <t>palmeiras, estar, luiz, movimentacao, ingressos</t>
  </si>
  <si>
    <t>corinthians, dorival, marcelo, moral, diretoria</t>
  </si>
  <si>
    <t>corinthians, palmeiras, paulista, campeao, levanta</t>
  </si>
  <si>
    <t>palmeiras, corinthians, bragantino, coxa, sao paulo</t>
  </si>
  <si>
    <t>hugo, idolo, corinthians, parece, maior</t>
  </si>
  <si>
    <t>palmeiras, verdao, inteligente, nenhuma, torcida</t>
  </si>
  <si>
    <t>palmeiras, silvestre, alalao, bilhao, deais</t>
  </si>
  <si>
    <t>palmeiras, carlos, miguel, goleiro, espalmar</t>
  </si>
  <si>
    <t>palmeiras, flamengo, fluminense, verdao, seria</t>
  </si>
  <si>
    <t>palmeiras, corinthians, flamengo, penalti, ninguem</t>
  </si>
  <si>
    <t>penalti, corinthians, palmeiras, mim, mesa</t>
  </si>
  <si>
    <t>corinthians, timao, milan, hugo, souza</t>
  </si>
  <si>
    <t>palmeiras, verdao, murilo, abre, placar</t>
  </si>
  <si>
    <t>ganha, verdao, palmeiras, flaco, flaco lopes</t>
  </si>
  <si>
    <t>corinthians, dorival, itaquera, fiel, prazer</t>
  </si>
  <si>
    <t>andre, seja, filhinhos, obrigado, vezes</t>
  </si>
  <si>
    <t>santos, gabigol, deve, amanha, ron</t>
  </si>
  <si>
    <t>verdao, palmeiras, galo, flaco lopes, sao paulo</t>
  </si>
  <si>
    <t>corinthians, vale, pagar, franco, milhoes</t>
  </si>
  <si>
    <t>santos, corinthians, neymar, ron, peixe</t>
  </si>
  <si>
    <t>corinthians, flamengo, dorival, jogos, elenco</t>
  </si>
  <si>
    <t>santos, palmeiras, cima, corinthians, jogou</t>
  </si>
  <si>
    <t>palmeiras, crespo, novo, sao paulo, treinadores</t>
  </si>
  <si>
    <t>palmeiras, derrota, meninos, abel ferreira, temporada</t>
  </si>
  <si>
    <t>santos, corinthians, bahia, alisson, sao paulo</t>
  </si>
  <si>
    <t>corinthians, bragantino, palmeiras, lugar, santos</t>
  </si>
  <si>
    <t>casares, qualquer, profissional, assunto, mim</t>
  </si>
  <si>
    <t>palmeiras, santos, carlos, miguel, goleiro</t>
  </si>
  <si>
    <t>corinthians, fortaleza, timao, mateus, pereira</t>
  </si>
  <si>
    <t>palmeiras, santos, flamengo, venda, vivem</t>
  </si>
  <si>
    <t>santos, palmeiras, onde, sao paulo, contratou</t>
  </si>
  <si>
    <t>santos, neymar, novo, horizontino, subir</t>
  </si>
  <si>
    <t>brasileiro, rafinha, vini, outro, relacao</t>
  </si>
  <si>
    <t>vasco, fortaleza, sao paulo, concordo, profissional</t>
  </si>
  <si>
    <t>pena, abel, criterio, tribunal, tentar</t>
  </si>
  <si>
    <t>neymar, santos, bahia, sabado, saldo</t>
  </si>
  <si>
    <t>sao paulo, maior, vitoria, tristeza, mim</t>
  </si>
  <si>
    <t>corinthians, ganha, novo, contrato, menos</t>
  </si>
  <si>
    <t>palmeiras, verdao, escalacao, abel ferreira, flaco lopes</t>
  </si>
  <si>
    <t>neymar, cima, deixou, gabigol, culpa</t>
  </si>
  <si>
    <t>coxa, vasco, calleri, sao paulo, luciano</t>
  </si>
  <si>
    <t>sky, corinthians, palmeiras, grupo, tentar</t>
  </si>
  <si>
    <t>corinthians, mudancas, adversario, conseguiu, posicionamento</t>
  </si>
  <si>
    <t>palmeiras, barranquilla, ruim, segundo, abel</t>
  </si>
  <si>
    <t>sao paulo, entrosamento, desempenho, times, quantas</t>
  </si>
  <si>
    <t>corinthians, fernando, diniz, segundo, william</t>
  </si>
  <si>
    <t>corinthians, dorival, saber, conta, lesionado</t>
  </si>
  <si>
    <t>santos, neymar, espionagem, incrivel, aplica</t>
  </si>
  <si>
    <t>internacional, cruzeiro, sao paulo, porto, roger</t>
  </si>
  <si>
    <t>bahia, sao paulo, arthur, novo, barra</t>
  </si>
  <si>
    <t>neymar, santos, noticia, cruzeiro, grupo</t>
  </si>
  <si>
    <t>importancia, tamanho, atleta, mudam, luciano</t>
  </si>
  <si>
    <t>palmeiras, verdao, dorgo, paulinho, estadio</t>
  </si>
  <si>
    <t>palmeiras, volei, lista, completa, vim</t>
  </si>
  <si>
    <t>palmeiras, torcedor, abel, falta, gosta</t>
  </si>
  <si>
    <t>corinthians, dorival, santos, coritiba, flamengo</t>
  </si>
  <si>
    <t>santos, volta, clube, segunda, etapa</t>
  </si>
  <si>
    <t>neymar, convocado, frase, comportamento, folga</t>
  </si>
  <si>
    <t>palmeiras, neymar, chance, flaco lopes, juntos</t>
  </si>
  <si>
    <t>base, sao paulo, algo, alex, usar</t>
  </si>
  <si>
    <t>corinthians, convocacao, ajudar, help, you</t>
  </si>
  <si>
    <t>corinthians, vasco, neymar, dias, errado</t>
  </si>
  <si>
    <t>palmeiras, historia, abel ferreira, gustavo, gomes</t>
  </si>
  <si>
    <t>corinthians, dorival, tentar, tao, livres</t>
  </si>
  <si>
    <t>palmeiras, abel, flaco lopes, sosa, diogo</t>
  </si>
  <si>
    <t>palmeiras, botafogo, mauricio, reportagem, aras</t>
  </si>
  <si>
    <t>palmeiras, corinthians, saber, amigos, mendes</t>
  </si>
  <si>
    <t>palmeiras, nenhum, favor, capivariano, abel</t>
  </si>
  <si>
    <t>fluminense, palmeiras, verdao, disse, enfim</t>
  </si>
  <si>
    <t>palmeiras, coritiba, fluminense, majestoso, brasileiro</t>
  </si>
  <si>
    <t>torcida, corinthians, fiel, corintiana, carlos</t>
  </si>
  <si>
    <t>palmeiras, overhampton, pedro, lima, sport</t>
  </si>
  <si>
    <t>alan, palmeiras, situacao, banco, reservas</t>
  </si>
  <si>
    <t>john, semana, chegou, reforco, paulinho</t>
  </si>
  <si>
    <t>corinthians, repetido, adendo, inseguranca, aquela</t>
  </si>
  <si>
    <t>palmeiras, lateral, reserva, sombra, direita</t>
  </si>
  <si>
    <t>corinthians, gremio, sao paulo, silvestre, gosta</t>
  </si>
  <si>
    <t>timao, corinthians, memphis, achar, conta</t>
  </si>
  <si>
    <t>gustavo, henrique, penalti, carlos, miguel</t>
  </si>
  <si>
    <t>hugo, corinthians, vasco, goleiro, multa</t>
  </si>
  <si>
    <t>corinthians, palmeiras, mim, abel ferreira, alan</t>
  </si>
  <si>
    <t>palmeiras, ganha, tranquilo, triste, titulares</t>
  </si>
  <si>
    <t>corinthians, flamengo, tras, selecao, comentando</t>
  </si>
  <si>
    <t>corinthians, flamengo, dorival, lado, gols</t>
  </si>
  <si>
    <t>neymar, santos, palmeiras, silvestre, sao paulo</t>
  </si>
  <si>
    <t>verdao, inicio, perguntar, tigrinho, dividiu</t>
  </si>
  <si>
    <t>corinthians, chegou, yuri, memphis, diferenca</t>
  </si>
  <si>
    <t>santos, milan, neymar, treina, infelizmente</t>
  </si>
  <si>
    <t>corinthians, bahia, memphis, vila belmiro, segundo</t>
  </si>
  <si>
    <t>corinthians, flamengo, santos, bahia, vila</t>
  </si>
  <si>
    <t>justamente, clube, sao paulo, novo, vivendo</t>
  </si>
  <si>
    <t>palmeiras, titulares, quatro, disputam, alias</t>
  </si>
  <si>
    <t>emprestimo, negocio, conta, dificuldades, sao paulo</t>
  </si>
  <si>
    <t>santos, botafogo, paulista, sao paulo, quarto</t>
  </si>
  <si>
    <t>clube, sao paulo, policia, milhoes, deais</t>
  </si>
  <si>
    <t>palmeiras, lui, goleiro, podia, pouquinho</t>
  </si>
  <si>
    <t>corinthians, marcelo, ficava, chegando, parque</t>
  </si>
  <si>
    <t>santos, clube, milhoes, desejo, acontece</t>
  </si>
  <si>
    <t>palmeiras, primeira, tricolor, oportunidades, vez</t>
  </si>
  <si>
    <t>danielzinho, goleiro, coronel, sao paulo, tanto</t>
  </si>
  <si>
    <t>vini, junior, outro, milan, valioso</t>
  </si>
  <si>
    <t>sao paulo, proxima, classificado, garotada, deixar</t>
  </si>
  <si>
    <t>santos, neymar, corinthians, gabigol, trazer</t>
  </si>
  <si>
    <t>palmeiras, corinthians, sao paulo, julgamento, denunciado</t>
  </si>
  <si>
    <t>neymar, santos, complicado, consegue, relacao</t>
  </si>
  <si>
    <t>burro, chamar, treinador, sao paulo, jogos</t>
  </si>
  <si>
    <t>corinthians, estar, paulinho, nesses, ultimos</t>
  </si>
  <si>
    <t>palmeiras, vitor, roque, domingo, brasileiro</t>
  </si>
  <si>
    <t>neymar, vendo, vila belmiro, contrario, vila</t>
  </si>
  <si>
    <t>calleri, sao paulo, volta, elenco, temporada</t>
  </si>
  <si>
    <t>corinthians, expulsao, gazeta, desportiva, diretoria</t>
  </si>
  <si>
    <t>diniz, fluminense, corinthians, palmeiras, verdao</t>
  </si>
  <si>
    <t>palmeiras, aquela, finalizar, felipe, anderson</t>
  </si>
  <si>
    <t>furacao, passou, forte, chuva, quase</t>
  </si>
  <si>
    <t>corinthians, gramado, vez, estilo, neo</t>
  </si>
  <si>
    <t>dorival, corinthians, saida, contamina, elenco</t>
  </si>
  <si>
    <t>neymar, santos, coritiba, ultimo, vila belmiro</t>
  </si>
  <si>
    <t>arthur, sao paulo, roger, rafa, treinador</t>
  </si>
  <si>
    <t>palmeiras, internacional, umas, cima, conferir</t>
  </si>
  <si>
    <t>neymar, questao, ancelotti, enfim, clamor</t>
  </si>
  <si>
    <t>flaco, yuri, flaco lopes, gabigol, luciano</t>
  </si>
  <si>
    <t>palmeiras, alianca, contrato, real, nubank</t>
  </si>
  <si>
    <t>nba, sao paulo, destaque, rebotes, basejo</t>
  </si>
  <si>
    <t>corinthians, flamengo, rodrigo, trabalho, arbitragem</t>
  </si>
  <si>
    <t>dorival, corinthians, santos, carro, penalti</t>
  </si>
  <si>
    <t>neymar, santos, corinthians, vila belmiro, kings</t>
  </si>
  <si>
    <t>botafogo, bragantino, corinthians, sao paulo, red bull bragantino</t>
  </si>
  <si>
    <t>corinthians, palmeiras, vasco, santos, atleta</t>
  </si>
  <si>
    <t>corinthians, neymar, machucar, gabigol, professor</t>
  </si>
  <si>
    <t>neymar, santos, dias, rio, mirassol</t>
  </si>
  <si>
    <t>estatua, palmeiras, historia, abel ferreira, abel</t>
  </si>
  <si>
    <t>corinthians, dorival, disposicao, quatro, precisa</t>
  </si>
  <si>
    <t>corinthians, timao, fluminense, internacional, dorival</t>
  </si>
  <si>
    <t>BOTAFOGO</t>
  </si>
  <si>
    <t>santos, botafogo, corinthians, fluminense, sao paulo</t>
  </si>
  <si>
    <t>corinthians, segue, botafogo, palmeiras, menfield</t>
  </si>
  <si>
    <t>abel, palmeiras, cabe, comparacao, lateral</t>
  </si>
  <si>
    <t>fluminense, palmeiras, john, aras, valor</t>
  </si>
  <si>
    <t>coritiba, vasco, acha, renato, gaucho</t>
  </si>
  <si>
    <t>corinthians, palmeiras, sao paulo, torcida, corintiana</t>
  </si>
  <si>
    <t>proposta, palmeiras, liverpool, alan, chegou</t>
  </si>
  <si>
    <t>paulinho, palmeiras, arias, alan, flaco lopes</t>
  </si>
  <si>
    <t>palmeiras, corinthians, goleiro, santos, capivariano</t>
  </si>
  <si>
    <t>palmeiras, meio, corinthians, camisa, elenco</t>
  </si>
  <si>
    <t>gremio, flamengo, santos, sao paulo, baltazar</t>
  </si>
  <si>
    <t>corinthians, dorival, scout, indicacao, informacoes</t>
  </si>
  <si>
    <t>outra, andras, pereira, memphis, penalti</t>
  </si>
  <si>
    <t>corinthians, goleiro, milan, valor, milhoes</t>
  </si>
  <si>
    <t>palmeiras, voivoda, sao paulo, alem, faltam</t>
  </si>
  <si>
    <t>corinthians, fluminense, flamengo, estrela, outro</t>
  </si>
  <si>
    <t>corinthians, termos, mesa, evolui, superacao</t>
  </si>
  <si>
    <t>palmeiras, sao paulo, atletico mineiro, resultado, belo</t>
  </si>
  <si>
    <t>corinthians, flamengo, relacionado, brasil, jogou</t>
  </si>
  <si>
    <t>corinthians, peixe, santos, neymar, jogou</t>
  </si>
  <si>
    <t>dorival, martines, corinthians, segue, brasil</t>
  </si>
  <si>
    <t>corinthians, santos, flamengo, bahia, vila belmiro</t>
  </si>
  <si>
    <t>sao paulo, entra, jose, apuracao, ninguem</t>
  </si>
  <si>
    <t>palmeiras, flamengo, flaco lopes, atuacao, cascudos</t>
  </si>
  <si>
    <t>corinthians, dorival, sao paulo, sendo, alisson</t>
  </si>
  <si>
    <t>corinthians, timao, fortaleza, mercado, deve</t>
  </si>
  <si>
    <t>corinthians, janeiro, temporada, sao paulo, comecando</t>
  </si>
  <si>
    <t>palmeiras, vasco, raian, proposta, repente</t>
  </si>
  <si>
    <t>milan, corinthians, pega, perguntei, conhece</t>
  </si>
  <si>
    <t>santos, voivoda, peixe, palmeiras, posicao</t>
  </si>
  <si>
    <t>palmeiras, sao paulo, placar, paulistao, miracol</t>
  </si>
  <si>
    <t>nenhum, miracol, mim, ansiedade, nervosismo</t>
  </si>
  <si>
    <t>rafinha, estevan, estevao, realidade, brasileiro</t>
  </si>
  <si>
    <t>corinthians, internacional, ban, mata, derrubar</t>
  </si>
  <si>
    <t>jorge, gabigol, cruzeiro, caio, gabigl</t>
  </si>
  <si>
    <t>mirassol, vitorias, sao paulo, colocado, brasileirao</t>
  </si>
  <si>
    <t>santos, neymar, sozinho, imagino, visivelmente</t>
  </si>
  <si>
    <t>roger, birra, mim, silvinho, sao paulo</t>
  </si>
  <si>
    <t>palmeiras, acontece, alguns, depender, amanha</t>
  </si>
  <si>
    <t>neymar, santos, cima, aquela, vini</t>
  </si>
  <si>
    <t>dorival, palmeiras, tropeco, sao paulo, outro</t>
  </si>
  <si>
    <t>corinthians, lances, palmeiras, var, cbf</t>
  </si>
  <si>
    <t>palmeiras, estadio, allianz, acompanham, gazeta</t>
  </si>
  <si>
    <t>libertadores, flamengo, penalti, gustavo, gomes</t>
  </si>
  <si>
    <t>rejeicao, dorival, corinthians, sao paulo, chegou</t>
  </si>
  <si>
    <t>palmeiras, precisa, confianca, corinthians, frente</t>
  </si>
  <si>
    <t>dorival, corinthians, fiel, certo, maluco</t>
  </si>
  <si>
    <t>neymar, ultimo, duvido, alex, levar</t>
  </si>
  <si>
    <t>palmeiras, arthur, jogou, bragantino, botafogo</t>
  </si>
  <si>
    <t>bragantino, sao paulo, red bull bragantino, confianca, treinador</t>
  </si>
  <si>
    <t>neymar, clamor, furacao, vao, maio</t>
  </si>
  <si>
    <t>corinthians, gols, natural, passe, fase</t>
  </si>
  <si>
    <t>corinthians, palmeiras, nome, varios, park</t>
  </si>
  <si>
    <t>palmeiras, sao paulo, atletico mineiro, presidente, harry</t>
  </si>
  <si>
    <t>corinthians, flamengo, var, erro, conseguiu</t>
  </si>
  <si>
    <t>corinthians, dorival, flamengo, pressao, brasil</t>
  </si>
  <si>
    <t>santos, cuca, tecnico, treinador, outro</t>
  </si>
  <si>
    <t>corinthians, dorival, sao paulo, atletico mineiro, sabado</t>
  </si>
  <si>
    <t>corinthians, dorival, bragantino, sao paulo, red bull bragantino</t>
  </si>
  <si>
    <t>neymar, dias, homem, corinthians, treinador</t>
  </si>
  <si>
    <t>neymar, criticas, controle, carga, estrela</t>
  </si>
  <si>
    <t>merece, selecao, turra, vitor, roque</t>
  </si>
  <si>
    <t>corinthians, pedro, raul, ceara, guinegao</t>
  </si>
  <si>
    <t>corinthians, coritiba, timao, coxa, dorival</t>
  </si>
  <si>
    <t>fluminense, palmeiras, alisson, clima, sao paulo</t>
  </si>
  <si>
    <t>palmeiras, arbitro, abel ferreira, silvestre, abel</t>
  </si>
  <si>
    <t>abel, penalti, abel ferreira, comportamento, regras</t>
  </si>
  <si>
    <t>palmeiras, fluminense, contratacao, pouquinho, bastante</t>
  </si>
  <si>
    <t>corinthians, novo, palmeiras, cruzeiro, horizontino</t>
  </si>
  <si>
    <t>palmeiras, gilberto, pedro, aposta, gerar</t>
  </si>
  <si>
    <t>palmeiras, alan, vender, mercado, jovem</t>
  </si>
  <si>
    <t>titular, arias, palmeiras, chega, john</t>
  </si>
  <si>
    <t>palmeiras, santos, passa, corinthians, bragantino</t>
  </si>
  <si>
    <t>palmeiras, menos, naquela, funcao, camisa</t>
  </si>
  <si>
    <t>corinthians, bragantino, dorival, sao paulo, arena</t>
  </si>
  <si>
    <t>gremio, elenco, forte, sao paulo, tricolor paulista</t>
  </si>
  <si>
    <t>dorival, causa, cargo, pedido, perder</t>
  </si>
  <si>
    <t>corinthians, penalti, arbitro, cultura, assumiu</t>
  </si>
  <si>
    <t>vale, milan, corinthians, milhoes, euros</t>
  </si>
  <si>
    <t>palmeiras, guerra, domingo, respondeu, lata</t>
  </si>
  <si>
    <t>corinthians, temporada, jogando, exigencia, quase</t>
  </si>
  <si>
    <t>corinthians, titulo, rede, social, vendo</t>
  </si>
  <si>
    <t>corinthians, flamengo, torcida, mobilizacao, inicio</t>
  </si>
  <si>
    <t>santos, palmeiras, voivoda, temporada, pega</t>
  </si>
  <si>
    <t>palmeiras, perna, debaixo, atletico mineiro, gols</t>
  </si>
  <si>
    <t>palmeiras, verdao, escalacao, abel ferreira, sao paulo</t>
  </si>
  <si>
    <t>corinthians, vila, belmiro, palmeiras, gramado</t>
  </si>
  <si>
    <t>julio, casares, funcionarios, saida, renuncia</t>
  </si>
  <si>
    <t>palmeiras, abel ferreira, abel, nenhum, parte</t>
  </si>
  <si>
    <t>alisson, dorival, corinthians, gosta, sao paulo</t>
  </si>
  <si>
    <t>corinthians, dorival, pediu, timao, tentar</t>
  </si>
  <si>
    <t>corinthians, sao paulo, sendo, seja, resultado</t>
  </si>
  <si>
    <t>palmeiras, gosto, corinthians, bragantino, sao paulo</t>
  </si>
  <si>
    <t>cruzeiro, santos, flamengo, penso, gabigol</t>
  </si>
  <si>
    <t>ajudar, sao paulo, capita, temporada, danielzinho</t>
  </si>
  <si>
    <t>palmeiras, acha, valor, valiosos, milhoes</t>
  </si>
  <si>
    <t>caio, jorge, flamengo, pedro, cruzeiro</t>
  </si>
  <si>
    <t>coritiba, mirassol, roger, vida, sao paulo</t>
  </si>
  <si>
    <t>muller, neymar, santos, palmeiras, qualidade</t>
  </si>
  <si>
    <t>sao paulo, tecnico, birra, lance, hostil</t>
  </si>
  <si>
    <t>paulinho, abel, ritmo, opiniao, tanta</t>
  </si>
  <si>
    <t>palmeiras, ganha, naturalmente, tentar, marcar</t>
  </si>
  <si>
    <t>neymar, normal, santos, lances, errar</t>
  </si>
  <si>
    <t>palmeiras, abel ferreira, voltar, jefte, passado</t>
  </si>
  <si>
    <t>corinthians, diniz, gustavo, gomes, olhar</t>
  </si>
  <si>
    <t>parque, nubank, arena, diferente, jeito</t>
  </si>
  <si>
    <t>MOTOGP</t>
  </si>
  <si>
    <t>palmeiras, verdao, gazeta, abel ferreira, sou</t>
  </si>
  <si>
    <t>dorival, corinthians, mercado, sao paulo, junior</t>
  </si>
  <si>
    <t>doi, aproximacao, palmeiras, dorival, outra</t>
  </si>
  <si>
    <t>arthur, palmeiras, sao paulo, titular, facil</t>
  </si>
  <si>
    <t>botafogo, sao paulo, homem, essas, caracteristicas</t>
  </si>
  <si>
    <t>palmeiras, zagueiro, mudancas, vitor, reis</t>
  </si>
  <si>
    <t>corinthians, palmeiras, algo, parecido, burro</t>
  </si>
  <si>
    <t>corinthians, palmeiras, morumbi, vila belmiro, proximo</t>
  </si>
  <si>
    <t>palmeiras, bragantino, roger, machado, morumbi</t>
  </si>
  <si>
    <t>flamengo, corinthians, timao, dorival, falta</t>
  </si>
  <si>
    <t>corinthians, dorival, cruzeiro, foram, tinhamos</t>
  </si>
  <si>
    <t>santos, neymar, flamengo, corinthians, botafogo</t>
  </si>
  <si>
    <t>brasileiro, historia, inicio, sao paulo, lado</t>
  </si>
  <si>
    <t>assiste, mes, prime, video, sky</t>
  </si>
  <si>
    <t>neymar, dias, santos, controle, carga</t>
  </si>
  <si>
    <t>corinthians, timao, alberto, internet, pedro</t>
  </si>
  <si>
    <t>dorival, corinthians, bidon, lingar, duvido</t>
  </si>
  <si>
    <t>santos, cruzeiro, vila belmiro, vicente, mateus</t>
  </si>
  <si>
    <t>sumula, palmeiras, fluminense, vasco, palma</t>
  </si>
  <si>
    <t>corinthians, palmeiras, segundo, passando, sao paulo</t>
  </si>
  <si>
    <t>palmeiras, flamengo, milhoes, aposta, passado</t>
  </si>
  <si>
    <t>palmeiras, fluminense, henrique, mim, lado</t>
  </si>
  <si>
    <t>santos, corinthians, bragantino, palmeiras, passar</t>
  </si>
  <si>
    <t>palmeiras, internacional, verdao, rio, abel ferreira</t>
  </si>
  <si>
    <t>dorival, corinthians, escalacao, deve, palmeiras</t>
  </si>
  <si>
    <t>gremio, lucas, moura, sao paulo, importantes</t>
  </si>
  <si>
    <t>dorival, amd, corinthians, apelido, sao paulo</t>
  </si>
  <si>
    <t>corinthians, vender, hugo, semestre, proposta</t>
  </si>
  <si>
    <t>palmeiras, abel, temporada, equipes, oscilar</t>
  </si>
  <si>
    <t>corinthians, outro, palmeiras, jogando, abel</t>
  </si>
  <si>
    <t>corinthians, flamengo, milan, baixinho, personalidade</t>
  </si>
  <si>
    <t>corinthians, flamengo, entrega, elenco, jogos</t>
  </si>
  <si>
    <t>flamengo, corinthians, fiel, rubro negro, supercopa</t>
  </si>
  <si>
    <t>palmeiras, abel, murilo, kelvin, sao paulo</t>
  </si>
  <si>
    <t>palmeiras, goias, cruzeiro, abel ferreira, flaco lopes</t>
  </si>
  <si>
    <t>timao, corinthians, dorival, sao paulo, voltar</t>
  </si>
  <si>
    <t>corinthians, fiel, dorival, memphis, bahia</t>
  </si>
  <si>
    <t>dorival, santos, corinthians, escuta, hugo</t>
  </si>
  <si>
    <t>sao paulo, sejam, atrasado, renunciou, senhor</t>
  </si>
  <si>
    <t>palmeiras, corinthians, bragantino, abel ferreira, red bull bragantino</t>
  </si>
  <si>
    <t>entrar, jordney, complicado, sao paulo, dinheiro</t>
  </si>
  <si>
    <t>corinthians, alisson, sao paulo, logo, dessas</t>
  </si>
  <si>
    <t>palmeiras, bragantino, john, corinthians, timao</t>
  </si>
  <si>
    <t>palmeiras, precisa, carreira, base, dentro</t>
  </si>
  <si>
    <t>corinthians, internacional, dorival, contratar, marcelo</t>
  </si>
  <si>
    <t>rafael, daniel, borges, miracol, poucos</t>
  </si>
  <si>
    <t>selecao, sao paulo, bastante, coronel, reserva</t>
  </si>
  <si>
    <t>palmeiras, sao paulo, treino, crespo, passado</t>
  </si>
  <si>
    <t>corinthians, ban, nacional, santos, registrar</t>
  </si>
  <si>
    <t>rock, victor, gabigol, plena, forma</t>
  </si>
  <si>
    <t>mantido, proxima, derrota, sao paulo, roger</t>
  </si>
  <si>
    <t>neymar, santos, palmeiras, rivaldo, zico</t>
  </si>
  <si>
    <t>diretor, saida, sao paulo, roger, errou</t>
  </si>
  <si>
    <t>sky, paulinho, prime, expectativa, familia</t>
  </si>
  <si>
    <t>palmeiras, verdao, tranquilo, qualquer, volta</t>
  </si>
  <si>
    <t>neymar, torcedor, santos, palmeiras, segunda</t>
  </si>
  <si>
    <t>arthur, bahia, entrou, abel ferreira, titular</t>
  </si>
  <si>
    <t>diniz, palmeiras, trabalho, opcao, parte</t>
  </si>
  <si>
    <t>sky, sao paulo, assistir, livraria, correndo</t>
  </si>
  <si>
    <t>abel, fluminense, palmeiras, abel ferreira, sao paulo</t>
  </si>
  <si>
    <t>sao paulo, tecnico, roger, machado, vitoria</t>
  </si>
  <si>
    <t>mano, galo, corinthians, meio, conhecem</t>
  </si>
  <si>
    <t>corinthians, dorival, helicoptero, junior, torcida</t>
  </si>
  <si>
    <t>neymar, selecao, endrick, poe, bandeirinha</t>
  </si>
  <si>
    <t>vasco, palmeiras, verdao, cuiaba, gama</t>
  </si>
  <si>
    <t>lucas, egito, serra, sao paulo, moura</t>
  </si>
  <si>
    <t>palmeiras, flaco, lopes, vinha, flaco lopez</t>
  </si>
  <si>
    <t>palmeiras, sport, internacional, burro, meio</t>
  </si>
  <si>
    <t>santos, neymar, vila, vila belmiro, reformada</t>
  </si>
  <si>
    <t>palmeiras, flamengo, jogos, sao paulo, jogou</t>
  </si>
  <si>
    <t>dorival, corinthians, confiante, pareceu, precisando</t>
  </si>
  <si>
    <t>corinthians, fortaleza, santos, dorival, vojvoda</t>
  </si>
  <si>
    <t>flamengo, palmeiras, elenco, brasileiro, sao paulo</t>
  </si>
  <si>
    <t>corinthians, coritiba, fiel, itaquera, torcida</t>
  </si>
  <si>
    <t>santos, viagem, outros, fechados, mirassol</t>
  </si>
  <si>
    <t>dias, neymar, muller, garrafa, dor</t>
  </si>
  <si>
    <t>titular, sao paulo, vitor, roque, estar</t>
  </si>
  <si>
    <t>corinthians, apanhou, pinta, ameaca, iuri</t>
  </si>
  <si>
    <t>milan, corinthians, deveria, parte, poder</t>
  </si>
  <si>
    <t>gramado, palmeiras, dando, reforcando, inimigo</t>
  </si>
  <si>
    <t>palmeiras, baralho, video, nunca, veem</t>
  </si>
  <si>
    <t>coritiba, coxa, sao paulo, espera, abel</t>
  </si>
  <si>
    <t>fluminense, aras, palmeiras, contratar, dinheiro</t>
  </si>
  <si>
    <t>vasco, boi, preto, renato, aceitar</t>
  </si>
  <si>
    <t>sabado, corinthians, domingo, palmeiras, horario</t>
  </si>
  <si>
    <t>aposta, verdao, palmeiras, pedro, receber</t>
  </si>
  <si>
    <t>palmeiras, raro, corinthians, nino, flaco lopes</t>
  </si>
  <si>
    <t>paulinho, palmeiras, vior, canela, defesa</t>
  </si>
  <si>
    <t>palmeiras, nunca, banco, joao, martins</t>
  </si>
  <si>
    <t>palmeiras, especialmente, colocando, temporada, abel ferreira</t>
  </si>
  <si>
    <t>corinthians, dorival, flamengo, lanterna, jose</t>
  </si>
  <si>
    <t>uniforme, bonito, lucas, achei, sao paulo</t>
  </si>
  <si>
    <t>dorival, corinthians, lugano, presidente, dvd</t>
  </si>
  <si>
    <t>pereira, marcado, andras, sao paulo, toda</t>
  </si>
  <si>
    <t>corinthians, vender, hugo, seria, valor</t>
  </si>
  <si>
    <t>palmeiras, flamengo, maxima, abel ferreira, flaco lopes</t>
  </si>
  <si>
    <t>palmeiras, fluminense, corinthians, pouquinho, semana</t>
  </si>
  <si>
    <t>corinthians, dorival, atras, milan, vejo</t>
  </si>
  <si>
    <t>corinthians, flamengo, dorival, estrategia, marcacao</t>
  </si>
  <si>
    <t>flamengo, timao, mengao, corinthians, bahia</t>
  </si>
  <si>
    <t>palmeiras, lateral, graca, atletico, paranaense</t>
  </si>
  <si>
    <t>palmeiras, galo, cruzeiro, vitoria, atletico</t>
  </si>
  <si>
    <t>corinthians, timao, bahia, dorival, comebol</t>
  </si>
  <si>
    <t>corinthians, dorival, passaporte, ninguem, empresario</t>
  </si>
  <si>
    <t>flamengo, corinthians, dorival, podia, sao paulo</t>
  </si>
  <si>
    <t>santos, corinthians, vila, vila belmiro, direito</t>
  </si>
  <si>
    <t>palmeiras, lance, penalti, quantas, tomar</t>
  </si>
  <si>
    <t>bahia, dinheiro, sao paulo, jovens, especialmente</t>
  </si>
  <si>
    <t>dorival, corinthians, lista, agita, junior</t>
  </si>
  <si>
    <t>dorival, corinthians, comecou, segundo, botou</t>
  </si>
  <si>
    <t>palmeiras, verdao, abel ferreira, assunto, salazar</t>
  </si>
  <si>
    <t>corinthians, milan, milans, palmeiras, garotada</t>
  </si>
  <si>
    <t>flamengo, santos, cruzeiro, poucos, sao paulo</t>
  </si>
  <si>
    <t>sao paulo, mereceram, resultado, maior, apresentou</t>
  </si>
  <si>
    <t>sport, reserva, trabalhando, sao paulo, goleiro</t>
  </si>
  <si>
    <t>corinthians, botafogo, bragantino, sao paulo, red bull bragantino</t>
  </si>
  <si>
    <t>corinthians, internacional, colorado, torres, felix</t>
  </si>
  <si>
    <t>alberto, yuri, yurio, gabigol, caleri</t>
  </si>
  <si>
    <t>roger, muller, machado, sao paulo, derrota</t>
  </si>
  <si>
    <t>santos, coritiba, neymar, flamengo, rubronegro</t>
  </si>
  <si>
    <t>palmeiras, verdao, botafogo, equipe, criando</t>
  </si>
  <si>
    <t>entregar, paulinho, recuperacao, aquilo, tivermos</t>
  </si>
  <si>
    <t>caso, lateral, segue, duelo, conto</t>
  </si>
  <si>
    <t>punicao, fluminense, palmeiras, abel, ferreira</t>
  </si>
  <si>
    <t>palmeiras, posicao, arthur, certo, improvisar</t>
  </si>
  <si>
    <t>palmeiras, chegaram, imagens, empurra, foco</t>
  </si>
  <si>
    <t>cruzeiro, sao paulo, lugano, passado, paulista</t>
  </si>
  <si>
    <t>palmeiras, abel, corinthians, jogos, punicao</t>
  </si>
  <si>
    <t>palmeiras, foram, prioridade, sao paulo, alguns</t>
  </si>
  <si>
    <t>mano, dorival, tirando, ligado, entende</t>
  </si>
  <si>
    <t>corinthians, resultado, torcida, relacao, tecnico</t>
  </si>
  <si>
    <t>selecao, croacia, danilo, congolesa, venceu</t>
  </si>
  <si>
    <t>palmeiras, fluminense, cuiaba, cuiabano, john</t>
  </si>
  <si>
    <t>neymar, corinthians, vasco, desportiva, abrindo</t>
  </si>
  <si>
    <t>palmeiras, verdao, flaco, perto, titulo</t>
  </si>
  <si>
    <t>flamengo, nba, santos, basquete, brasilia</t>
  </si>
  <si>
    <t>peixe, tira, arena, filho, natura</t>
  </si>
  <si>
    <t>corinthians, flamengo, cartao, mim, pega</t>
  </si>
  <si>
    <t>dorival, corinthians, junior, vojvoda, amar</t>
  </si>
  <si>
    <t>neymar, corinthians, santos, treinador, sao paulo</t>
  </si>
  <si>
    <t>palmeiras, botafogo, moura, lucas, flaco lopes</t>
  </si>
  <si>
    <t>entendo, sao paulo, conseguir, levando, media</t>
  </si>
  <si>
    <t>mateus, bidu, mostrou, satisfeito, reclamacoes</t>
  </si>
  <si>
    <t>neymar, carlo, ancelotti, tecnico, selecao</t>
  </si>
  <si>
    <t>palmeiras, abel ferreira, sao paulo, paulista, trabalho</t>
  </si>
  <si>
    <t>palmeiras, tecnico, hernan, sao paulo, crespo</t>
  </si>
  <si>
    <t>corinthians, alberto, yuri, opiniao, sao paulo</t>
  </si>
  <si>
    <t>gramado, nivel, abel ferreira, sintetico, allianz</t>
  </si>
  <si>
    <t>deve, neymar, outra, contido, sair</t>
  </si>
  <si>
    <t>penalidade, wilton, var, marcado, sao paulo</t>
  </si>
  <si>
    <t>palmeiras, fluminense, clube, gastou, gastar</t>
  </si>
  <si>
    <t>corinthians, hugo, penaltis, souza, defendeu</t>
  </si>
  <si>
    <t>palmeiras, verdao, tarde, goleou, meia</t>
  </si>
  <si>
    <t>palmeiras, lateral, direito, cascudo, corinthians</t>
  </si>
  <si>
    <t>palmeiras, botafogo, flamengo, luis, henrique</t>
  </si>
  <si>
    <t>palmeiras, meio, frente, marlon, aras</t>
  </si>
  <si>
    <t>guarani, palmeiras, tecnico, ficou, pavio</t>
  </si>
  <si>
    <t>flamengo, palmeiras, zagueiro, aquela, estamos</t>
  </si>
  <si>
    <t>bragantino, dorival, corinthians, palmeiras, atletico mineiro</t>
  </si>
  <si>
    <t>corinthians, timao, fiel, haver, corte</t>
  </si>
  <si>
    <t>dorival, corinthians, culpa, renan, amigo</t>
  </si>
  <si>
    <t>penalti, corinthians, palmeiras, cultural, memphis</t>
  </si>
  <si>
    <t>palmeiras, mila, novidades, complicada, situacao</t>
  </si>
  <si>
    <t>flamengo, palmeiras, calendario, mim, titulo</t>
  </si>
  <si>
    <t>corinthians, palmeiras, correndo, pique, ninguem</t>
  </si>
  <si>
    <t>corinthians, flamengo, dorival, palmeiras, chegou</t>
  </si>
  <si>
    <t>dorival, jogada, ensaiada, corinthians, flamengo</t>
  </si>
  <si>
    <t>flamengo, corinthians, timao, dezembro, janeiro</t>
  </si>
  <si>
    <t>palmeiras, propria, normalmente, deixaria, rock</t>
  </si>
  <si>
    <t>corinthians, caio, timao, dorival, presidente</t>
  </si>
  <si>
    <t>corinthians, passaporte, sexta, martinz, discutido</t>
  </si>
  <si>
    <t>bragantino, sao paulo, profissional, base, falei</t>
  </si>
  <si>
    <t>corinthians, bragantino, santos, flamengo, sao paulo</t>
  </si>
  <si>
    <t>arbitro, var, penalti, lance, teria</t>
  </si>
  <si>
    <t>fortaleza, bahia, rosario, central, liga</t>
  </si>
  <si>
    <t>corinthians, alisson, dorival, andre, sao paulo</t>
  </si>
  <si>
    <t>corinthians, dorival, hugo, sao paulo, guerra</t>
  </si>
  <si>
    <t>palmeiras, verdao, gabriel, sao paulo, entrou</t>
  </si>
  <si>
    <t>santos, corinthians, flamengo, neymar, gabigol</t>
  </si>
  <si>
    <t>sao paulo, temporada, titulares, jogando, precisar</t>
  </si>
  <si>
    <t>conselheiros, casares, sao paulo, precisa, votar</t>
  </si>
  <si>
    <t>corinthians, felix, torres, jogou, paulista</t>
  </si>
  <si>
    <t>GRÊMIO</t>
  </si>
  <si>
    <t>gabigol, gremio, gabigl, carlos, gabig</t>
  </si>
  <si>
    <t>problema, roger, ceara, galo, treinador</t>
  </si>
  <si>
    <t>flamengo, vitoria, sao paulo, golaco, etapa</t>
  </si>
  <si>
    <t>verdao, botafogo, barbosa, fluminense, palmeiras</t>
  </si>
  <si>
    <t>semana, sao paulo, vezes, escalacao, academia</t>
  </si>
  <si>
    <t>palmeiras, sport, abel ferreira, grupo, terceiro</t>
  </si>
  <si>
    <t>palmeiras, punicao, stjd, casos, abel ferreira</t>
  </si>
  <si>
    <t>conta, palmeiras, consultoria, arthur, temporada</t>
  </si>
  <si>
    <t>corinthians, palmeiras, disposicao, energia, forca</t>
  </si>
  <si>
    <t>cruzeiro, ferreirinha, sao paulo, arthur, andre</t>
  </si>
  <si>
    <t>abel, abel ferreira, stjd, ferreira, seria</t>
  </si>
  <si>
    <t>sulamericana, internacional, brasileiro, brasil, sao paulo</t>
  </si>
  <si>
    <t>mano, corinthians, sai, ligado, quiser</t>
  </si>
  <si>
    <t>dorival, vitinho, obviamente, ouvir, culpa</t>
  </si>
  <si>
    <t>BREAK/MERCHAN</t>
  </si>
  <si>
    <t>endrick, amo, bento, martinelli, assistencia</t>
  </si>
  <si>
    <t>botafogo, piquerez, palmeiras, vasco, situacao</t>
  </si>
  <si>
    <t>neymar, sky, brasil, bate, informacao</t>
  </si>
  <si>
    <t>argentina, flaco lopez, lamentar, ganha, alem</t>
  </si>
  <si>
    <t>NBA</t>
  </si>
  <si>
    <t>nba, sky, prime, familia, assistir</t>
  </si>
  <si>
    <t>santos, peixe, taca, volta, logo</t>
  </si>
  <si>
    <t>roger, parte, presidente, agradar, sao paulo</t>
  </si>
  <si>
    <t>flamengo, choque, bidon, imagem, perna</t>
  </si>
  <si>
    <t>santos, corinthians, vojvoda, elenco, estar</t>
  </si>
  <si>
    <t>neymar, cruzeiro, decisoes, cuca, abriu</t>
  </si>
  <si>
    <t>sao paulo, decidir, clube, gols, assistencia</t>
  </si>
  <si>
    <t>sao paulo, elenco, vida, aquilo, brasileiro</t>
  </si>
  <si>
    <t>corinthians, fiel, torcida, paciencia, mateus</t>
  </si>
  <si>
    <t>chutou, santos, gabigol, neymar, bolas</t>
  </si>
  <si>
    <t>palmeiras, corinthians, titulo, premio, sou</t>
  </si>
  <si>
    <t>palmeiras, alisson, dorival, fluminense, sao paulo</t>
  </si>
  <si>
    <t>moreira, lateral, sao paulo, volta, tecnico</t>
  </si>
  <si>
    <t>dorival, milan, facil, carreira, vida</t>
  </si>
  <si>
    <t>allianz, parque, gramado, tablado, nivel</t>
  </si>
  <si>
    <t>vasco, falado, repito, mostrar, abel</t>
  </si>
  <si>
    <t>palmeiras, flamengo, corinthians, brasileiro, sao paulo</t>
  </si>
  <si>
    <t>timao, goleiro, hugo, possibilidades, seja</t>
  </si>
  <si>
    <t>aras, palmeiras, verdao, abel ferreira, elogiou</t>
  </si>
  <si>
    <t>palmeiras, flamengo, corinthians, sao paulo, mercado</t>
  </si>
  <si>
    <t>henrique, palmeiras, recusou, luis, zenit</t>
  </si>
  <si>
    <t>corinthians, palmeiras, santos, timao, dorival</t>
  </si>
  <si>
    <t>palmeiras, john, arias, acontece, segue</t>
  </si>
  <si>
    <t>palmeiras, victor, camisa, domingo, classificado</t>
  </si>
  <si>
    <t>galo, atletico mineiro, sampaoli, demitido, sequencia</t>
  </si>
  <si>
    <t>corinthians, santos, chegou, lesao, alternativas</t>
  </si>
  <si>
    <t>dorival, corinthians, tivesse, estaria, treinador</t>
  </si>
  <si>
    <t>palmeiras, corinthians, yuri, flaco lopes, memphis</t>
  </si>
  <si>
    <t>palmeiras, overhampton, fluminense, leila pereira, sao paulo</t>
  </si>
  <si>
    <t>palmeiras, corinthians, dorival, flamengo, pergunta</t>
  </si>
  <si>
    <t>domingo, corinthians, dorival, flamengo, amanha</t>
  </si>
  <si>
    <t>corinthians, flamengo, palmeiras, dorival, dando</t>
  </si>
  <si>
    <t>corinthians, flamengo, dorival, hino, red</t>
  </si>
  <si>
    <t>corinthians, flamengo, supercopa, rei, importancia</t>
  </si>
  <si>
    <t>palmeiras, frango, falha, glu, sao paulo</t>
  </si>
  <si>
    <t>neymar, primeira, sintetico, tornozelo, rodada</t>
  </si>
  <si>
    <t>sao paulo, bastidor, libertadores, reserva, tele</t>
  </si>
  <si>
    <t>corinthians, resposta, martinz, mim, informacao</t>
  </si>
  <si>
    <t>cruzeiro, sao paulo, gustavo, santana, atras</t>
  </si>
  <si>
    <t>santos, corinthians, classico, vila, vila belmiro</t>
  </si>
  <si>
    <t>poderia, puxa, perder, penalti, completamente</t>
  </si>
  <si>
    <t>conselho, afastado, sao paulo, toda, casares</t>
  </si>
  <si>
    <t>corinthians, sao paulo, negao, reduzir, parcela</t>
  </si>
  <si>
    <t>corinthians, tomar, bragantino, red bull bragantino, normalizado</t>
  </si>
  <si>
    <t>palmeiras, cruzeiro, flamengo, abel ferreira, abel</t>
  </si>
  <si>
    <t>palmeiras, vior, gabriel, redes, vitoria</t>
  </si>
  <si>
    <t>timao, corinthians, guarani, campinas, segundo</t>
  </si>
  <si>
    <t>sao paulo, olhar, percebe, justo, seria</t>
  </si>
  <si>
    <t>presidente, sao paulo, oposicao, artigo, seja</t>
  </si>
  <si>
    <t>sao paulo, contrato, equipe, enquanto, atual</t>
  </si>
  <si>
    <t>corinthians, flamengo, felix, internacional, inter</t>
  </si>
  <si>
    <t>botafogo, gabigl, hul, sao paulo, hulk</t>
  </si>
  <si>
    <t>vasco, lembram, codigo, treinador, jogos</t>
  </si>
  <si>
    <t>flamengo, vitoria, var, atingir, gatilho</t>
  </si>
  <si>
    <t>palmeiras, botafogo, barbosa, caberia, nervosinho</t>
  </si>
  <si>
    <t>roger, sao paulo, bobadilha, lateral, brasil</t>
  </si>
  <si>
    <t>palmeiras, corinthians, elenco, banco, mudar</t>
  </si>
  <si>
    <t>corinthians, joao, martins, seguinte, concordo</t>
  </si>
  <si>
    <t>volei, espere, carro, numero, vao</t>
  </si>
  <si>
    <t>corinthians, palmeiras, uniram, racismo, buffon</t>
  </si>
  <si>
    <t>calleri, sao paulo, falta, luciano, homem</t>
  </si>
  <si>
    <t>abel, corinthians, palmeiras, beira, abel ferreira</t>
  </si>
  <si>
    <t>sulamericana, corinthians, brasil, sao paulo, saldar</t>
  </si>
  <si>
    <t>corinthians, lideranca, palmeiras, assumir, lider</t>
  </si>
  <si>
    <t>tecnico, certo, problema, vao, consegui</t>
  </si>
  <si>
    <t>neymar, luiz, henrique, danilo, paz</t>
  </si>
  <si>
    <t>neymar, tornozelo, romario, ligamento, cirurgia</t>
  </si>
  <si>
    <t>neymar, entrevista, sky, diversao, conexao</t>
  </si>
  <si>
    <t>assiste, esposa, diversao, sky, computador</t>
  </si>
  <si>
    <t>outra, sky, seus, filhos, assistem</t>
  </si>
  <si>
    <t>peixe, neymar, cuca, grupo, ama</t>
  </si>
  <si>
    <t>cobranca, resultado, pressao, jogos, aplaudir</t>
  </si>
  <si>
    <t>toyota, formula, formula 1, japao, piloto</t>
  </si>
  <si>
    <t>dorival, corinthians, cobranca, cima, flamengo</t>
  </si>
  <si>
    <t>neymar, leva, sky, queira, verdade</t>
  </si>
  <si>
    <t>maratonar, diversao, sky, partir, mes</t>
  </si>
  <si>
    <t>confianca, voltzman, energia, disposicao, entrar</t>
  </si>
  <si>
    <t>gazeta, jogou, neto, arrebentando, torcedor</t>
  </si>
  <si>
    <t>santos, jogou, professor, brasao, gabigol</t>
  </si>
  <si>
    <t>palmeiras, corinthians, flamengo, santos, nenhum</t>
  </si>
  <si>
    <t>sao paulo, pagou, primeira, alisson, tecnico</t>
  </si>
  <si>
    <t>moreira, reserva, sao paulo, esquerda, lateral</t>
  </si>
  <si>
    <t>milan, peixe, santos, jeito, aquela</t>
  </si>
  <si>
    <t>interior, jogou, chegando, equipe, arena</t>
  </si>
  <si>
    <t>palmeiras, expulso, verdao, abel, ferreira</t>
  </si>
  <si>
    <t>natural, sintetico, bons, arena, parar</t>
  </si>
  <si>
    <t>carro, dinheiro, conta, quero, comprar</t>
  </si>
  <si>
    <t>corinthians, hugo, goleiro, fiel, historia</t>
  </si>
  <si>
    <t>palmeiras, verdao, penalti, esperava, zagueiro</t>
  </si>
  <si>
    <t>corinthians, palmeiras, seria, sao paulo, transferban</t>
  </si>
  <si>
    <t>corinthians, sao paulo, causa, justamente, quinta</t>
  </si>
  <si>
    <t>overhampton, fluminense, palmeiras, flu, flamengo</t>
  </si>
  <si>
    <t>calma, palmeiras, acertou, jogando, abel</t>
  </si>
  <si>
    <t>corinthians, dorival, vasco, martines, executivo</t>
  </si>
  <si>
    <t>corinthians, base, memphis, fraco, ninguem</t>
  </si>
  <si>
    <t>derby, torcedor, cultural, alians, park</t>
  </si>
  <si>
    <t>palmeiras, falei, nino, desistiu, ultimas</t>
  </si>
  <si>
    <t>palmeiras, corinthians, vasco, mesa, redonda</t>
  </si>
  <si>
    <t>dorival, palmeiras, temos, decisoes, dias</t>
  </si>
  <si>
    <t>corinthians, adivinha, entrevista, sao paulo, silvestre</t>
  </si>
  <si>
    <t>fogao, oportunidade, incrivel, garantia, zero</t>
  </si>
  <si>
    <t>palmeiras, botafogo, america, mexico, semana</t>
  </si>
  <si>
    <t>brasil, super, estrutura, masculina, temos</t>
  </si>
  <si>
    <t>corinthians, nenhum, contrato, clube, ofereceu</t>
  </si>
  <si>
    <t>campeao, poder, sao paulo, artilheiro, brachina</t>
  </si>
  <si>
    <t>santos, palmeiras, voivoda, corinthians, neymar</t>
  </si>
  <si>
    <t>palmeiras, verdao, abel, abel ferreira, leila pereira</t>
  </si>
  <si>
    <t>corinthians, atrapalha, sao paulo, ultimos, elenco</t>
  </si>
  <si>
    <t>corinthians, caiu, sao paulo, trazer, primeira</t>
  </si>
  <si>
    <t>corinthians, santos, dorival, temporada, claro</t>
  </si>
  <si>
    <t>flamengo, palmeiras, abel, leila pereira, estilo</t>
  </si>
  <si>
    <t>palmeiras, impedido, bandeira, aspas, diretor</t>
  </si>
  <si>
    <t>corinthians, campeao, campanha, eliminado, fase</t>
  </si>
  <si>
    <t>sao paulo, torcida, jogos, prepare, torcedor</t>
  </si>
  <si>
    <t>artigos, sao paulo, estatuto, votacao, contradicao</t>
  </si>
  <si>
    <t>pablo, maia, sao paulo, voltando, lucas</t>
  </si>
  <si>
    <t>corinthians, timao, chegada, cavando, compor</t>
  </si>
  <si>
    <t>vasco, santos, tottenham, raian, mim</t>
  </si>
  <si>
    <t>vasco, abel, flamengo, palmeiras, abel ferreira</t>
  </si>
  <si>
    <t>presidente, roger, sao paulo, contato, comunicado</t>
  </si>
  <si>
    <t>palmeiras, prefiro, barbosa, joga, perfil</t>
  </si>
  <si>
    <t>sao paulo, morumbi, menos, chegada, protesto</t>
  </si>
  <si>
    <t>palmeiras, corinthians, banco, perde, reposicao</t>
  </si>
  <si>
    <t>corinthians, abel, reclamar, joao, martins</t>
  </si>
  <si>
    <t>santos, neymar, peixe, fluminense, sao paulo</t>
  </si>
  <si>
    <t>corinthians, palmeiras, corretamente, pretende, cbf</t>
  </si>
  <si>
    <t>dorival, botafogo, santos, sao paulo, roger</t>
  </si>
  <si>
    <t>flamengo, var, palmeiras, abel, arbitragem</t>
  </si>
  <si>
    <t>sky, vasco, sao paulo, prime, titulares</t>
  </si>
  <si>
    <t>sky, lider, seguinte, programacao, nenhum</t>
  </si>
  <si>
    <t>corinthians, caio, cesar, libertadores, menos</t>
  </si>
  <si>
    <t>bento, sao paulo, diferente, matheus, cunha</t>
  </si>
  <si>
    <t>neymar, cbf, corinthians, pessoas, ancelotti</t>
  </si>
  <si>
    <t>neymar, parece, continuo, talento, novela</t>
  </si>
  <si>
    <t>corinthians, atual, numero, desbancando, domingo</t>
  </si>
  <si>
    <t>corinthians, celular, salazar, explicar, pai</t>
  </si>
  <si>
    <t>partir, mes, prime, esposa, monte</t>
  </si>
  <si>
    <t>podio, car, equipe, reis, companheiro</t>
  </si>
  <si>
    <t>corinthians, tite, aquela, cruzeiro, tecnico</t>
  </si>
  <si>
    <t>neymar, peixe, penalti, segundafeira, marcou</t>
  </si>
  <si>
    <t>esperar, lucas, sequencia, mercado, jogos</t>
  </si>
  <si>
    <t>sao paulo, sabino, ligue, meia, 00e</t>
  </si>
  <si>
    <t>palmeiras, flamengo, leila, leila pereira, base</t>
  </si>
  <si>
    <t>roger, machado, gremio, nome, treinador</t>
  </si>
  <si>
    <t>alisson, fluminense, realidade, sao paulo, arranca</t>
  </si>
  <si>
    <t>santos, peixe, volante, sincero, conheco</t>
  </si>
  <si>
    <t>novo, onibus, horizontino, paulista, joga</t>
  </si>
  <si>
    <t>palmeiras, paulista, cumpriu, guarani, joao</t>
  </si>
  <si>
    <t>palmeiras, abel, mexer, sao paulo, certo</t>
  </si>
  <si>
    <t>santos, pagou, valor, evoluiu, outro</t>
  </si>
  <si>
    <t>flamengo, corinthians, hugo, penaltis, tecnicamente</t>
  </si>
  <si>
    <t>fluminense, domingo, corinthians, palmeiras, sao paulo</t>
  </si>
  <si>
    <t>bragantino, lucas, cauli, sao paulo, red bull bragantino</t>
  </si>
  <si>
    <t>palmeiras, zagueiro, henrique, seria, nino</t>
  </si>
  <si>
    <t>dorival, corinthians, ultima, causa, garro</t>
  </si>
  <si>
    <t>flamengo, fluminense, palmeiras, corinthians, abel</t>
  </si>
  <si>
    <t>palmeiras, alex, miller, silvestre, seria</t>
  </si>
  <si>
    <t>santos, trabalho, bambeando, vila belmiro, mercado</t>
  </si>
  <si>
    <t>corinthians, chave, dorival, palmeiras, neymar</t>
  </si>
  <si>
    <t>palmeiras, botafogo, falta, semana, dinheiro</t>
  </si>
  <si>
    <t>palmeiras, diretor, barros, enfim, ordem</t>
  </si>
  <si>
    <t>corinthians, flamengo, treinador, grupo, poder</t>
  </si>
  <si>
    <t>ligamento, sao paulo, atletico mineiro, machucou, passado</t>
  </si>
  <si>
    <t>corinthians, var, conduta, violenta, lance</t>
  </si>
  <si>
    <t>corinthians, flamengo, levantar, campeao, garantia</t>
  </si>
  <si>
    <t>palmeiras, gremio, rafael, considerado, sao paulo</t>
  </si>
  <si>
    <t>corinthians, flamengo, janeiro, sao paulo, dezembro</t>
  </si>
  <si>
    <t>corinthians, palmeiras, verdao, abel ferreira, atletico mineiro</t>
  </si>
  <si>
    <t>bortoleto, formula 1, pistas, rodrigo, velocidade</t>
  </si>
  <si>
    <t>coordenador, sao paulo, conversa, pediu, cuidar</t>
  </si>
  <si>
    <t>juros, continuar, pagando, motoassessoria, jogando</t>
  </si>
  <si>
    <t>palmeiras, tradicao, policia, envolvidos, crime</t>
  </si>
  <si>
    <t>julio, ultima, sao paulo, abrir, olho</t>
  </si>
  <si>
    <t>corinthians, presidente, elenco, meses, sao paulo</t>
  </si>
  <si>
    <t>corinthians, nunca, kaka, quase, jogando</t>
  </si>
  <si>
    <t>palmeiras, presidente, obedece, perfil, transfer</t>
  </si>
  <si>
    <t>entrou, palmeiras, acha, vitoria, penaltis</t>
  </si>
  <si>
    <t>corinthians, sao paulo, aconteceu, parte, mudanca</t>
  </si>
  <si>
    <t>sao paulo, diferentes, estatuto, poxa, negocio</t>
  </si>
  <si>
    <t>lucas, moura, sao paulo, poxa, pronto</t>
  </si>
  <si>
    <t>corinthians, precisa, dar, trazer, base</t>
  </si>
  <si>
    <t>palmeiras, flamengo, abel, busca, dizendo</t>
  </si>
  <si>
    <t>torcida, sao paulo, clube, juventude, brasil</t>
  </si>
  <si>
    <t>barbosa, abel ferreira, abel, perfil, kino</t>
  </si>
  <si>
    <t>meio, sao paulo, manter, menos, caracteristica</t>
  </si>
  <si>
    <t>sky, santos, programacao, curtir, maratonar</t>
  </si>
  <si>
    <t>vitoria, bahia, ficou, sao paulo, pianinho</t>
  </si>
  <si>
    <t>santos, neymar, coritiba, roni, vila belmiro</t>
  </si>
  <si>
    <t>corinthians, palmeiras, carlos, miguel, posicao</t>
  </si>
  <si>
    <t>palmeiras, verdao, dorival, competicao, dura</t>
  </si>
  <si>
    <t>conta, chegar, chato, existe, video</t>
  </si>
  <si>
    <t>estar, fosse, tecnico, vendo, perguntou</t>
  </si>
  <si>
    <t>episodio, timao, helicoptero, memphis, vao</t>
  </si>
  <si>
    <t>diniz, corinthians, dorival, jeito, fernando</t>
  </si>
  <si>
    <t>neymar, certeza, andy, endrick, wendrick</t>
  </si>
  <si>
    <t>vasco, neymar, santos, vila belmiro, grandes</t>
  </si>
  <si>
    <t>neymar, selecao, jogos, jogando, amanha</t>
  </si>
  <si>
    <t>corinthians, coxa, dorival, selecao, alternativa</t>
  </si>
  <si>
    <t>punicao, sabia, saber, talvez, fato</t>
  </si>
  <si>
    <t>santos, cuca, gosto, equipe, posicionada</t>
  </si>
  <si>
    <t>carro, pista, desempenho, forte, trazer</t>
  </si>
  <si>
    <t>dorival, corinthians, tite, sao paulo, dizendo</t>
  </si>
  <si>
    <t>neymar, santos, kings, league, bateu</t>
  </si>
  <si>
    <t>bragantino, bahia, flamengo, santos, sao paulo</t>
  </si>
  <si>
    <t>flamengo, cruzeiro, ponto, recebeu, cruzes</t>
  </si>
  <si>
    <t>santos, peixe, corinthians, vila belmiro, classico</t>
  </si>
  <si>
    <t>roger, treinador, machado, chega, sao paulo</t>
  </si>
  <si>
    <t>fluminense, corinthians, alisson, sao paulo, compensacao</t>
  </si>
  <si>
    <t>flamengo, santos, felipe, luiz, rubro negro</t>
  </si>
  <si>
    <t>onibus, domingo, ruim, curioso, vieram</t>
  </si>
  <si>
    <t>expulso, forma, ironica, acontecer, punicao</t>
  </si>
  <si>
    <t>luciano, sao paulo, saida, rafael, capitao</t>
  </si>
  <si>
    <t>santos, neymar, carteira, corinthians, imagem</t>
  </si>
  <si>
    <t>corinthians, perto, goleiro, lidar, pressao</t>
  </si>
  <si>
    <t>palmeiras, batido, deixa, batedor, oficial</t>
  </si>
  <si>
    <t>chega, titular, sao paulo, setor, suas</t>
  </si>
  <si>
    <t>botafogo, selecao, cruzeiro, luiz, henrique</t>
  </si>
  <si>
    <t>dorival, gramado, corinthians, pre, temporada</t>
  </si>
  <si>
    <t>palmeiras, overhampton, banco, capivariano, relacionado</t>
  </si>
  <si>
    <t>neymar, voivoda, internacional, corinthians, peixe</t>
  </si>
  <si>
    <t>corinthians, assessoria, pronunciar, assunto, martines</t>
  </si>
  <si>
    <t>juventude, internacional, gremio, beira rio, jose</t>
  </si>
  <si>
    <t>corinthians, esses, sao paulo, estavam, luigi</t>
  </si>
  <si>
    <t>nino, leila pereira, diretoria, abel, coletiva</t>
  </si>
  <si>
    <t>palmeiras, torcedor, paciencia, murilo, anderson</t>
  </si>
  <si>
    <t>corinthians, dorival, timao, brasileiro, legado</t>
  </si>
  <si>
    <t>coxa, lesao, santos, sao paulo, tricolor paulista</t>
  </si>
  <si>
    <t>cartao, arbitro, situacao, queria, cameras</t>
  </si>
  <si>
    <t>flamengo, corinthians, palmeiras, grandes, ganhou</t>
  </si>
  <si>
    <t>palmeiras, entende, homenagens, camisa, acordo</t>
  </si>
  <si>
    <t>palmeiras, flamengo, disposicao, sao paulo, lucas</t>
  </si>
  <si>
    <t>palmeiras, paulinho, sao paulo, felipe, anderson</t>
  </si>
  <si>
    <t>bortoleto, audi, junto, incrivel, legal</t>
  </si>
  <si>
    <t>disse, bastante, oscar, clube, tricolor</t>
  </si>
  <si>
    <t>santos, corinthians, vila belmiro, classico, dar</t>
  </si>
  <si>
    <t>palmeiras, corinthians, abel ferreira, novo, abel</t>
  </si>
  <si>
    <t>brasileiro, aberto, australia, norte, americano</t>
  </si>
  <si>
    <t>sao paulo, crespo, esperar, ari, disse</t>
  </si>
  <si>
    <t>corinthians, timao, fortaleza, john, palmeiras</t>
  </si>
  <si>
    <t>palmeiras, queremos, presidente, arias, concorda</t>
  </si>
  <si>
    <t>complicado, palmeiras, bandeirinha, arbitragem, var</t>
  </si>
  <si>
    <t>corinthians, aconteceu, guarani, copinha, base</t>
  </si>
  <si>
    <t>entrou, sao paulo, salvou, todos, classicos</t>
  </si>
  <si>
    <t>dorival, saude, alisson, sao paulo, utilizado</t>
  </si>
  <si>
    <t>kaka, corinthians, trazer, jogos, repente</t>
  </si>
  <si>
    <t>santos, neymar, sao paulo, nacao, coracao</t>
  </si>
  <si>
    <t>palmeiras, abel ferreira, abel, ferreira, deixo</t>
  </si>
  <si>
    <t>roger, sao paulo, partidas, joga, periodo</t>
  </si>
  <si>
    <t>timao, lesao, diniz, joelho, passar</t>
  </si>
  <si>
    <t>gremio, tecnico, sao paulo, diretor, falam</t>
  </si>
  <si>
    <t>fluminense, cruzeiro, tricolor carioca, assistir, recebeu</t>
  </si>
  <si>
    <t>calleri, luciano, sao paulo, tricolor, assistencia</t>
  </si>
  <si>
    <t>santos, palmeiras, roni, flamengo, neymar</t>
  </si>
  <si>
    <t>corinthians, palmeiras, fernando, diniz, alex</t>
  </si>
  <si>
    <t>corinthians, palmeiras, diniz, legal, torcida</t>
  </si>
  <si>
    <t>flamengo, internacional, cabeca, venceu, arrascaeta</t>
  </si>
  <si>
    <t>vasco, mim, renato, pedrinho, quero</t>
  </si>
  <si>
    <t>dorival, treinador, domingo, formula e, lider</t>
  </si>
  <si>
    <t>corinthians, dorival, palmeiras, telhado, fernando</t>
  </si>
  <si>
    <t>neymar, selecao, fluminense, discutindo, tao</t>
  </si>
  <si>
    <t>neymar, santos, somos, folga, qual</t>
  </si>
  <si>
    <t>dorival, palmeiras, corinthians, yuri, saber</t>
  </si>
  <si>
    <t>corinthians, penas, pessoas, clube, realmente</t>
  </si>
  <si>
    <t>neymar, santos, algo, cuca, comigo</t>
  </si>
  <si>
    <t>palmeiras, sao paulo, copinha, promessa, equipe</t>
  </si>
  <si>
    <t>corinthians, flamengo, legal, media, gazeta</t>
  </si>
  <si>
    <t>flamengo, dorival, santos, vasco, palmeiras</t>
  </si>
  <si>
    <t>machucar, neymar, penalti, sao paulo, atletico mineiro</t>
  </si>
  <si>
    <t>palmeiras, argentina, campeao, selecao, data</t>
  </si>
  <si>
    <t>tecnico, crespo, sao paulo, zagueiros, esquema</t>
  </si>
  <si>
    <t>flamengo, cruzeiro, rubronegra, situacao, pontuacao</t>
  </si>
  <si>
    <t>santos, fortaleza, vojvoda, tecnico, corinthians</t>
  </si>
  <si>
    <t>fluminense, corinthians, alisson, sao paulo, milhao</t>
  </si>
  <si>
    <t>flamengo, acontece, algo, jovem, carioca</t>
  </si>
  <si>
    <t>dormindo, palmeiras, tarde, amanha, toda</t>
  </si>
  <si>
    <t>santos, neymar, vasco, outro, seguinte</t>
  </si>
  <si>
    <t>peixe, santos, neymar, vinicius, tal</t>
  </si>
  <si>
    <t>corinthians, cruzeiro, camisa, parte, gola</t>
  </si>
  <si>
    <t>palmeiras, internacional, fluminense, dorival, penalti</t>
  </si>
  <si>
    <t>bahia, tecnico, dorival, chega, sao paulo</t>
  </si>
  <si>
    <t>palmeiras, milhoes, negocio, tela, numeros</t>
  </si>
  <si>
    <t>corinthians, dorival, paulista, favorito, supercopa</t>
  </si>
  <si>
    <t>palmeiras, favorito, corinthians, banco, mim</t>
  </si>
  <si>
    <t>bragantino, palmeiras, corinthians, mano, penalti</t>
  </si>
  <si>
    <t>causa, gramado, sao paulo, site, times</t>
  </si>
  <si>
    <t>corinthians, certo, martines, ferias, devido</t>
  </si>
  <si>
    <t>juventude, times, alem, virada, adversario</t>
  </si>
  <si>
    <t>FLUMINENSE</t>
  </si>
  <si>
    <t>deveria, sorte, luigi, punido, flaco</t>
  </si>
  <si>
    <t>corinthians, palmeiras, derrotas, projecao, ruim</t>
  </si>
  <si>
    <t>corinthians, dorival, voltou, medico, contratacao</t>
  </si>
  <si>
    <t>dorival, precisa, corinthians, flamengo, duvida</t>
  </si>
  <si>
    <t>caleri, departamento, medico, andre, silva</t>
  </si>
  <si>
    <t>arbitro, imagem, olhar, procedimento, exato</t>
  </si>
  <si>
    <t>flamengo, correndo, ritmo, titulares, entrar</t>
  </si>
  <si>
    <t>palmeiras, contrato, veig, gols, importantes</t>
  </si>
  <si>
    <t>caleri, escalacao, sao paulo, lucas, moura</t>
  </si>
  <si>
    <t>demorar, paulinho, deve, contusao, readquirir</t>
  </si>
  <si>
    <t>semana, formula 1, formula, brasil, treinos</t>
  </si>
  <si>
    <t>base, sao paulo, dar, normalmente, certo</t>
  </si>
  <si>
    <t>palmeiras, sao paulo, classico, marcelo, bazio</t>
  </si>
  <si>
    <t>palmeiras, jovens, santos, jovem, frase</t>
  </si>
  <si>
    <t>tenis, joao, fonseca, set, grandes</t>
  </si>
  <si>
    <t>sao paulo, primeira, situacao, devolvo, estudios</t>
  </si>
  <si>
    <t>corinthians, dorival, alisson, sao paulo, marcelo</t>
  </si>
  <si>
    <t>palmeiras, qualidade, trazer, dar, colocar</t>
  </si>
  <si>
    <t>palmeiras, botafogo, fogao, segunda, sao paulo</t>
  </si>
  <si>
    <t>corinthians, sao paulo, pergunta, passado, quanto</t>
  </si>
  <si>
    <t>dentro, casares, politico, clube, politica</t>
  </si>
  <si>
    <t>santos, neymar, clube, espero, gracas</t>
  </si>
  <si>
    <t>gremio, palmeiras, tricolor gaucho, cima, copinha</t>
  </si>
  <si>
    <t>palmeiras, flamengo, extracampo, elenco, protege</t>
  </si>
  <si>
    <t>roger, sao paulo, calleri, feito, ultima</t>
  </si>
  <si>
    <t>corinthians, caique, coxa, pena, dorival</t>
  </si>
  <si>
    <t>nba, juros, reduzir, parcela, reais</t>
  </si>
  <si>
    <t>vasco, sao paulo, roger, machado, preocupado</t>
  </si>
  <si>
    <t>torcedor, torcida, roger, novamente, vaiado</t>
  </si>
  <si>
    <t>santos, neymar, passa, nivel, roni</t>
  </si>
  <si>
    <t>timao, bragantino, corinthians, cesar, red bull bragantino</t>
  </si>
  <si>
    <t>palmeiras, corintiano, diniz, aquela, vitoria</t>
  </si>
  <si>
    <t>MIRASSOL</t>
  </si>
  <si>
    <t>vasco, renato, fosse, precisava, gosta</t>
  </si>
  <si>
    <t>corinthians, palmeiras, leila pereira, sao paulo, existe</t>
  </si>
  <si>
    <t>palmeiras, bahia, computador, prime, series</t>
  </si>
  <si>
    <t>endrick, neymar, futura, meses, pensaria</t>
  </si>
  <si>
    <t>neymar, flamengo, patrocinio, cbf, problema</t>
  </si>
  <si>
    <t>neymar, internacional, fico, parte, talvez</t>
  </si>
  <si>
    <t>corinthians, dorival, fluminense, palmeiras, mepes</t>
  </si>
  <si>
    <t>existia, atras, celular, dura, cartao</t>
  </si>
  <si>
    <t>santos, volei, flamengo, sao paulo, trocar</t>
  </si>
  <si>
    <t>palmeiras, base, sao paulo, alan, barcelos</t>
  </si>
  <si>
    <t>penalti, andre, flamengo, esses, qual</t>
  </si>
  <si>
    <t>voltsman, ligue, recuperar, gera, peco</t>
  </si>
  <si>
    <t>lideranca, galo, mal, sao paulo, tricolor paulista</t>
  </si>
  <si>
    <t>botafogo, argentina, convocacao, flaco lopes, fato</t>
  </si>
  <si>
    <t>palmeiras, verdao, crespo, sao paulo, pensa</t>
  </si>
  <si>
    <t>flamengo, gerson, deixaram, marcao, polemico</t>
  </si>
  <si>
    <t>santos, padrao, separou, tricolor, roger</t>
  </si>
  <si>
    <t>cruzeiro, raposa, sao paulo, marcado, sido</t>
  </si>
  <si>
    <t>fluminense, alisson, dorival, corinthians, sao paulo</t>
  </si>
  <si>
    <t>flamengo, palmeiras, historia, realmente, campeao</t>
  </si>
  <si>
    <t>parte, tarde, manha, falei, dormir</t>
  </si>
  <si>
    <t>neymar, torcedor, novo, horizonte, grupo</t>
  </si>
  <si>
    <t>santos, taciano, vasco, vila belmiro, banco</t>
  </si>
  <si>
    <t>corinthians, cruzeiro, racismo, portuguesa, historia</t>
  </si>
  <si>
    <t>foram, renovar, ancelotti, euros, treinadores</t>
  </si>
  <si>
    <t>palmeiras, santos, perseguicao, marcado, penaltis</t>
  </si>
  <si>
    <t>dorival, chega, corinthians, bahia, visto</t>
  </si>
  <si>
    <t>corinthians, santos, palmeiras, domingo, portuguesa</t>
  </si>
  <si>
    <t>palmeiras, mauricio, arias, neymar, corinthians</t>
  </si>
  <si>
    <t>timao, placar, hugo, construir, historia</t>
  </si>
  <si>
    <t>torcida, vasco, furacao, sao paulo, proposta</t>
  </si>
  <si>
    <t>corinthians, vez, carrinho, ligamento, cruzado</t>
  </si>
  <si>
    <t>palmeiras, derrubar, tamanho, john, toda</t>
  </si>
  <si>
    <t>neymar, corinthians, santos, voivoda, atingir</t>
  </si>
  <si>
    <t>corinthians, palmeiras, timao, flamengo, abel ferreira</t>
  </si>
  <si>
    <t>corinthians, flamengo, palmeiras, guinegao, hugo</t>
  </si>
  <si>
    <t>corinthians, puder, lateral, sonhos, bidu</t>
  </si>
  <si>
    <t>brasileiros, bahia, botafogo, flamengo, libertadores</t>
  </si>
  <si>
    <t>intervalo, olhar, senso, imagem, var</t>
  </si>
  <si>
    <t>flamengo, corinthians, sergio, conhece, domingo</t>
  </si>
  <si>
    <t>palmeiras, botafogo, exemplo, poderia, embora</t>
  </si>
  <si>
    <t>escalacao, temporada, milan, rafael, pera</t>
  </si>
  <si>
    <t>palmeiras, felipe, reforco, tiver, veio</t>
  </si>
  <si>
    <t>PORTUGUESA</t>
  </si>
  <si>
    <t>toyota, formula 1, racing, rodrigo, est</t>
  </si>
  <si>
    <t>santos, palmeiras, zona, ponte, jogos</t>
  </si>
  <si>
    <t>palmeiras, santos, abel, ferreira, abel ferreira</t>
  </si>
  <si>
    <t>bragantino, palmeiras, john, corinthians, goias</t>
  </si>
  <si>
    <t>botafogo, palmeiras, tricolor, sao paulo, copinha</t>
  </si>
  <si>
    <t>crespo, sao paulo, brasileiro, saiu, escorregou</t>
  </si>
  <si>
    <t>corinthians, dorival, seus, comigo, sao paulo</t>
  </si>
  <si>
    <t>palmeiras, base, qualidade, dar, apostar</t>
  </si>
  <si>
    <t>botafogo, sao paulo, recebeu, fase, onde</t>
  </si>
  <si>
    <t>palmeiras, santos, milan, corinthians, fase</t>
  </si>
  <si>
    <t>corinthians, dentro, situacao, brasileiro, sao paulo</t>
  </si>
  <si>
    <t>corinthians, sao paulo, porto, moreira, comprar</t>
  </si>
  <si>
    <t>neymar, santos, principe, continua, carreira</t>
  </si>
  <si>
    <t>fluminense, palmeiras, verdao, sao paulo, estreou</t>
  </si>
  <si>
    <t>palmeiras, abel, torcida, punicao, precisa</t>
  </si>
  <si>
    <t>vasco, chegou, perde, vira, sao paulo</t>
  </si>
  <si>
    <t>vitinho, dorival, corinthians, caique, comeca</t>
  </si>
  <si>
    <t>santos, neymar, peixe, vila belmiro, jogos</t>
  </si>
  <si>
    <t>vasco, coxa, sao paulo, longo, prolongado</t>
  </si>
  <si>
    <t>sky, programacao, curtir, prime, onde</t>
  </si>
  <si>
    <t>botafogo, santos, neymar, saf, sulamericana</t>
  </si>
  <si>
    <t>cesar, julio, corinthians, contato, quanta</t>
  </si>
  <si>
    <t>palmeiras, corinthians, ganha, domingo, outro</t>
  </si>
  <si>
    <t>sky, programacao, curtir, prime, filmes</t>
  </si>
  <si>
    <t>neymar, santos, peixe, roni, ridiculo</t>
  </si>
  <si>
    <t>flamengo, palmeiras, leila, outros, direitos</t>
  </si>
  <si>
    <t>bahia, verdao, palmeiras, gremio, corinthians</t>
  </si>
  <si>
    <t>neymar, danilo, santos, poderia, feito</t>
  </si>
  <si>
    <t>flamengo, neymar, jogos, remo, estar</t>
  </si>
  <si>
    <t>neymar, video, cobrado, questao, importa</t>
  </si>
  <si>
    <t>palmeiras, abel ferreira, sao paulo, cartoes, amarelos</t>
  </si>
  <si>
    <t>corinthians, credores, funciona, salazar, justica</t>
  </si>
  <si>
    <t>flamengo, corinthians, franca, nessas, modalidades</t>
  </si>
  <si>
    <t>base, corinthians, palmeiras, internacional, flamengo</t>
  </si>
  <si>
    <t>corinthians, penalti, lance, atletico, feito</t>
  </si>
  <si>
    <t>santos, peixe, vila belmiro, salazar, vila</t>
  </si>
  <si>
    <t>atletico, mineiro, sao paulo, atletico mineiro, verdade</t>
  </si>
  <si>
    <t>vitor, roque, lopes, flaco, centroavante</t>
  </si>
  <si>
    <t>palmeiras, jogos, abel ferreira, flaco lopes, gramado</t>
  </si>
  <si>
    <t>corinthians, cruzeiro, torcida, enfrentar, meio</t>
  </si>
  <si>
    <t>cabeca, comecou, sumula, foram, confirmadas</t>
  </si>
  <si>
    <t>alisson, crespo, fluminense, corinthians, luan</t>
  </si>
  <si>
    <t>flamengo, palmeiras, comeco, carioca, pedro</t>
  </si>
  <si>
    <t>palmeiras, santos, anderson, cruzeiro, verdao</t>
  </si>
  <si>
    <t>neymar, regularidad, forte, completou, minutos</t>
  </si>
  <si>
    <t>corinthians, vasco, internacional, dorival, arbitragem</t>
  </si>
  <si>
    <t>neymar, cbf, caso, qualquer, renovar</t>
  </si>
  <si>
    <t>santos, peixe, trabalho, vojvoda, corre</t>
  </si>
  <si>
    <t>depende, crespo, volantes, cauli, elenco</t>
  </si>
  <si>
    <t>neymar, vasco, palmeiras, milhoes, pressao</t>
  </si>
  <si>
    <t>corinthians, base, garoto, domingo, elenco</t>
  </si>
  <si>
    <t>santos, neymar, protesto, teixeira, mauricio</t>
  </si>
  <si>
    <t>corinthians, defesa, ajudou, vitoria, atuacao</t>
  </si>
  <si>
    <t>alisson, sao paulo, novas, oportunidades, negocio</t>
  </si>
  <si>
    <t>corinthians, dorival, profissional, perde, mao</t>
  </si>
  <si>
    <t>fluminense, palmeiras, overhampton, flamengo, verdao</t>
  </si>
  <si>
    <t>neymar, santos, voivoda, staff, voltou</t>
  </si>
  <si>
    <t>palmeiras, botafogo, corinthians, estar, terra</t>
  </si>
  <si>
    <t>corinthians, palmeiras, dorival, verdao, fiel</t>
  </si>
  <si>
    <t>voivoda, corinthians, santos, dorival, peixe</t>
  </si>
  <si>
    <t>palmeiras, flamengo, favorito, corinthians, cruzeiro</t>
  </si>
  <si>
    <t>imagem, corinthians, arbitro, estranho, lance</t>
  </si>
  <si>
    <t>santos, surpreendente, mao, quatro, vitoria</t>
  </si>
  <si>
    <t>gremio, palmeiras, comecou, temporada, escalacao</t>
  </si>
  <si>
    <t>palmeiras, contratacao, dinheiro, todas, italia</t>
  </si>
  <si>
    <t>portuguesa, corinthians, guarani, mata, paulista</t>
  </si>
  <si>
    <t>santos, rafinha, sao paulo, ponte, murici</t>
  </si>
  <si>
    <t>palmeiras, dupla, santos, verdao, classico</t>
  </si>
  <si>
    <t>palmeiras, chance, dar, gilberto, joga</t>
  </si>
  <si>
    <t>verdao, palmeiras, ibrahina, zagueiro, pimenta</t>
  </si>
  <si>
    <t>palmeiras, repente, sao paulo, primeira, salarios</t>
  </si>
  <si>
    <t>corinthians, dorival, alisson, pergunta, martinz</t>
  </si>
  <si>
    <t>palmeiras, corre, gilberto, dificuldade, paranaense</t>
  </si>
  <si>
    <t>corinthians, timao, marcelo, paz, taderes</t>
  </si>
  <si>
    <t>sao paulo, trazer, separou, complicada, comecou</t>
  </si>
  <si>
    <t>bragantino, complicado, rodriguinho, contrato, sao paulo</t>
  </si>
  <si>
    <t>palmeiras, longe, sequencia, vittor, gabriel</t>
  </si>
  <si>
    <t>torcida, palmeiras, corinthians, bragantino, santos</t>
  </si>
  <si>
    <t>palmeiras, corinthians, botafogo, bahia, barbosa</t>
  </si>
  <si>
    <t>botafogo, flamengo, gremio, brasil, manchester united</t>
  </si>
  <si>
    <t>fluminense, acordou, torcedores, cobrancas, derrotas</t>
  </si>
  <si>
    <t>elenco, vasco, apoio, rolar, garrafa</t>
  </si>
  <si>
    <t>equipe, comecou, botafogo, sao paulo, adversaria</t>
  </si>
  <si>
    <t>corinthians, timao, decima, somente, colocacao</t>
  </si>
  <si>
    <t>corinthians, bragantino, red bull bragantino, exercendo, talvez</t>
  </si>
  <si>
    <t>palmeiras, abel, corinthians, efeito, suspensivo</t>
  </si>
  <si>
    <t>santos, neymar, peixe, coxa, gabigol</t>
  </si>
  <si>
    <t>flamengo, santos, neymar, dias, estar</t>
  </si>
  <si>
    <t>palmeiras, real, madrid, reuniao, liga</t>
  </si>
  <si>
    <t>palmeiras, abel ferreira, ausencia, vitor, roque</t>
  </si>
  <si>
    <t>palmeiras, corinthians, santos, fluminense, internacional</t>
  </si>
  <si>
    <t>neymar, santos, reportagem, acha, vancilote</t>
  </si>
  <si>
    <t>neymar, importa, trabalho, resposta, video</t>
  </si>
  <si>
    <t>abel, corinthians, fluminense, palmeiras, comportamento</t>
  </si>
  <si>
    <t>corinthians, clube, justica, documentos, sob</t>
  </si>
  <si>
    <t>nba, sao paulo, jogos, segue, caca</t>
  </si>
  <si>
    <t>neymar, peixe, poquer, dias, vez</t>
  </si>
  <si>
    <t>var, arbitro, lance, chamar, quis</t>
  </si>
  <si>
    <t>santos, cruzeiro, neymar, comissao, reais</t>
  </si>
  <si>
    <t>oscila, desempenho, homem, durante, temporada</t>
  </si>
  <si>
    <t>dorival, flamengo, itaquera, silvestre, junior</t>
  </si>
  <si>
    <t>palmeiras, segunda, parte, top, comecando</t>
  </si>
  <si>
    <t>cruzeiro, palmeiras, camarote, situacao, pior</t>
  </si>
  <si>
    <t>relacao, rafinha, qualquer, melhoria, interna</t>
  </si>
  <si>
    <t>cruzeiro, errou, agredi, desculpas, equivoquei</t>
  </si>
  <si>
    <t>hulk, meia, catiripapo, cenas, tras</t>
  </si>
  <si>
    <t>corinthians, sao paulo, alisson, filmou, imagem</t>
  </si>
  <si>
    <t>flamengo, palmeiras, cruzeiro, parecido, adaptar</t>
  </si>
  <si>
    <t>palmeiras, festa, preparar, entrar, busca</t>
  </si>
  <si>
    <t>neymar, santos, tecnico, fim, pernas</t>
  </si>
  <si>
    <t>corinthians, salario, manchester united, departamento, financeiro</t>
  </si>
  <si>
    <t>corinthians, timao, dorival, tite, denuncia</t>
  </si>
  <si>
    <t>ciclo, planejamento, esperaria, pegar, outro</t>
  </si>
  <si>
    <t>santos, neymar, torcida, teixeira, alexandre</t>
  </si>
  <si>
    <t>oscar, santos, cauli, sao paulo, contratacao</t>
  </si>
  <si>
    <t>vasco, post, torcida, aspas, amo</t>
  </si>
  <si>
    <t>corinthians, portuguesa, dorival, eliminado, palmeiras</t>
  </si>
  <si>
    <t>santos, neymar, peixe, vila belmiro, comeca</t>
  </si>
  <si>
    <t>bragantino, palmeiras, flamengo, hugo, corinthians</t>
  </si>
  <si>
    <t>alisson, corinthians, sao paulo, vinha, aproveitado</t>
  </si>
  <si>
    <t>movimentos, lance, esses, saiu, brasil</t>
  </si>
  <si>
    <t>palmeiras, verdao, leila, leila pereira, pereira</t>
  </si>
  <si>
    <t>voivoda, santos, sao paulo, obrigado, tecnico</t>
  </si>
  <si>
    <t>palmeiras, caio, grupo, frente, orcamento</t>
  </si>
  <si>
    <t>corinthians, palmeiras, santos, sao paulo, vila belmiro</t>
  </si>
  <si>
    <t>santos, voivoda, vitoria, sao paulo, novo</t>
  </si>
  <si>
    <t>cruzeiro, fluminense, flamengo, palmeiras, bahia</t>
  </si>
  <si>
    <t>var, observador, problema, bassols, opiniao</t>
  </si>
  <si>
    <t>flamengo, internacional, bid, sexta, feira</t>
  </si>
  <si>
    <t>mao, santos, posse, vez, involuntario</t>
  </si>
  <si>
    <t>santos, peixe, voivoda, neymar, sao paulo</t>
  </si>
  <si>
    <t>palmeiras, rafinha, sao paulo, esgotar, trabalho</t>
  </si>
  <si>
    <t>gramado, portuguesa, estadio, piso, menos</t>
  </si>
  <si>
    <t>ligacao, passam, murici, sao paulo, historia</t>
  </si>
  <si>
    <t>palmeiras, gramado, lucas, moura, favoritismo</t>
  </si>
  <si>
    <t>palmeiras, juros, pagar, calma, goleadas</t>
  </si>
  <si>
    <t>palmeiras, verdao, gremio, cruzeiro, sao paulo</t>
  </si>
  <si>
    <t>palmeiras, dinheiro, abel ferreira, sao paulo, botou</t>
  </si>
  <si>
    <t>corinthians, dorival, troca, martinz, sao paulo</t>
  </si>
  <si>
    <t>milhoes, palmeiras, menino, jogando, gastar</t>
  </si>
  <si>
    <t>hotel, brasil, minutinhos, onde, privacidade</t>
  </si>
  <si>
    <t>corinthians, presidente, marcelo, tieres, andres</t>
  </si>
  <si>
    <t>corinthians, luciano, sao paulo, tricolor paulista, torcida</t>
  </si>
  <si>
    <t>palmeiras, milhoes, parece, sendo, proximo</t>
  </si>
  <si>
    <t>jogou, toloi, sao paulo, atras, engano</t>
  </si>
  <si>
    <t>neymar, santos, angelote, proxima, jeito</t>
  </si>
  <si>
    <t>bandeira, feio, arbitro, quase, linha</t>
  </si>
  <si>
    <t>entrevista, lei, bragantino, coletiva, silencio</t>
  </si>
  <si>
    <t>botafogo, palmeiras, fogao, comeca, acordo</t>
  </si>
  <si>
    <t>coxa, brasil, realizacao, parcial, direita</t>
  </si>
  <si>
    <t>neymar, santos, fluminense, selecao, convocacao</t>
  </si>
  <si>
    <t>ENDRICK</t>
  </si>
  <si>
    <t>palmeiras, tranquilidade, sao paulo, elenco, vive</t>
  </si>
  <si>
    <t>melhorar, sao paulo, precisa, juro, comando</t>
  </si>
  <si>
    <t>timao, maneira, possivel, decisiva, forca</t>
  </si>
  <si>
    <t>palmeiras, flamengo, corinthians, fluminense, discussao</t>
  </si>
  <si>
    <t>corinthians, palmeiras, timao, mes, domingo</t>
  </si>
  <si>
    <t>santos, pau, resultado, ruim, homem</t>
  </si>
  <si>
    <t>neymar, santos, flamengo, levaria, selecao</t>
  </si>
  <si>
    <t>espere, valores, acessiveis, meia, proxima</t>
  </si>
  <si>
    <t>palmeiras, vasco, botafogo, gremio, bahia</t>
  </si>
  <si>
    <t>santos, neymar, palmeiras, corinthians, volta</t>
  </si>
  <si>
    <t>neymar, rafinha, vini, rodrigo, melhores</t>
  </si>
  <si>
    <t>neymar, consultoria, parcela, reais, carro</t>
  </si>
  <si>
    <t>abel, comportamento, gremio, sao paulo, pegar</t>
  </si>
  <si>
    <t>corinthians, invade, cultural, pais, pessoas</t>
  </si>
  <si>
    <t>palmeiras, julio, batista, sao paulo, inclusive</t>
  </si>
  <si>
    <t>neymar, artigo, performance, convocacao, diario</t>
  </si>
  <si>
    <t>neymar, santos, corinthians, dorival, forma</t>
  </si>
  <si>
    <t>sentir, meia, lucas, entra, fone</t>
  </si>
  <si>
    <t>palmeiras, allianz, lugar, parque, amargo</t>
  </si>
  <si>
    <t>crespo, rafinha, sao paulo, disse, demissao</t>
  </si>
  <si>
    <t>cruzeiro, desculpas, pedir, compreensao, violencia</t>
  </si>
  <si>
    <t>corinthians, palmeiras, juiz, cruzeiro, atitude</t>
  </si>
  <si>
    <t>flamengo, fluminense, vencer, rubro negro, sao paulo</t>
  </si>
  <si>
    <t>palmeiras, flamengo, foto, cabeca, quente</t>
  </si>
  <si>
    <t>corinthians, palmeiras, jogando, decidiu, novo</t>
  </si>
  <si>
    <t>neymar, gols, alem, passes, sendo</t>
  </si>
  <si>
    <t>dorival, corinthians, santos, neymar, jogou</t>
  </si>
  <si>
    <t>timao, protagonistas, conquistas, paulistao, brasileiros</t>
  </si>
  <si>
    <t>neymar, santos, vasco, tristeza, eliminacao</t>
  </si>
  <si>
    <t>santos, neymar, entender, problemas, parece</t>
  </si>
  <si>
    <t>divida, santos, neymar, corinthians, joao</t>
  </si>
  <si>
    <t>quero, corinthians, embora, vicente, mateus</t>
  </si>
  <si>
    <t>corinthians, flamengo, cheque, rubro negro, titulos</t>
  </si>
  <si>
    <t>santos, peixe, neymar, bravo, entende</t>
  </si>
  <si>
    <t>corinthians, palmeiras, flamengo, cruzeiro, fluminense</t>
  </si>
  <si>
    <t>corinthians, bahia, alisson, sao paulo, certo</t>
  </si>
  <si>
    <t>palmeiras, sao paulo, brasil, amanha, sexta</t>
  </si>
  <si>
    <t>palmeiras, esposa, informacao, leila, arias</t>
  </si>
  <si>
    <t>gremio, sao paulo, nove, partidas, sofreu</t>
  </si>
  <si>
    <t>dorival, palmeiras, corinthians, qual, treinador</t>
  </si>
  <si>
    <t>santos, voivoda, pressao, elenco, pessoas</t>
  </si>
  <si>
    <t>botafogo, bahia, inverno, campanha, chegando</t>
  </si>
  <si>
    <t>var, cabine, cbf, fere, protocolo</t>
  </si>
  <si>
    <t>bid, paqueta, corinthians, flamengo, fiel</t>
  </si>
  <si>
    <t>santos, neymar, sao paulo, grupo, acoes</t>
  </si>
  <si>
    <t>sao paulo, entende, substituir, murici, campeao</t>
  </si>
  <si>
    <t>palmeiras, portuguesa, corinthians, sao paulo, luza</t>
  </si>
  <si>
    <t>corinthians, sao paulo, tecnico, normalmente, elo</t>
  </si>
  <si>
    <t>palmeiras, felipe, anderson, sao paulo, vimos</t>
  </si>
  <si>
    <t>whatsapp, mota, assessoria, mensagem, precisa</t>
  </si>
  <si>
    <t>palmeiras, morumbis, sao paulo, importante, copinha</t>
  </si>
  <si>
    <t>apagar, luzes, situacoes, mostram, esporte</t>
  </si>
  <si>
    <t>limite, dorival, corinthians, martinz, coletiva</t>
  </si>
  <si>
    <t>fluminense, botafogo, palmeiras, gato, alan</t>
  </si>
  <si>
    <t>aquela, festa, toda, nossas, esposas</t>
  </si>
  <si>
    <t>corinthians, timao, milhoes, aproximacao, presidente</t>
  </si>
  <si>
    <t>palmeiras, overhampton, alex, verdao, botafogo</t>
  </si>
  <si>
    <t>internacional, santos, botafogo, colorado, sao paulo</t>
  </si>
  <si>
    <t>neymar, comprar, atleta, dai, vida</t>
  </si>
  <si>
    <t>bandeira, palmeiras, levanta, entrou, inaceitavel</t>
  </si>
  <si>
    <t>flamengo, palmeiras, abel, achou, atitude</t>
  </si>
  <si>
    <t>botafogo, palmeiras, atleta, vender, numero</t>
  </si>
  <si>
    <t>chelsea, tratamento, convocacao, maio, conversou</t>
  </si>
  <si>
    <t>neymar, polemicas, problemas, penso, selecao</t>
  </si>
  <si>
    <t>plano, familia, ponto, parte, saude</t>
  </si>
  <si>
    <t>coxa, sao paulo, roger, machado, pouquinho</t>
  </si>
  <si>
    <t>corinthians, brasil, lugar, ponto, precisa</t>
  </si>
  <si>
    <t>palmeiras, choroes, boto, profissionais, justamente</t>
  </si>
  <si>
    <t>corinthians, palmeiras, timao, fernando, diniz</t>
  </si>
  <si>
    <t>santos, neymar, marcelo, polemica, frase</t>
  </si>
  <si>
    <t>palmeiras, abel ferreira, abel, ferreira, suas</t>
  </si>
  <si>
    <t>flamengo, palmeiras, pensamento, clubes, racha</t>
  </si>
  <si>
    <t>palmeiras, saude, vitor, roque, flaco</t>
  </si>
  <si>
    <t>corinthians, bahia, vasco, internacional, sao paulo</t>
  </si>
  <si>
    <t>neymar, selecao, rafinha, pergunta, calar</t>
  </si>
  <si>
    <t>neymar, fazendo, leitura, fosse, ancelotti</t>
  </si>
  <si>
    <t>palmeiras, arbitragem, acaba, parece, polvora</t>
  </si>
  <si>
    <t>corinthians, politica, chega, novo, feito</t>
  </si>
  <si>
    <t>precisa, sao paulo, europa, experiencia, valladolid</t>
  </si>
  <si>
    <t>neymar, videogame, viciado, online, ficava</t>
  </si>
  <si>
    <t>santos, dorival, corinthians, trabalho, vezes</t>
  </si>
  <si>
    <t>tratamento, sao paulo, fato, lombar, dor</t>
  </si>
  <si>
    <t>corinthians, dorival, gremio, santos, flamengo</t>
  </si>
  <si>
    <t>palmeiras, vasco, problemas, laterais, abel</t>
  </si>
  <si>
    <t>verdao, palmeiras, vasco, murilo, zagueiro</t>
  </si>
  <si>
    <t>palmeiras, foram, rafinha, relacionamento, caroco</t>
  </si>
  <si>
    <t>botafogo, santos, fogao, pegar, errada</t>
  </si>
  <si>
    <t>mudar, cruzeiro, flamengo, brasileiro, esses</t>
  </si>
  <si>
    <t>flamengo, audio, tecnico, vaza, maracana</t>
  </si>
  <si>
    <t>palmeiras, gramado, sintetico, contrato, natural</t>
  </si>
  <si>
    <t>palmeiras, corinthians, santos, eliminou, enfrentar</t>
  </si>
  <si>
    <t>neymar, convocacao, manter, meio, frente</t>
  </si>
  <si>
    <t>corinthians, dorival, neymar, pai, amigos</t>
  </si>
  <si>
    <t>corinthians, fiel, idolo, tite, historia</t>
  </si>
  <si>
    <t>neymar, santos, parece, semifinal, paulista</t>
  </si>
  <si>
    <t>neymar, santos, divida, informacao, milhoes</t>
  </si>
  <si>
    <t>santos, neymar, thiago, salazar, felipe</t>
  </si>
  <si>
    <t>flamengo, carlinhos, jorge, jesus, brasileiro</t>
  </si>
  <si>
    <t>neymar, voivoda, santos, varias, nome</t>
  </si>
  <si>
    <t>corinthians, penalti, braco, mim, lance</t>
  </si>
  <si>
    <t>palmeiras, gerson, flamengo, cruzeiro, precisava</t>
  </si>
  <si>
    <t>corinthians, palmeiras, chega, vitoria, torcedor</t>
  </si>
  <si>
    <t>voivoda, santos, melhorando, hay, protestas</t>
  </si>
  <si>
    <t>santos, classico, treinadores, pede, chegar</t>
  </si>
  <si>
    <t>nba, destaque, grizzly, timber, wolves</t>
  </si>
  <si>
    <t>var, energia, minutos, caiu, cbf</t>
  </si>
  <si>
    <t>flamengo, paqueta, corinthians, meio, nivel</t>
  </si>
  <si>
    <t>mao, flamengo, lance, mim, proteger</t>
  </si>
  <si>
    <t>flamengo, rafinha, torcedor, sao paulo, pensa</t>
  </si>
  <si>
    <t>palmeiras, frangaco, flaco lopes, freitas, pereira</t>
  </si>
  <si>
    <t>rafinha, talvez, sao paulo, seguinte, relacionamento</t>
  </si>
  <si>
    <t>palmeiras, fiz, comentario, pessoas, conseguiu</t>
  </si>
  <si>
    <t>palmeiras, corinthians, diferenca, quatro, gols</t>
  </si>
  <si>
    <t>palmeiras, importante, base, consultoria, joga</t>
  </si>
  <si>
    <t>comme, dans, minutos, tranquila, senegal</t>
  </si>
  <si>
    <t>corinthians, dorival, alisson, sao paulo, entrar</t>
  </si>
  <si>
    <t>palmeiras, flamengo, torcedor, cruzeiro, entendo</t>
  </si>
  <si>
    <t>poder, brasil, trazer, selecao, tentar</t>
  </si>
  <si>
    <t>corinthians, punicao, fifa, acordo, mercado</t>
  </si>
  <si>
    <t>torcedor, sao paulo, pedido, passou, jogou</t>
  </si>
  <si>
    <t>acredito, palmeiras, aquela, desacreditado, nenhum</t>
  </si>
  <si>
    <t>santos, peixe, botafogo, segundo, fechar</t>
  </si>
  <si>
    <t>neymar, foram, jogos, gols, assistencias</t>
  </si>
  <si>
    <t>palmeiras, julio, casares, sao paulo, marcelo</t>
  </si>
  <si>
    <t>flamengo, palmeiras, chamado, corinthians, sao paulo</t>
  </si>
  <si>
    <t>palmeiras, barbosa, gomes, botafogo, seriam</t>
  </si>
  <si>
    <t>junho, informacao, sente, chegar, estara</t>
  </si>
  <si>
    <t>neymar, adolescente, pre, gerou, errada</t>
  </si>
  <si>
    <t>botafogo, plano, santos, fogao, corinthians</t>
  </si>
  <si>
    <t>quase, treino, lesao, marcos, antonio</t>
  </si>
  <si>
    <t>corinthians, palmeiras, sinal, copas, prioridade</t>
  </si>
  <si>
    <t>palmeiras, flamengo, boto, respeito, acham</t>
  </si>
  <si>
    <t>palmeiras, corinthians, envolve, abel, contar</t>
  </si>
  <si>
    <t>neymar, santos, galo, vila belmiro, atletico mineiro</t>
  </si>
  <si>
    <t>palmeiras, fluminense, abel, abel ferreira, sao paulo</t>
  </si>
  <si>
    <t>flamengo, corinthians, palmeiras, briga, cruzeiro</t>
  </si>
  <si>
    <t>santos, palmeiras, cristova, ponto, site</t>
  </si>
  <si>
    <t>coritiba, cruzeiro, corinthians, inicio, brasileirao</t>
  </si>
  <si>
    <t>neymar, selecao, problema, meio, joga</t>
  </si>
  <si>
    <t>neymar, dorival, aquelas, estar, errado</t>
  </si>
  <si>
    <t>arbitragem, incitar, torcedor, algo, legal</t>
  </si>
  <si>
    <t>temporada, cascavel, etapa, corrida, partir</t>
  </si>
  <si>
    <t>treinador, palmeiras, jorginho, conversando, brasil</t>
  </si>
  <si>
    <t>neymar, internacional, ouro, carreira, sendo</t>
  </si>
  <si>
    <t>LIBERTADORES</t>
  </si>
  <si>
    <t>cruzeiro, santos, grupo, flamengo, fluminense</t>
  </si>
  <si>
    <t>lucas, sao paulo, atletico mineiro, tratamento, ficou</t>
  </si>
  <si>
    <t>corinthians, favorito, oscila, chapeco, tecnicamente</t>
  </si>
  <si>
    <t>palmeiras, carlos, miguel, marcos, numero</t>
  </si>
  <si>
    <t>vasco, renato, gaucho, palmeiras, verdao</t>
  </si>
  <si>
    <t>flamengo, rafinha, sao paulo, treinador, melhora</t>
  </si>
  <si>
    <t>palmeiras, botafogo, credibilidade, leila pereira, poderia</t>
  </si>
  <si>
    <t>organiza, cruzeiro, campeonatos, cbf, entidade</t>
  </si>
  <si>
    <t>flamengo, diretoria, pedro, realmente, mostra</t>
  </si>
  <si>
    <t>bragantino, palmeiras, neymar, clube, estadio</t>
  </si>
  <si>
    <t>corinthians, santos, neymar, palmeiras, eliminou</t>
  </si>
  <si>
    <t>neymar, vasco, sair, nunca, pedir</t>
  </si>
  <si>
    <t>corinthians, tite, flamengo, cruzeiro, nunca</t>
  </si>
  <si>
    <t>santos, neymar, precisa, qual, aniversario</t>
  </si>
  <si>
    <t>santos, neymar, corinthians, erro, buscar</t>
  </si>
  <si>
    <t>santos, neymar, valor, milhoes, informacao</t>
  </si>
  <si>
    <t>santos, coutinho, vasco, corinthians, neymar</t>
  </si>
  <si>
    <t>corinthians, jorge, jesus, seis, andre</t>
  </si>
  <si>
    <t>neymar, falta, profissionalismo, entrou, quebrar</t>
  </si>
  <si>
    <t>mim, rosto, corpo, bragantino, braco</t>
  </si>
  <si>
    <t>internacional, palmeiras, abel ferreira, flaco lopes, beira rio</t>
  </si>
  <si>
    <t>palmeiras, fluminense, deve, mauricio, abel ferreira</t>
  </si>
  <si>
    <t>flamengo, palmeiras, corinthians, cruzeiro, barradao</t>
  </si>
  <si>
    <t>verdao, palmeiras, corinthians, segunda, feira</t>
  </si>
  <si>
    <t>corinthians, palmeiras, rafael, klaus, torcida</t>
  </si>
  <si>
    <t>neymar, voivoda, peixe, sao paulo, confirmo</t>
  </si>
  <si>
    <t>santos, neymar, voivoda, fortaleza, sao paulo</t>
  </si>
  <si>
    <t>peixe, santos, sao paulo, vila belmiro, quarta</t>
  </si>
  <si>
    <t>santos, bahia, estadio, jantaram, sao paulo</t>
  </si>
  <si>
    <t>flamengo, milan, milhoes, paqueta, chega</t>
  </si>
  <si>
    <t>flamengo, acreditar, rubro negro, sao paulo, pai</t>
  </si>
  <si>
    <t>corinthians, alisson, bahia, sao paulo, vila belmiro</t>
  </si>
  <si>
    <t>milan, gerente, sao paulo, rafinha, cargo</t>
  </si>
  <si>
    <t>carlos, frangaco, miguel, mim, entrou</t>
  </si>
  <si>
    <t>cuidado, tomar, sao paulo, brasileirao, repito</t>
  </si>
  <si>
    <t>palmeiras, bragantino, leila pereira, red bull bragantino, aquilo</t>
  </si>
  <si>
    <t>corinthians, martines, brasil, diretoria, comissao</t>
  </si>
  <si>
    <t>senegal, alguns, coletiva, imprensa, europa</t>
  </si>
  <si>
    <t>palmeiras, fluminense, arias, apuracao, gazeta</t>
  </si>
  <si>
    <t>palmeiras, grandes, base, atletas, enquanto</t>
  </si>
  <si>
    <t>estar, hendrick, lon, parte, tiver</t>
  </si>
  <si>
    <t>corinthians, acordo, fifa, taderes, clube</t>
  </si>
  <si>
    <t>menos, torcedor, negocio, sao paulo, favor</t>
  </si>
  <si>
    <t>almada, russia, cruzeiro, santos, palmeiras</t>
  </si>
  <si>
    <t>atletico mineiro, mandou, classificacao, mineiro, qfc</t>
  </si>
  <si>
    <t>neymar, precisa, focar, participar, minutos</t>
  </si>
  <si>
    <t>casares, julio, sao paulo, atual, mandatario</t>
  </si>
  <si>
    <t>neymar, santos, flamengo, cocar, frente</t>
  </si>
  <si>
    <t>palmeiras, corinthians, menino, carreira, andre</t>
  </si>
  <si>
    <t>sao paulo, danielzinho, substituto, marcos, antonio</t>
  </si>
  <si>
    <t>corinthians, punicao, fluminense, andre, salario</t>
  </si>
  <si>
    <t>palmeiras, joao, martins, abel, presidente</t>
  </si>
  <si>
    <t>palmeiras, corinthians, abel, menino, kelvin</t>
  </si>
  <si>
    <t>neymar, jogos, sabado, depende, atletico mineiro</t>
  </si>
  <si>
    <t>palmeiras, abel, ambiente, abel ferreira, ferreira</t>
  </si>
  <si>
    <t>cruzeiro, coxa, sao paulo, estreia, sulamericana</t>
  </si>
  <si>
    <t>palmeiras, aras, direita, tao, fluminense</t>
  </si>
  <si>
    <t>neymar, temos, rafinha, junior, selecao</t>
  </si>
  <si>
    <t>milan, corinthians, interesse, reais, possibilidade</t>
  </si>
  <si>
    <t>santos, gabigol, neymar, botafogo, peixe</t>
  </si>
  <si>
    <t>neymar, santos, cruzeiro, gazeta, data</t>
  </si>
  <si>
    <t>base, possa, profissional, rafinha, pulo</t>
  </si>
  <si>
    <t>poco, neymar, manchete, fundo, jornal</t>
  </si>
  <si>
    <t>flamengo, outro, gabriel, paulista, movimento</t>
  </si>
  <si>
    <t>palmeiras, brasileiros, libertadores, parece, ganhou</t>
  </si>
  <si>
    <t>palmeiras, corinthians, timao, flamengo, lucas</t>
  </si>
  <si>
    <t>meia, fone, bluetooth, voltmann, sentir</t>
  </si>
  <si>
    <t>palmeiras, verdao, disse, selecao, convocacao</t>
  </si>
  <si>
    <t>vasco, treinador, estilo, tentar, buscar</t>
  </si>
  <si>
    <t>corinthians, palmeiras, novidade, novela, opa</t>
  </si>
  <si>
    <t>abel, treinador, corinthians, palmeiras, confianca</t>
  </si>
  <si>
    <t>corinthians, votacao, jorge, voto, acontecendo</t>
  </si>
  <si>
    <t>flamengo, acaba, demissao, tornar, campeao</t>
  </si>
  <si>
    <t>informacao, gazeta, sao paulo, leva, confirmou</t>
  </si>
  <si>
    <t>palmeiras, corinthians, santos, eliminou, venceu</t>
  </si>
  <si>
    <t>neymar, flamengo, segundo, arbitro, cartao</t>
  </si>
  <si>
    <t>corinthians, dorival, cruzeiro, perfil, rodando</t>
  </si>
  <si>
    <t>corinthians, cruzeiro, flamengo, curioso, tite</t>
  </si>
  <si>
    <t>palmeiras, neymar, verdao, sao paulo, selecao</t>
  </si>
  <si>
    <t>santos, neymar, salazar, felipe, coutinho</t>
  </si>
  <si>
    <t>santos, peixe, milhoes, chega, segue</t>
  </si>
  <si>
    <t>neymar, voivoda, palmeiras, santos, fratura</t>
  </si>
  <si>
    <t>braco, colado, mao, penalti, camera</t>
  </si>
  <si>
    <t>palmeiras, fluminense, internacional, brasil, inter</t>
  </si>
  <si>
    <t>verdao, selecao, paraguai, naturalizar, paraguaio</t>
  </si>
  <si>
    <t>corinthians, sao paulo, exames, salazar, falta</t>
  </si>
  <si>
    <t>palmeiras, paulinho, retorno, passou, exames</t>
  </si>
  <si>
    <t>corinthians, palmeiras, meio, nunca, temos</t>
  </si>
  <si>
    <t>santos, voivoda, sao paulo, vila belmiro, lucas</t>
  </si>
  <si>
    <t>titulo, flamengo, santos, corinthians, exclusiva</t>
  </si>
  <si>
    <t>santos, palmeiras, galo, neymar, faixas</t>
  </si>
  <si>
    <t>corinthians, superacao, seco, foram, alguns</t>
  </si>
  <si>
    <t>flamengo, michael, corinthians, espaco, elenco</t>
  </si>
  <si>
    <t>plata, rafael, lado, abriu, placar</t>
  </si>
  <si>
    <t>corinthians, flamengo, alisson, entende, sao paulo</t>
  </si>
  <si>
    <t>problema, poder, cargo, sao paulo, funcao</t>
  </si>
  <si>
    <t>palmeiras, sao paulo, ofereceu, espaco, bonito</t>
  </si>
  <si>
    <t>santos, quero, rafinha, sao paulo, entendimento</t>
  </si>
  <si>
    <t>flamengo, bragantino, vasco, rubro negro, red bull bragantino</t>
  </si>
  <si>
    <t>corinthians, informacao, pessoas, salazar, martines</t>
  </si>
  <si>
    <t>penalti, cavou, senegal, mim, falta</t>
  </si>
  <si>
    <t>palmeiras, proposta, fluminense, exercer, preferencia</t>
  </si>
  <si>
    <t>palmeiras, abel ferreira, objetivo, potencial, briga</t>
  </si>
  <si>
    <t>sao paulo, luciano, precisa, dentro, chegar</t>
  </si>
  <si>
    <t>palmeiras, diretoria, piscadinha, mal, conseguir</t>
  </si>
  <si>
    <t>neymar, banco, selecao, dai, cabeca</t>
  </si>
  <si>
    <t>palmeiras, flamengo, jogos, uefa, punido</t>
  </si>
  <si>
    <t>corinthians, palmeiras, botafogo, tira, pai</t>
  </si>
  <si>
    <t>grau, perna, lesao, medicos, alguns</t>
  </si>
  <si>
    <t>joelho, dedicando, treinamentos, infelizmente, problema</t>
  </si>
  <si>
    <t>andre, conversa, diniz, chegou, garoto</t>
  </si>
  <si>
    <t>megaviril, homem, testosterona, falta, aliado</t>
  </si>
  <si>
    <t>corinthians, expulsao, andre, juvenil, multa</t>
  </si>
  <si>
    <t>palmeiras, flamengo, fluminense, mengao, corinthians</t>
  </si>
  <si>
    <t>corinthians, palmeiras, verdao, pressao, classico</t>
  </si>
  <si>
    <t>sao paulo, vao, reclamar, rescisao, racha</t>
  </si>
  <si>
    <t>corinthians, timao, flamengo, reincidencia, denuncia</t>
  </si>
  <si>
    <t>dorival, corinthians, sao paulo, escalacao, arboleta</t>
  </si>
  <si>
    <t>flamengo, palmeiras, fluminense, bahia, sao paulo</t>
  </si>
  <si>
    <t>coritiba, bahia, galo, corinthians, cabeca</t>
  </si>
  <si>
    <t>sport, selecao, brasil, protagonista, questao</t>
  </si>
  <si>
    <t>corinthians, andre, milan, proposta, qualquer</t>
  </si>
  <si>
    <t>neymar, santos, gabi, flamengo, remo</t>
  </si>
  <si>
    <t>santos, neymar, trabalho, pele, procedimento</t>
  </si>
  <si>
    <t>coxa, memphis, holanda, sao paulo, brasil</t>
  </si>
  <si>
    <t>santos, jogando, neymar, legal, queria</t>
  </si>
  <si>
    <t>daria, gabriel, paulista, boto, pente</t>
  </si>
  <si>
    <t>cruzeiro, grupo, morte, flamengo, fluminense</t>
  </si>
  <si>
    <t>dorival, lateral, jogando, garro, gramado</t>
  </si>
  <si>
    <t>corinthians, flamengo, coritiba, dorival, quanto</t>
  </si>
  <si>
    <t>palmeiras, posso, oportunidade, paraguaia, mauricio</t>
  </si>
  <si>
    <t>palmeiras, vasco, vitor, roque, abel ferreira</t>
  </si>
  <si>
    <t>corinthians, valor, dolares, pagamento, passou</t>
  </si>
  <si>
    <t>palmeiras, divergencias, presidente, diferente, partes</t>
  </si>
  <si>
    <t>corinthians, fiel, fluminense, flamengo, sao paulo</t>
  </si>
  <si>
    <t>elenco, cruzeiro, flamengo, felipe, luiz</t>
  </si>
  <si>
    <t>palmeiras, traumas, atacante, banco, reservas</t>
  </si>
  <si>
    <t>palmeiras, estar, robson, calendario, alem</t>
  </si>
  <si>
    <t>flamengo, felipe, luis, tacas, problema</t>
  </si>
  <si>
    <t>cruzeiro, corinthians, timao, tite, manda</t>
  </si>
  <si>
    <t>corinthians, tite, trabalhar, brasil, passou</t>
  </si>
  <si>
    <t>river, cude, rico, sao paulo, frente</t>
  </si>
  <si>
    <t>palmeiras, possibilidade, allianz, parque, jogos</t>
  </si>
  <si>
    <t>santos, divida, neymar, amor, impressao</t>
  </si>
  <si>
    <t>santos, gremio, gabriel, menino, oito</t>
  </si>
  <si>
    <t>neymar, santos, palmeiras, voivoda, sintetico</t>
  </si>
  <si>
    <t>coxa, bidon, lugar, penalti, tanta</t>
  </si>
  <si>
    <t>palmeiras, desempenho, corinthians, chegar, repetir</t>
  </si>
  <si>
    <t>palmeiras, mauricio, selecao, repente, proprio</t>
  </si>
  <si>
    <t>corinthians, flamengo, alan, atletico mineiro, vim</t>
  </si>
  <si>
    <t>palmeiras, fluminense, semana, sao paulo, desistiu</t>
  </si>
  <si>
    <t>corinthians, guerra, palmeiras, arbitro, perder</t>
  </si>
  <si>
    <t>santos, voivoda, sao paulo, chega, resultado</t>
  </si>
  <si>
    <t>corinthians, flamengo, potencia, leite, clube</t>
  </si>
  <si>
    <t>santos, neymar, cruzeiro, voivoda, gabigol</t>
  </si>
  <si>
    <t>santos, corinthians, marcacao, pressao, dorival</t>
  </si>
  <si>
    <t>flamengo, santos, sao paulo, sabado, classico</t>
  </si>
  <si>
    <t>corinthians, milhao, sao paulo, jose, pais</t>
  </si>
  <si>
    <t>comando, manda, sao paulo, praticamente, fraco</t>
  </si>
  <si>
    <t>palmeiras, corinthians, mim, posse, rafael</t>
  </si>
  <si>
    <t>murici, flamengo, sao paulo, relacionamento, tao</t>
  </si>
  <si>
    <t>vasco, leo, rubro negro, oportunidades, jardim</t>
  </si>
  <si>
    <t>dorival, venezuelano, voltou, exemplo, passaporte</t>
  </si>
  <si>
    <t>marroquino, temos, separar, senegal, prejudicado</t>
  </si>
  <si>
    <t>fluminense, palmeiras, flamengo, minimo, igualar</t>
  </si>
  <si>
    <t>palmeiras, dar, certo, opiniao, relacao</t>
  </si>
  <si>
    <t>titular, ligou, hendrick, lon, treinador</t>
  </si>
  <si>
    <t>corinthians, santos, clubes, relacao, existe</t>
  </si>
  <si>
    <t>luciano, luiz, sao paulo, clube, exemplo</t>
  </si>
  <si>
    <t>palmeiras, everton, gremio, botafogo, profissional</t>
  </si>
  <si>
    <t>flamengo, esperar, rodrigo, garro, outro</t>
  </si>
  <si>
    <t>neymar, santos, flamengo, dupla, repente</t>
  </si>
  <si>
    <t>corinthians, sao paulo, claro, vez, casares</t>
  </si>
  <si>
    <t>santos, peixe, bahia, racismo, ruim</t>
  </si>
  <si>
    <t>corinthians, desejo, empresa, confirmou, todas</t>
  </si>
  <si>
    <t>quase, ruptura, total, operar, considerada</t>
  </si>
  <si>
    <t>neymar, santos, zico, foco, focado</t>
  </si>
  <si>
    <t>corinthians, alan, igual, exatamente, evidente</t>
  </si>
  <si>
    <t>vao, selecionado, dinheiro, fraco, afeta</t>
  </si>
  <si>
    <t>corinthians, departamentos, alguns, clube, atencao</t>
  </si>
  <si>
    <t>palmeiras, corinthians, itaquera, flaco lopes, vitor</t>
  </si>
  <si>
    <t>clube, internacional, sao paulo, entende, pretende</t>
  </si>
  <si>
    <t>protagonismo, devolveu, povo, porem, juntamente</t>
  </si>
  <si>
    <t>dorival, roger, vencer, sao paulo, machado</t>
  </si>
  <si>
    <t>palmeiras, corinthians, abel, tranquilamente, quente</t>
  </si>
  <si>
    <t>coritiba, bahia, classico, perde, rogerio</t>
  </si>
  <si>
    <t>holanda, croacia, cuidado, continua, memphis</t>
  </si>
  <si>
    <t>dorival, corinthians, razao, milan, gremio</t>
  </si>
  <si>
    <t>santos, exercicio, parada, caras, algo</t>
  </si>
  <si>
    <t>neymar, santos, treinar, semana, jogos</t>
  </si>
  <si>
    <t>corinthians, dorival, semanas, pais, passaram</t>
  </si>
  <si>
    <t>santos, neymar, jogos, daria, adversario</t>
  </si>
  <si>
    <t>celular, usar, trabalho, reais, quase</t>
  </si>
  <si>
    <t>corinthians, palmeiras, escreve, penarol, terminar</t>
  </si>
  <si>
    <t>flamengo, sao paulo, titulares, domingo, sky</t>
  </si>
  <si>
    <t>palmeiras, gremio, mauricio, sao paulo, atletico mineiro</t>
  </si>
  <si>
    <t>vasco, palmeiras, abel ferreira, seja, tenha</t>
  </si>
  <si>
    <t>corinthians, marcelo, paz, pagar, situacao</t>
  </si>
  <si>
    <t>corinthians, timao, dorival, coritiba, torcida</t>
  </si>
  <si>
    <t>mengao, flamengo, leonardo, campeao, felipe</t>
  </si>
  <si>
    <t>flamengo, palmeiras, cruzeiro, abel ferreira, leonardo</t>
  </si>
  <si>
    <t>abel, ferreira, abel ferreira, dias, deve</t>
  </si>
  <si>
    <t>palmeiras, corinthians, botafogo, santos, timao</t>
  </si>
  <si>
    <t>flamengo, corinthians, palmeiras, bragantino, alan</t>
  </si>
  <si>
    <t>corinthians, dorival, cruzeiro, flamengo, mineiro</t>
  </si>
  <si>
    <t>treinador, crespo, domingos, atletico, proposta</t>
  </si>
  <si>
    <t>palmeiras, gramado, allianz, perda, abel ferreira</t>
  </si>
  <si>
    <t>galo, atletico mineiro, tecnico, mineiro, argentino</t>
  </si>
  <si>
    <t>santos, palmeiras, cruzeiro, flamengo, menino</t>
  </si>
  <si>
    <t>neymar, santos, voivoda, palmeiras, parece</t>
  </si>
  <si>
    <t>dorival, breno, bidon, corinthians, palmeiras</t>
  </si>
  <si>
    <t>palmeiras, mauricio, arias, chegada, inicialmente</t>
  </si>
  <si>
    <t>fluminense, palmeiras, jogadorzao, meio, fazia</t>
  </si>
  <si>
    <t>corinthians, flamengo, dorival, timao, mengao</t>
  </si>
  <si>
    <t>classico, literais, exatamente, aquela, joga</t>
  </si>
  <si>
    <t>santos, neymar, voivoda, vitoria, sete</t>
  </si>
  <si>
    <t>amigo, corinthians, estrutura, evoluindo, pessoas</t>
  </si>
  <si>
    <t>santos, voivoda, palmeiras, flamengo, neymar</t>
  </si>
  <si>
    <t>sao paulo, tricolor, lucas, ramon, lateral</t>
  </si>
  <si>
    <t>corinthians, flamengo, internacional, jogando, sao paulo</t>
  </si>
  <si>
    <t>flamengo, virada, sao paulo, comeco, cima</t>
  </si>
  <si>
    <t>corinthians, conversar, lugar, sao paulo, outro</t>
  </si>
  <si>
    <t>palmeiras, cruzeiro, galo, nenhum, quarta</t>
  </si>
  <si>
    <t>diretoria, amanha, sao paulo, rafinha, saber</t>
  </si>
  <si>
    <t>flamengo, vasco, glorioso, carioca, chama</t>
  </si>
  <si>
    <t>corinthians, dorival, mim, deveria, quarta</t>
  </si>
  <si>
    <t>santos, punicao, envolvidos, buscar, tivesse</t>
  </si>
  <si>
    <t>palmeiras, flamengo, fluminense, arias, proposta</t>
  </si>
  <si>
    <t>palmeiras, esses, contrato, repente, junta</t>
  </si>
  <si>
    <t>palmeiras, santos, verdao, escalacao, banco</t>
  </si>
  <si>
    <t>corinthians, fifa, exatamente, quebrou, acordo</t>
  </si>
  <si>
    <t>entrando, sao paulo, acontecendo, assiste, dentro</t>
  </si>
  <si>
    <t>palmeiras, bahia, gremio, uniforme, camisas</t>
  </si>
  <si>
    <t>flamengo, cruzeiro, caio, jorge, mostrando</t>
  </si>
  <si>
    <t>dar, neymar, cruzeiro, peixe, questao</t>
  </si>
  <si>
    <t>presidente, oposicao, sao paulo, paulino, situacao</t>
  </si>
  <si>
    <t>neymar, bahia, santos, taciano, gabigol</t>
  </si>
  <si>
    <t>corinthians, timao, memphis, pai, rotativa</t>
  </si>
  <si>
    <t>quiser, pessimista, entrar, jovem, questao</t>
  </si>
  <si>
    <t>neymar, santos, peixe, coritiba, vila belmiro</t>
  </si>
  <si>
    <t>corinthians, jersey, fifa, transporte, durante</t>
  </si>
  <si>
    <t>vasco, corinthians, palmeiras, cruzmaltino, timao</t>
  </si>
  <si>
    <t>autocontrole, andre, expulso, matheuzinho, diniz</t>
  </si>
  <si>
    <t>corinthians, coxa, medico, fernando, diniz</t>
  </si>
  <si>
    <t>corinthians, palmeiras, abel ferreira, abel, igual</t>
  </si>
  <si>
    <t>clube, saude, entrou, tranquilidade, justamente</t>
  </si>
  <si>
    <t>timao, bancada, salazar, suite, presidencial</t>
  </si>
  <si>
    <t>dorival, santos, corinthians, peixe, vila belmiro</t>
  </si>
  <si>
    <t>santos, corinthians, flamengo, rubronegro, tabela</t>
  </si>
  <si>
    <t>comeca, neymar, falaram, horas, adianta</t>
  </si>
  <si>
    <t>corinthians, tratamento, tentar, artilheiro, historia</t>
  </si>
  <si>
    <t>dorival, corinthians, segurar, venda, precisa</t>
  </si>
  <si>
    <t>palmeiras, roger, sao paulo, atletico mineiro, pressao</t>
  </si>
  <si>
    <t>neymar, santos, flamengo, galo, meia</t>
  </si>
  <si>
    <t>corinthians, holanda, certo, desconfianca, seria</t>
  </si>
  <si>
    <t>santos, selecao, gosta, vaga, vao</t>
  </si>
  <si>
    <t>valores, ligue, whatsapp, espere, equipe</t>
  </si>
  <si>
    <t>corinthians, flamengo, internacional, coritiba, grupo</t>
  </si>
  <si>
    <t>corinthians, lugar, galo, assiste, outro</t>
  </si>
  <si>
    <t>santos, internacional, verissimo, vila belmiro, vez</t>
  </si>
  <si>
    <t>consultoria, whatsapp, mauricio, legal, ligue</t>
  </si>
  <si>
    <t>palmeiras, corinthians, abel ferreira, infelizmente, brasil</t>
  </si>
  <si>
    <t>tal, flamengo, banco, luis, felipe</t>
  </si>
  <si>
    <t>palmeiras, fortaleza, estadio, neste, diferente</t>
  </si>
  <si>
    <t>sao paulo, senti, tive, victor, rock</t>
  </si>
  <si>
    <t>corinthians, botafogo, neto, tecnico, goleiro</t>
  </si>
  <si>
    <t>palmeiras, coloca, zagueiro, domingo, diante</t>
  </si>
  <si>
    <t>dorival, corinthians, palmeiras, cruzeiro, choka</t>
  </si>
  <si>
    <t>proposta, corinthians, flamengo, ideia, mudar</t>
  </si>
  <si>
    <t>palmeiras, bragantino, sao paulo, segundo, gustavo</t>
  </si>
  <si>
    <t>dorival, corinthians, algumas, escalacao, sintetico</t>
  </si>
  <si>
    <t>corinthians, garro, logico, titular, aceitar</t>
  </si>
  <si>
    <t>flamengo, santos, cruzeiro, precisa, atletico mineiro</t>
  </si>
  <si>
    <t>neymar, bahia, santos, sao paulo, imagem</t>
  </si>
  <si>
    <t>corinthians, dorival, flamengo, falta, bidon</t>
  </si>
  <si>
    <t>palmeiras, passado, nova, abel, algumas</t>
  </si>
  <si>
    <t>palmeiras, gerson, fluminense, chama, responsabilidade</t>
  </si>
  <si>
    <t>flamengo, corinthians, fiel, clube, durante</t>
  </si>
  <si>
    <t>palmeiras, nino, corinthians, possa, qualidade</t>
  </si>
  <si>
    <t>corinthians, palmeiras, clima, derby, joga</t>
  </si>
  <si>
    <t>palmeiras, corinthians, mesa, redonda, silvestre</t>
  </si>
  <si>
    <t>santos, neymar, tiquinho, junto, cuca</t>
  </si>
  <si>
    <t>lucas, ramon, miracol, sao paulo, libera</t>
  </si>
  <si>
    <t>flamengo, corinthians, lado, porcentagem, caras</t>
  </si>
  <si>
    <t>flamengo, queria, fluminense, segundo, sao paulo</t>
  </si>
  <si>
    <t>sao paulo, falei, presidente, proprios, falaram</t>
  </si>
  <si>
    <t>palmeiras, botafogo, encaixou, encaixa, sao paulo</t>
  </si>
  <si>
    <t>palmeiras, lucas, moura, sao paulo, amanha</t>
  </si>
  <si>
    <t>flamengo, importante, carioca, expulso, rebaixamento</t>
  </si>
  <si>
    <t>corinthians, andre, sanchez, salazar, aconteceu</t>
  </si>
  <si>
    <t>peixe, defesa, arqueiro, guarani, acabado</t>
  </si>
  <si>
    <t>palmeiras, questao, plano, aquela, arias</t>
  </si>
  <si>
    <t>palmeiras, flamengo, abel, acaba, diretoria</t>
  </si>
  <si>
    <t>palmeiras, santos, gremio, verdao, goleiros</t>
  </si>
  <si>
    <t>sao paulo, tendiam, acontecer, existe, dialogo</t>
  </si>
  <si>
    <t>branca, corinthians, santos, verde, perto</t>
  </si>
  <si>
    <t>flamengo, pedro, cruzeiro, milhoes, caio</t>
  </si>
  <si>
    <t>cruzeiro, dar, quero, trabalho, tit</t>
  </si>
  <si>
    <t>conselho, consultivo, julio, casares, sao paulo</t>
  </si>
  <si>
    <t>bahia, corinthians, santos, vasco, frente</t>
  </si>
  <si>
    <t>palmeiras, corinthians, abel ferreira, tecnico, patrocinio</t>
  </si>
  <si>
    <t>santos, brasil, mim, laser, infravermelha</t>
  </si>
  <si>
    <t>neymar, santos, gabriel, brasao, duvida</t>
  </si>
  <si>
    <t>corinthians, libertadores, hugo, souza, matheuzinho</t>
  </si>
  <si>
    <t>comeca, tentar, puniu, andre, imagem</t>
  </si>
  <si>
    <t>erros, corinthians, palmeiras, mendes, diniz</t>
  </si>
  <si>
    <t>jogando, garoto, mal, desconto, alex</t>
  </si>
  <si>
    <t>plano, seus, gostoso, cantinho, tela</t>
  </si>
  <si>
    <t>corinthians, pessoas, pai, relatos, semelhanca</t>
  </si>
  <si>
    <t>santos, transparencia, contrato, valor, camuflado</t>
  </si>
  <si>
    <t>corinthians, santos, diniz, dorival, atras</t>
  </si>
  <si>
    <t>internacional, roger, sao paulo, escalacao, escolhidos</t>
  </si>
  <si>
    <t>lesao, coxa, direita, grau, certo</t>
  </si>
  <si>
    <t>neymar, atrapalha, corinthians, andre, dorival</t>
  </si>
  <si>
    <t>internacional, contusao, lucas, moura, acelerou</t>
  </si>
  <si>
    <t>santos, neymar, palmeiras, abel, ferreira</t>
  </si>
  <si>
    <t>galo, yuri, alberto, cabeca, precisa</t>
  </si>
  <si>
    <t>quero, estando, sao paulo, chamado, selecao</t>
  </si>
  <si>
    <t>corinthians, flamengo, mens, celular, banco</t>
  </si>
  <si>
    <t>flamengo, palmeiras, maracana, libertadores, classificar</t>
  </si>
  <si>
    <t>dorival, corinthians, flamengo, outro, passado</t>
  </si>
  <si>
    <t>corinthians, internacional, santos, verissimo, vila belmiro</t>
  </si>
  <si>
    <t>palmeiras, selecao, gomes, paraguaia, mauricio</t>
  </si>
  <si>
    <t>palmeiras, vasco, joga, conseguiu, poucas</t>
  </si>
  <si>
    <t>corinthians, dorival, deve, estar, questao</t>
  </si>
  <si>
    <t>palmeiras, vasco, grupo, abel ferreira, luis</t>
  </si>
  <si>
    <t>palmeiras, alians, park, barueri, nivel</t>
  </si>
  <si>
    <t>palmeiras, victor, rock, corinthians, flaco lopes</t>
  </si>
  <si>
    <t>idade, fabio, ritmo, goleiro, hugo</t>
  </si>
  <si>
    <t>alan, franco, mexeria, sao paulo, dando</t>
  </si>
  <si>
    <t>palmeiras, gramado, chance, paulista, allianz</t>
  </si>
  <si>
    <t>corinthians, trabalhar, clube, qual, profissional</t>
  </si>
  <si>
    <t>atitude, admitir, menos, erro, fecha</t>
  </si>
  <si>
    <t>corinthians, dorival, escalacao, falta, bidon</t>
  </si>
  <si>
    <t>neymar, acha, condicao, fico, chamado</t>
  </si>
  <si>
    <t>palmeiras, internacional, penalti, abel ferreira, sao paulo</t>
  </si>
  <si>
    <t>palmeiras, nino, maior, arias, meio</t>
  </si>
  <si>
    <t>palmeiras, corinthians, gremio, santos, arias</t>
  </si>
  <si>
    <t>corinthians, flamengo, dorival, atletico mineiro, alan</t>
  </si>
  <si>
    <t>palmeiras, camisa, durante, lateral, direito</t>
  </si>
  <si>
    <t>corinthians, derby, palmeiras, itaquera, maior</t>
  </si>
  <si>
    <t>corinthians, alisson, caras, negociacao, situacao</t>
  </si>
  <si>
    <t>palmeiras, botafogo, danilo, nino, negociar</t>
  </si>
  <si>
    <t>palmeiras, santos, rafael, veiga, forma</t>
  </si>
  <si>
    <t>titular, palmeiras, corinthians, santos, jogou</t>
  </si>
  <si>
    <t>corinthians, flamengo, super, campeao, quanto</t>
  </si>
  <si>
    <t>flamengo, sao paulo, temporada, voltou, carioca</t>
  </si>
  <si>
    <t>treinador, corinthians, relacionamento, crespo, partiu</t>
  </si>
  <si>
    <t>flamengo, clube, crespo, tecnico, escolher</t>
  </si>
  <si>
    <t>outro, sao paulo, diferentes, tenta, encaixar</t>
  </si>
  <si>
    <t>gramado, sintetico, palmeiras, sao paulo, conseguiu</t>
  </si>
  <si>
    <t>flamengo, paqueta, milhoes, quadrangular, oferta</t>
  </si>
  <si>
    <t>comissao, etica, corinthians, real, santos</t>
  </si>
  <si>
    <t>embora, seguranca, conduta, estado, aconteceu</t>
  </si>
  <si>
    <t>santos, taciano, peixe, milagre, brasao</t>
  </si>
  <si>
    <t>palmeiras, alan, abel ferreira, almada, jogando</t>
  </si>
  <si>
    <t>palmeiras, flamengo, visto, penaltis, erro</t>
  </si>
  <si>
    <t>palmeiras, titular, rodizio, emiliano, coloca</t>
  </si>
  <si>
    <t>dentro, flamengo, temporada, sao paulo, trabalhar</t>
  </si>
  <si>
    <t>corinthians, itaquera, precisa, palmeiras, flamengo</t>
  </si>
  <si>
    <t>santos, flamengo, peixe, clube, historia</t>
  </si>
  <si>
    <t>cruzeiro, flamengo, caio, jorge, profissional</t>
  </si>
  <si>
    <t>cruzeiro, tit, gabigl, dirigentes, sabiam</t>
  </si>
  <si>
    <t>conselho, julio, casares, sao paulo, consultivo</t>
  </si>
  <si>
    <t>corinthians, vasco, brasil, goleiro, caue</t>
  </si>
  <si>
    <t>palmeiras, flaco lopes, vitor, roque, murilo</t>
  </si>
  <si>
    <t>neymar, santos, coritiba, fluminense, vila belmiro</t>
  </si>
  <si>
    <t>santos, bahia, corinthians, neymar, titular</t>
  </si>
  <si>
    <t>sky, brasil, prime, programacao, plano</t>
  </si>
  <si>
    <t>senhora, corinthians, fraco, cheia, obrigada</t>
  </si>
  <si>
    <t>formula, homem, saude, megaviril, equilibrio</t>
  </si>
  <si>
    <t>palmeiras, corinthians, meio, mostrou, alan</t>
  </si>
  <si>
    <t>palmeiras, arboleta, sao paulo, volta, confusao</t>
  </si>
  <si>
    <t>corinthians, pai, maneira, alguns, tentou</t>
  </si>
  <si>
    <t>neymar, santos, marcelo, teixeira, peixe</t>
  </si>
  <si>
    <t>santos, neymar, base, garantia, diretoria</t>
  </si>
  <si>
    <t>arthur, sao paulo, roger, alem, colocar</t>
  </si>
  <si>
    <t>corinthians, monte, situacao, aperta, camisa</t>
  </si>
  <si>
    <t>corinthians, dinheiro, andre, precisa, realidade</t>
  </si>
  <si>
    <t>arthur, botafogo, palmeiras, janela, fecha</t>
  </si>
  <si>
    <t>palmeiras, verdao, jogos, abel ferreira, alguns</t>
  </si>
  <si>
    <t>coxa, problema, sofazinho, estadia, maca</t>
  </si>
  <si>
    <t>descendente, sao paulo, gabriel, europa, triste</t>
  </si>
  <si>
    <t>parte, rapidamente, elenco, folga, pausa</t>
  </si>
  <si>
    <t>fluminense, palmeiras, comeca, argentino, tradicao</t>
  </si>
  <si>
    <t>flamengo, corinthians, dorival, chapeco, sao paulo</t>
  </si>
  <si>
    <t>santos, neymar, questao, sofre, colocar</t>
  </si>
  <si>
    <t>corinthians, santos, coritiba, timao, vila belmiro</t>
  </si>
  <si>
    <t>corinthians, palmeiras, dorival, timao, coritiba</t>
  </si>
  <si>
    <t>palmeiras, gramado, corinthians, allianz, parque</t>
  </si>
  <si>
    <t>sabendo, sao paulo, brasileiro, independente, adequar</t>
  </si>
  <si>
    <t>palmeiras, comemorar, estavam, elenco, principais</t>
  </si>
  <si>
    <t>palmeiras, chegar, estacionamento, filhos, park</t>
  </si>
  <si>
    <t>rock, palmeiras, victor, corinthians, zagueiro</t>
  </si>
  <si>
    <t>hugo, goleiro, experiencia, titular, imprensa</t>
  </si>
  <si>
    <t>palmeiras, palpite, morumbi, guarani, sao paulo</t>
  </si>
  <si>
    <t>palmeiras, gramado, fluminense, pronto, imagens</t>
  </si>
  <si>
    <t>corinthians, cruzeiro, certo, coritiba, cassio</t>
  </si>
  <si>
    <t>palmeiras, corinthians, timao, zacarias, ceara</t>
  </si>
  <si>
    <t>yuri, timao, corinthians, coxa, flamengo</t>
  </si>
  <si>
    <t>corinthians, timao, garro, furacao, vasco</t>
  </si>
  <si>
    <t>santos, neymar, corinthians, voivoda, salazar</t>
  </si>
  <si>
    <t>palmeiras, favor, verdao, penaltis, abel ferreira</t>
  </si>
  <si>
    <t>gerson, flamengo, aras, cruzeiro, palmeiras</t>
  </si>
  <si>
    <t>alisson, corinthians, relacao, crespo, acontecendo</t>
  </si>
  <si>
    <t>flamengo, corinthians, milan, paulista, nota</t>
  </si>
  <si>
    <t>timao, palmeiras, meio, marlon, flaco</t>
  </si>
  <si>
    <t>dorival, corinthians, palmeiras, memphis, tecnico</t>
  </si>
  <si>
    <t>santos, marcos, antonio, sao paulo, vila belmiro</t>
  </si>
  <si>
    <t>palmeiras, fluminense, overhampton, proposta, abel ferreira</t>
  </si>
  <si>
    <t>palmeiras, veiga, vivendo, apesar, inicio</t>
  </si>
  <si>
    <t>santos, corinthians, sao paulo, tranquilamente, vitoria</t>
  </si>
  <si>
    <t>corinthians, flamengo, palmeiras, verdao, jose</t>
  </si>
  <si>
    <t>flamengo, corinthians, crespo, tentando, sao paulo</t>
  </si>
  <si>
    <t>dorival, corinthians, jogos, sao paulo, passado</t>
  </si>
  <si>
    <t>santos, temos, sao paulo, tentar, pensar</t>
  </si>
  <si>
    <t>decisao, crespo, sao paulo, risco, maior</t>
  </si>
  <si>
    <t>flamengo, galo, ficou, bravo, eleva</t>
  </si>
  <si>
    <t>sao paulo, rebotes, assistencias, morumbis, jose</t>
  </si>
  <si>
    <t>palmeiras, michele, policial, acompanhar, imagens</t>
  </si>
  <si>
    <t>corinthians, vila belmiro, una, sancao, amarga</t>
  </si>
  <si>
    <t>cinco, palmeiras, oito, outro, precisa</t>
  </si>
  <si>
    <t>mudancas, sao paulo, morumbis, trazer, lateral</t>
  </si>
  <si>
    <t>santos, sao paulo, doria, varias, seis</t>
  </si>
  <si>
    <t>palmeiras, brasileirao, precisa, sao paulo, ideias</t>
  </si>
  <si>
    <t>santos, peixe, vila belmiro, brzao, brasileiro</t>
  </si>
  <si>
    <t>cruzeiro, flamengo, clube, raposa, gerson</t>
  </si>
  <si>
    <t>flamengo, palmeiras, clubes, sao paulo, policia</t>
  </si>
  <si>
    <t>corinthians, vasco, diniz, pego, oportunidade</t>
  </si>
  <si>
    <t>palmeiras, ritmo, felipe, anderson, vitor</t>
  </si>
  <si>
    <t>neymar, cresce, chance, espaco, estevam</t>
  </si>
  <si>
    <t>neymar, santos, coritiba, bahia, palmeiras</t>
  </si>
  <si>
    <t>neymar, sky, onde, quiser, travar</t>
  </si>
  <si>
    <t>corinthians, vasco, estar, gremio, santa</t>
  </si>
  <si>
    <t>mega, caneco, atencao, viril, original</t>
  </si>
  <si>
    <t>corinthians, meio, rebaixamento, marcacao, marlon</t>
  </si>
  <si>
    <t>moleque, clube, sao paulo, profissional, quase</t>
  </si>
  <si>
    <t>corinthians, pai, mete, incomodo, estafe</t>
  </si>
  <si>
    <t>santos, neymar, corinthians, desespero, parceria</t>
  </si>
  <si>
    <t>neymar, santos, cruzeiro, arboleta, escrito</t>
  </si>
  <si>
    <t>corinthians, neymar, santos, lesoes, memphis</t>
  </si>
  <si>
    <t>andre, vender, corinthians, repor, parte</t>
  </si>
  <si>
    <t>botafogo, sao paulo, situacao, meio, catar</t>
  </si>
  <si>
    <t>palmeiras, abel, suspender, nele, pronto</t>
  </si>
  <si>
    <t>coritiba, selecao, neymar, santos, convocacao</t>
  </si>
  <si>
    <t>corinthians, coxa, selecao, qualquer, forma</t>
  </si>
  <si>
    <t>corinthians, flamengo, estar, regra, escudo</t>
  </si>
  <si>
    <t>corinthians, sao paulo, presidente, declaracao, onde</t>
  </si>
  <si>
    <t>botafogo, corinthians, palmeiras, santos, conta</t>
  </si>
  <si>
    <t>neymar, corinthians, coritiba, dorival, empate</t>
  </si>
  <si>
    <t>corinthians, santos, yuri, alberto, vao</t>
  </si>
  <si>
    <t>luan, santana, gramado, gosta, dias</t>
  </si>
  <si>
    <t>sao paulo, nunca, possivel, desenvolver, trabalho</t>
  </si>
  <si>
    <t>palmeiras, campeao, vida, pega, comemorando</t>
  </si>
  <si>
    <t>palmeiras, numero, turno, mostrar, brasileiro</t>
  </si>
  <si>
    <t>corinthians, milan, dorival, negociacao, climao</t>
  </si>
  <si>
    <t>palmeiras, corinthians, sao paulo, desmontar, palco</t>
  </si>
  <si>
    <t>corinthians, vasco, maior, mim, qual</t>
  </si>
  <si>
    <t>trazer, alguns, milhoes, orcamento, cuidado</t>
  </si>
  <si>
    <t>corinthians, entendo, pedro, raul, vitinho</t>
  </si>
  <si>
    <t>vitinho, caio, guinegao, chegou, cesar</t>
  </si>
  <si>
    <t>palmeiras, bahia, sao paulo, vistoria, salazar</t>
  </si>
  <si>
    <t>corinthians, martines, informacao, exclusiva, clube</t>
  </si>
  <si>
    <t>penalti, palmeiras, mostrar, abel, coincidencia</t>
  </si>
  <si>
    <t>palmeiras, fluminense, conduziu, cerebro, ganso</t>
  </si>
  <si>
    <t>dorival, flamengo, corinthians, sao paulo, bidon</t>
  </si>
  <si>
    <t>memphis, dorival, corinthians, palmeiras, junior</t>
  </si>
  <si>
    <t>corinthians, palmeiras, classico, hugo, abel ferreira</t>
  </si>
  <si>
    <t>marcos, antonio, flamengo, compra, sao paulo</t>
  </si>
  <si>
    <t>palmeiras, necessidade, dinheiro, milhoes, nino</t>
  </si>
  <si>
    <t>palmeiras, volta, gols, abel, rafael</t>
  </si>
  <si>
    <t>santos, situacao, rebaixamento, rodadas, sao paulo</t>
  </si>
  <si>
    <t>flamengo, ponto, contato, sao paulo, arrascaeta</t>
  </si>
  <si>
    <t>danielzinho, dorival, chega, marco, juntos</t>
  </si>
  <si>
    <t>grupo, corinthians, timao, declaracao, reflete</t>
  </si>
  <si>
    <t>sao paulo, ganem, crespo, personagens, tao</t>
  </si>
  <si>
    <t>santos, neymar, palmeiras, corinthians, sao paulo</t>
  </si>
  <si>
    <t>conversaram, verdade, meio, argumento, achei</t>
  </si>
  <si>
    <t>sao paulo, tela, rafael, lateral, menino</t>
  </si>
  <si>
    <t>palmeiras, lomba, jogando, abel ferreira, abel</t>
  </si>
  <si>
    <t>santos, peixe, vila belmiro, parte, topo</t>
  </si>
  <si>
    <t>cinco, rafael, palmeiras, quente, exatamente</t>
  </si>
  <si>
    <t>ferreirinha, sao paulo, deve, formando, lateral</t>
  </si>
  <si>
    <t>palmeiras, temporada, titular, abel, inicio</t>
  </si>
  <si>
    <t>verdao, palmeiras, santos, vior, abel ferreira</t>
  </si>
  <si>
    <t>santos, peixe, vila belmiro, voltar, enquanto</t>
  </si>
  <si>
    <t>flamengo, cruzeiro, voltar, claro, mim</t>
  </si>
  <si>
    <t>flamengo, corinthians, festa, tito, tit</t>
  </si>
  <si>
    <t>investigacao, fiel, sao paulo, ultimos, casares</t>
  </si>
  <si>
    <t>corinthians, vasco, zona, rebaixamento, embaixo</t>
  </si>
  <si>
    <t>palmeiras, inclusive, tendencia, adequado, acabando</t>
  </si>
  <si>
    <t>neymar, vasco, convocado, cresce, acha</t>
  </si>
  <si>
    <t>clube, palmeiras, felipe, anderson, ultimos</t>
  </si>
  <si>
    <t>neymar, santos, mesa, partidas, amarelos</t>
  </si>
  <si>
    <t>corinthians, torcedores, creio, vez, tom</t>
  </si>
  <si>
    <t>sao paulo, devolve, dinheiro, gazeta, trazer</t>
  </si>
  <si>
    <t>corinthians, palmeiras, domingo, pau, dando</t>
  </si>
  <si>
    <t>sao paulo, sai, fonseca, desperdicando, oportunidade</t>
  </si>
  <si>
    <t>corinthians, outro, parte, elenco, rachado</t>
  </si>
  <si>
    <t>santos, caras, torcedor, certo, errado</t>
  </si>
  <si>
    <t>cruzeiro, sao paulo, situacao, contato, apresentou</t>
  </si>
  <si>
    <t>precisa, botafogo, bahia, velocidade, arthur</t>
  </si>
  <si>
    <t>palmeiras, flaco lopes, camisa, podemos, esquecer</t>
  </si>
  <si>
    <t>dorival, corinthians, gremio, vejo, qualidade</t>
  </si>
  <si>
    <t>palmeiras, abel, abel ferreira, certissimo, ferreira</t>
  </si>
  <si>
    <t>palmeiras, fralda, cheia, corinthians, expulso</t>
  </si>
  <si>
    <t>decisao, normal, opiniao, escuto, tomo</t>
  </si>
  <si>
    <t>corinthians, futsal, iral, alberto, pai</t>
  </si>
  <si>
    <t>corinthians, flamengo, selecao, holandesa, artigo</t>
  </si>
  <si>
    <t>avaliando, gosto, muller, deixa, banco</t>
  </si>
  <si>
    <t>neymar, dorival, corinthians, vila, belmiro</t>
  </si>
  <si>
    <t>falo, palmeiras, corinthians, yuri, alberto</t>
  </si>
  <si>
    <t>palmeiras, verdao, gramado, modelo, certeza</t>
  </si>
  <si>
    <t>contrato, roger, sao paulo, mandato, presidente</t>
  </si>
  <si>
    <t>palmeiras, legal, novo, horizontino, paulistao</t>
  </si>
  <si>
    <t>corinthians, milan, nenhum, assinou, entende</t>
  </si>
  <si>
    <t>corinthians, timao, horizontino, aquela, trote</t>
  </si>
  <si>
    <t>palmeiras, gramado, reforco, tanto, outra</t>
  </si>
  <si>
    <t>marcelinho, cassio, socrates, mundial, maior</t>
  </si>
  <si>
    <t>fluminense, timao, fiel, cruzeiro, dorival</t>
  </si>
  <si>
    <t>corinthians, dorival, yuri, falta, mal</t>
  </si>
  <si>
    <t>dorival, corinthians, vitinho, memphis, funcionar</t>
  </si>
  <si>
    <t>bragantino, bahia, fiz, sao paulo, red bull bragantino</t>
  </si>
  <si>
    <t>palmeiras, temporada, carlos, miguel, aqueles</t>
  </si>
  <si>
    <t>corinthians, poderia, decisao, dorival, lamento</t>
  </si>
  <si>
    <t>paulinho, quero, veio, palmeiras, pegar</t>
  </si>
  <si>
    <t>vasco, alisson, corinthians, sao paulo, traidor</t>
  </si>
  <si>
    <t>ponte, preta, paulista, domingo, mando</t>
  </si>
  <si>
    <t>alisson, corinthians, crespo, banco, sao paulo</t>
  </si>
  <si>
    <t>abel, participa, pega, soca, quero</t>
  </si>
  <si>
    <t>palmeiras, flamengo, corinthians, abel ferreira, vega</t>
  </si>
  <si>
    <t>santos, velo, clube, bragantino, noroeste</t>
  </si>
  <si>
    <t>palmeiras, flamengo, gremio, veiga, mexicano</t>
  </si>
  <si>
    <t>mim, perna, arrascaeta, alan, franco</t>
  </si>
  <si>
    <t>corinthians, memphis, junho, continuar, provavelmente</t>
  </si>
  <si>
    <t>corinthians, timao, hector, espanhol, passado</t>
  </si>
  <si>
    <t>crespo, sao paulo, harry, jogos, tomou</t>
  </si>
  <si>
    <t>corinthians, dorival, pagar, santos, timao</t>
  </si>
  <si>
    <t>ficou, munique, desnecessario, dormindo, ofendido</t>
  </si>
  <si>
    <t>palmeiras, sao paulo, ajudar, entendo, principalmente</t>
  </si>
  <si>
    <t>palmeiras, flaco lopes, sao paulo, novo, horizontino</t>
  </si>
  <si>
    <t>voivoda, santos, corinthians, taciano, sairia</t>
  </si>
  <si>
    <t>sao paulo, gostei, zagueiros, pressao, danada</t>
  </si>
  <si>
    <t>santos, palmeiras, problema, respaldado, jogou</t>
  </si>
  <si>
    <t>sao paulo, precisa, meia, dinheiro, compra</t>
  </si>
  <si>
    <t>palmeiras, fraco, milhoes, ficou, lado</t>
  </si>
  <si>
    <t>santos, peixe, souza, milhoes, parte</t>
  </si>
  <si>
    <t>treinador, tive, outra, dormia, causa</t>
  </si>
  <si>
    <t>eleicao, sao paulo, uniformizadas, presidente, politicamente</t>
  </si>
  <si>
    <t>sao paulo, juros, tricolor, amanha, rafael</t>
  </si>
  <si>
    <t>COPA DO BRASIL</t>
  </si>
  <si>
    <t>bragantino, fortaleza, castelao, leao do pici, brasil</t>
  </si>
  <si>
    <t>neymar, santos, criticas, corinthians, bahia</t>
  </si>
  <si>
    <t>clube, menos, porem, ideia, nenhum</t>
  </si>
  <si>
    <t>neymar, tantas, numeros, numero, chama</t>
  </si>
  <si>
    <t>gazeta, jornal, novo, joao, fonseca</t>
  </si>
  <si>
    <t>sao paulo, lideranca, grupo, sulamericana, estreia</t>
  </si>
  <si>
    <t>neymar, peixe, mes, carlos, ancelotti</t>
  </si>
  <si>
    <t>corinthians, bastidores, acontecendo, apuracao, comissao</t>
  </si>
  <si>
    <t>dorival, corinthians, contratacao, ficou, junior</t>
  </si>
  <si>
    <t>santos, cruzeiro, presidente, roger, machado</t>
  </si>
  <si>
    <t>corinthians, clube, arboleta, sao paulo, diretoria</t>
  </si>
  <si>
    <t>internacional, gremio, vasco, corinthians, lugar</t>
  </si>
  <si>
    <t>neymar, santos, palmeiras, corinthians, sao paulo</t>
  </si>
  <si>
    <t>corinthians, dorival, palmeiras, horas, impor</t>
  </si>
  <si>
    <t>palmeiras, abel ferreira, crise, deveria, estar</t>
  </si>
  <si>
    <t>corinthians, assistir, prime, jogos, mes</t>
  </si>
  <si>
    <t>melhores, vini, junior, brasil, peso</t>
  </si>
  <si>
    <t>clube, errou, corinthians, liberou, devendo</t>
  </si>
  <si>
    <t>internacional, deve, informacao, lesao, holanda</t>
  </si>
  <si>
    <t>botafogo, palmeiras, flamengo, favorito, quebrado</t>
  </si>
  <si>
    <t>dorival, corinthians, junior, realmente, maneira</t>
  </si>
  <si>
    <t>corinthians, pedro, raul, completamente, diferente</t>
  </si>
  <si>
    <t>vasco, murilo, palmeiras, ligamento, joelho</t>
  </si>
  <si>
    <t>sao paulo, jogos, estar, elenco, rigorosamente</t>
  </si>
  <si>
    <t>podio, corrida, primeira, juan, rosso</t>
  </si>
  <si>
    <t>corinthians, goleiro, milan, coritiba, sou</t>
  </si>
  <si>
    <t>corinthians, gremio, timao, novo, horizontino</t>
  </si>
  <si>
    <t>palmeiras, gramado, aras, mauricio, sao paulo</t>
  </si>
  <si>
    <t>corinthians, timao, flamengo, atletico mineiro, alan</t>
  </si>
  <si>
    <t>corinthians, alberto, yuri, portuguesa, valente</t>
  </si>
  <si>
    <t>flamengo, corinthians, gramado, responsabilidade, cuidado</t>
  </si>
  <si>
    <t>bahia, compra, sao paulo, poder, metas</t>
  </si>
  <si>
    <t>palmeiras, rebate, tomou, volei, atras</t>
  </si>
  <si>
    <t>corinthians, vez, houve, mostrou, quarta</t>
  </si>
  <si>
    <t>palmeiras, foram, penalti, seis, lances</t>
  </si>
  <si>
    <t>palmeiras, meio, coampo, zagueiro, lateral</t>
  </si>
  <si>
    <t>corinthians, sao paulo, clube, alon, convite</t>
  </si>
  <si>
    <t>gremio, flamengo, santos, queria, sao paulo</t>
  </si>
  <si>
    <t>corinthians, dorival, retornando, deve, passado</t>
  </si>
  <si>
    <t>palmeiras, abel ferreira, explicacao, explicar, algumas</t>
  </si>
  <si>
    <t>alisson, corinthians, santos, peixe, voivoda</t>
  </si>
  <si>
    <t>palmeiras, abel, corinthians, gosta, coletiva</t>
  </si>
  <si>
    <t>palmeiras, corinthians, flamengo, outra, fato</t>
  </si>
  <si>
    <t>consultoria, parcela, quanto, carro, espere</t>
  </si>
  <si>
    <t>palmeiras, verdao, historia, gols, dando</t>
  </si>
  <si>
    <t>flamengo, leve, arbitro, cesar, vezes</t>
  </si>
  <si>
    <t>corinthians, santos, neymar, memphis, onde</t>
  </si>
  <si>
    <t>corinthians, fiel, timao, argentino, assunto</t>
  </si>
  <si>
    <t>corinthians, crespo, sao paulo, presidente, exemplo</t>
  </si>
  <si>
    <t>corinthians, alisson, dorival, sao paulo, treinador</t>
  </si>
  <si>
    <t>santos, corinthians, peixe, taciano, neymar</t>
  </si>
  <si>
    <t>vasco, flamengo, dupla, sao paulo, curiosidade</t>
  </si>
  <si>
    <t>palmeiras, inicio, abel ferreira, enfim, importante</t>
  </si>
  <si>
    <t>palmeiras, corinthians, informacao, jogou, primeira</t>
  </si>
  <si>
    <t>bastante, paulista, sao paulo, vencer, diante</t>
  </si>
  <si>
    <t>santos, peixe, verdao, taciano, barueri</t>
  </si>
  <si>
    <t>meio, lado, miracol, zagueiros, sao paulo</t>
  </si>
  <si>
    <t>palmeiras, passado, conta, abel ferreira, lado</t>
  </si>
  <si>
    <t>santos, neymar, fundamental, vila belmiro, peca</t>
  </si>
  <si>
    <t>santos, palmeiras, souza, frase, proposta</t>
  </si>
  <si>
    <t>cruzeiro, saude, todos, treinador, esteja</t>
  </si>
  <si>
    <t>show, morumbi, sao paulo, estadio, campinas</t>
  </si>
  <si>
    <t>corinthians, brasileiro, palmeiras, flamengo, torcedor</t>
  </si>
  <si>
    <t>neymar, nba, estes, sequencia, partir</t>
  </si>
  <si>
    <t>palmeiras, opcao, chegou, jogos, desempenho</t>
  </si>
  <si>
    <t>TCR</t>
  </si>
  <si>
    <t>neymar, santos, gostaria, discutir, operario</t>
  </si>
  <si>
    <t>estudantes, brasileiros, vive, rotina, cheio</t>
  </si>
  <si>
    <t>grupo, sao paulo, uniforme, bonito, tanto</t>
  </si>
  <si>
    <t>santos, neymar, galo, coritiba, abril</t>
  </si>
  <si>
    <t>corinthians, fiel, gremio, leonardo, parecer</t>
  </si>
  <si>
    <t>jogos, corinthians, meses, teria, contrato</t>
  </si>
  <si>
    <t>sao paulo, arthur, ponta, mim, certo</t>
  </si>
  <si>
    <t>consultoria, whatsapp, vao, significa, reduzir</t>
  </si>
  <si>
    <t>corinthians, sao paulo, cade, curiosa, escalacao</t>
  </si>
  <si>
    <t>neymar, santos, larga, tecnica, longe</t>
  </si>
  <si>
    <t>gremio, data, abel ferreira, sao paulo, fazendo</t>
  </si>
  <si>
    <t>palmeiras, noticia, abel, verdade, tona</t>
  </si>
  <si>
    <t>palmeiras, santos, sao paulo, certo, flopa</t>
  </si>
  <si>
    <t>favoritos, outro, mim, favorita, lado</t>
  </si>
  <si>
    <t>falta, garganta, brasil, profissao, tiver</t>
  </si>
  <si>
    <t>volta, corinthians, palmeiras, musculo, dias</t>
  </si>
  <si>
    <t>santos, favorito, sao paulo, equipes, alex</t>
  </si>
  <si>
    <t>vendo, base, feita, gestao, conhecendo</t>
  </si>
  <si>
    <t>palmeiras, botafogo, abel ferreira, recado, horas</t>
  </si>
  <si>
    <t>dorival, corinthians, injustica, tentando, reposicao</t>
  </si>
  <si>
    <t>coritiba, dorival, ira, selecao, guerra</t>
  </si>
  <si>
    <t>estados, unidos, ira, iranianos, participar</t>
  </si>
  <si>
    <t>usou, sao paulo, permite, diferentes, sistemas</t>
  </si>
  <si>
    <t>podio, companheiro, velocidade, conseguia, passar</t>
  </si>
  <si>
    <t>corinthians, amigos, meus, palmeiras, corintianos</t>
  </si>
  <si>
    <t>dorival, corinthians, marcelo, andre, acha</t>
  </si>
  <si>
    <t>corinthians, nelsinho, carro, pedagio, descascava</t>
  </si>
  <si>
    <t>palmeiras, jogou, paulista, embalado, sao paulo</t>
  </si>
  <si>
    <t>dorival, corinthians, cruzeiro, novo, pegar</t>
  </si>
  <si>
    <t>vasco, fluminense, cruzmaltino, pedrinho, zoom</t>
  </si>
  <si>
    <t>flamengo, corinthians, lanus, lan, maracana</t>
  </si>
  <si>
    <t>palmeiras, bahia, verdao, treinou, abel ferreira</t>
  </si>
  <si>
    <t>palmeiras, goleiro, miller, jogos, preocupado</t>
  </si>
  <si>
    <t>corinthians, dorival, coxa, equipe, bora</t>
  </si>
  <si>
    <t>penalti, botafogo, hierarquica, pescoco, jorginho</t>
  </si>
  <si>
    <t>palmeiras, santos, verdao, corinthians, palmeirense</t>
  </si>
  <si>
    <t>corinthians, alisson, sao paulo, fracasso, visitar</t>
  </si>
  <si>
    <t>corinthians, santos, gazeta, sao paulo, camisa</t>
  </si>
  <si>
    <t>dorival, legal, corinthians, chega, causou</t>
  </si>
  <si>
    <t>palmeiras, corinthians, abel ferreira, inclusive, derby</t>
  </si>
  <si>
    <t>santos, voivoda, peixe, santo, confia</t>
  </si>
  <si>
    <t>fluminense, palmeiras, munique, arias, paga</t>
  </si>
  <si>
    <t>corinthians, hugo, perder, jeito, nenhum</t>
  </si>
  <si>
    <t>continua, certo, anda, mulheres, desta</t>
  </si>
  <si>
    <t>palmeiras, corinthians, historia, maravilhosa, veiga</t>
  </si>
  <si>
    <t>corinthians, memphis, milhoes, euros, ganha</t>
  </si>
  <si>
    <t>sao paulo, estadio, obra, caninde, resiste</t>
  </si>
  <si>
    <t>realidade, sao paulo, mim, torcedor, torcida</t>
  </si>
  <si>
    <t>alisson, certo, deais, lesao, seja</t>
  </si>
  <si>
    <t>neymar, santos, timao, corinthians, classico</t>
  </si>
  <si>
    <t>flamengo, ponto, ideia, claramente, planejamento</t>
  </si>
  <si>
    <t>palmeiras, verdao, milan, inicio, praticamente</t>
  </si>
  <si>
    <t>corinthians, internacional, furacao, martines, timao</t>
  </si>
  <si>
    <t>santos, torcida, bernardo, parte, sao paulo</t>
  </si>
  <si>
    <t>taciano, santos, rapido, fazendo, contrato</t>
  </si>
  <si>
    <t>casares, presidente, crespo, sao paulo, sobrevida</t>
  </si>
  <si>
    <t>santos, flamengo, palmeiras, neymar, gabriel</t>
  </si>
  <si>
    <t>santos, palmeiras, neymar, cruzeiro, papel</t>
  </si>
  <si>
    <t>verdao, voltou, abel ferreira, tivemos, tanto</t>
  </si>
  <si>
    <t>presidente, sao paulo, conselheiro, advogados, casares</t>
  </si>
  <si>
    <t>vencer, nba, vitorias, convencer, sao paulo</t>
  </si>
  <si>
    <t>corinthians, coxa, brasil, temporada, meio</t>
  </si>
  <si>
    <t>sicsers, cena, brasileiro, ajudou, linha</t>
  </si>
  <si>
    <t>corinthians, palmeiras, vender, vao, goleiro</t>
  </si>
  <si>
    <t>neymar, santos, flamengo, fluminense, palmeiras</t>
  </si>
  <si>
    <t>palmeiras, brasil, governo, educacao, lado</t>
  </si>
  <si>
    <t>dorival, sulamericano, roger, comprar, ideia</t>
  </si>
  <si>
    <t>neymar, brasil, vila belmiro, vila, ancelotti</t>
  </si>
  <si>
    <t>flamengo, corinthians, cebolinha, janela, timao</t>
  </si>
  <si>
    <t>palmeiras, galo, verdao, corinthians, falhou</t>
  </si>
  <si>
    <t>corinthians, pai, vista, tecnicamente, aceitar</t>
  </si>
  <si>
    <t>sao paulo, sidney, laterais, ponta, pontas</t>
  </si>
  <si>
    <t>ferias, palmeiras, arboleta, justa, causa</t>
  </si>
  <si>
    <t>corinthians, fluminense, dorival, pai, atuando</t>
  </si>
  <si>
    <t>neymar, aura, fluminense, palmeiras, farma</t>
  </si>
  <si>
    <t>palmeiras, nenhum, noticia, teria, problema</t>
  </si>
  <si>
    <t>palmeiras, corinthians, santos, relacao, sao paulo</t>
  </si>
  <si>
    <t>conjunto, brasil, favorito, respeito, fazendo</t>
  </si>
  <si>
    <t>palmeiras, selecao, argentina, esvaziada, selecoes</t>
  </si>
  <si>
    <t>palmeiras, declaracao, dobra, torcedor, pressao</t>
  </si>
  <si>
    <t>santos, vao, fase, sulamericana, libertadores</t>
  </si>
  <si>
    <t>nunca, palmeiras, comeca, lembrar, jogando</t>
  </si>
  <si>
    <t>dorival, corinthians, recuperar, disposicao, meia</t>
  </si>
  <si>
    <t>corinthians, dorival, flamengo, tite, aparece</t>
  </si>
  <si>
    <t>atleta, oleo, ira, esporte, inclusao</t>
  </si>
  <si>
    <t>consigo, minhas, atletas, torcedor, enchendo</t>
  </si>
  <si>
    <t>palmeiras, corinthians, indo, grandes, tivesse</t>
  </si>
  <si>
    <t>corinthians, dorival, sao paulo, dinheiro, pagar</t>
  </si>
  <si>
    <t>corinthians, santos, sao paulo, verdade, aparece</t>
  </si>
  <si>
    <t>palmeiras, corinthians, flaco lopez, comeca, frente</t>
  </si>
  <si>
    <t>coritiba, sao paulo, toloi, gosto, george</t>
  </si>
  <si>
    <t>zacarias, corinthians, fiel, timao, companheiro</t>
  </si>
  <si>
    <t>vasco, fluminense, flamengo, mengao, ruim</t>
  </si>
  <si>
    <t>palmeiras, abel ferreira, jogos, silvestre, park</t>
  </si>
  <si>
    <t>palmeiras, mauricio, capivariano, abel ferreira, abel</t>
  </si>
  <si>
    <t>palmeiras, gremio, flamengo, eton, depende</t>
  </si>
  <si>
    <t>dorival, timao, paulista, equipe, nesses</t>
  </si>
  <si>
    <t>braco, var, penalti, aberto, menos</t>
  </si>
  <si>
    <t>palmeiras, mes, temporada, paulinho, companheiros</t>
  </si>
  <si>
    <t>corinthians, rato, salario, alto, sao paulo</t>
  </si>
  <si>
    <t>palmeiras, corinthians, banco, escalacao, vitoria</t>
  </si>
  <si>
    <t>santos, nba, luca, equipe, show</t>
  </si>
  <si>
    <t>corinthians, whatsapp, espere, ligue, mande</t>
  </si>
  <si>
    <t>receitas, boca, agua, experimentar, favoritar</t>
  </si>
  <si>
    <t>palmeiras, corinthians, flamengo, timao, piqueir</t>
  </si>
  <si>
    <t>arrascaeta, falta, ponto, contato, perna</t>
  </si>
  <si>
    <t>portuguesa, entrar, linha, prefeitura, enquanto</t>
  </si>
  <si>
    <t>elenco, sao paulo, missao, objetivo, presidente</t>
  </si>
  <si>
    <t>dorival, alisson, vasco, corinthians, pre</t>
  </si>
  <si>
    <t>santos, taciano, voivoda, gols, corinthians</t>
  </si>
  <si>
    <t>flamengo, vasco, palmeiras, sub, titulares</t>
  </si>
  <si>
    <t>palmeiras, verdao, roque, jogos, especialmente</t>
  </si>
  <si>
    <t>corinthians, informacao, quarta, vez, vezes</t>
  </si>
  <si>
    <t>presidente, casares, dias, sao paulo, neste</t>
  </si>
  <si>
    <t>santos, neymar, palmeiras, temporada, atletico mineiro</t>
  </si>
  <si>
    <t>seja, votacao, casares, presidente, sao paulo</t>
  </si>
  <si>
    <t>palmeiras, passado, bilhoes, bate, precisa</t>
  </si>
  <si>
    <t>santos, palmeiras, corinthians, timao, largada</t>
  </si>
  <si>
    <t>santos, neymar, esquece, dar, achei</t>
  </si>
  <si>
    <t>palmeiras, prometi, equipa, titulos, fomos</t>
  </si>
  <si>
    <t>corinthians, timao, santos, mudar, pouquinho</t>
  </si>
  <si>
    <t>palmeiras, corinthians, nba, vasco, bragantino</t>
  </si>
  <si>
    <t>COPA DO MUNDO</t>
  </si>
  <si>
    <t>justamente, mundial, eder, lesao, ira</t>
  </si>
  <si>
    <t>brasileiro, palmeiras, verdao, bernardo, palacio</t>
  </si>
  <si>
    <t>corinthians, dorival, fluminense, tecnico, havia</t>
  </si>
  <si>
    <t>neymar, santos, estaria, viram, bayer</t>
  </si>
  <si>
    <t>verdao, corinthians, palmeiras, vitor, roque</t>
  </si>
  <si>
    <t>dorival, roger, renato, gaucho, treinador</t>
  </si>
  <si>
    <t>neymar, sao paulo, mes, ancelotti, jogos</t>
  </si>
  <si>
    <t>verdao, palmeiras, bahia, paulinho, corinthians</t>
  </si>
  <si>
    <t>corinthians, sao paulo, fuga, rebaixamento, vale</t>
  </si>
  <si>
    <t>continua, sao paulo, trazer, argolet, chamando</t>
  </si>
  <si>
    <t>qual, bahia, galo, furacao, gremio</t>
  </si>
  <si>
    <t>dezembro, corinthians, meses, interfere, completamente</t>
  </si>
  <si>
    <t>corpo, dores, formula e, gazeta, news</t>
  </si>
  <si>
    <t>corinthians, botafogo, timao, dorival, atacante</t>
  </si>
  <si>
    <t>corinthians, cauin, deram, trouxe, bons</t>
  </si>
  <si>
    <t>ederson, duvida, hugo, levaria, esses</t>
  </si>
  <si>
    <t>palmeiras, selecao, jogou, flaco lopes, sao paulo</t>
  </si>
  <si>
    <t>gatilho, sao paulo, traduzir, entenderam, roger</t>
  </si>
  <si>
    <t>flaco lopez, flaco lopes, gols, flaco, choque</t>
  </si>
  <si>
    <t>nba, santos, camarote, sao paulo, quero</t>
  </si>
  <si>
    <t>dorival, corinthians, santos, coritiba, jogos</t>
  </si>
  <si>
    <t>dorival, corinthians, palmeiras, junior, treinador</t>
  </si>
  <si>
    <t>olhar, lugar, sao paulo, clube, atletas</t>
  </si>
  <si>
    <t>palmeiras, corinthians, internacional, jogos, ira</t>
  </si>
  <si>
    <t>corinthians, internacional, proposta, janela, questao</t>
  </si>
  <si>
    <t>corinthians, comigo, aceitei, proposta, mateus</t>
  </si>
  <si>
    <t>corinthians, palmeiras, novo, dorival, rio</t>
  </si>
  <si>
    <t>corinthians, timao, martinez, vasco, dorival</t>
  </si>
  <si>
    <t>palmeiras, santos, abel, vasco, flamengo</t>
  </si>
  <si>
    <t>ton, carlos, miguel, palmeiras, titular</t>
  </si>
  <si>
    <t>corinthians, timao, coxa, camisa, nove</t>
  </si>
  <si>
    <t>corinthians, santos, palmeiras, braco, penalti</t>
  </si>
  <si>
    <t>corinthians, santos, sao paulo, relacao, inclusive</t>
  </si>
  <si>
    <t>palmeiras, pergunta, murilo, lateral, direita</t>
  </si>
  <si>
    <t>nba, corinthians, raios, resultado, red</t>
  </si>
  <si>
    <t>informacao, credibilidade, exige, jornal, gazeta</t>
  </si>
  <si>
    <t>gazeta, enem, superior, brasil, lado</t>
  </si>
  <si>
    <t>prefeitura, menos, prazo, seguranca, portuguesa</t>
  </si>
  <si>
    <t>amanha, rafinha, sao paulo, cargo, murici</t>
  </si>
  <si>
    <t>alisson, dorival, palmeiras, corinthians, sabesp</t>
  </si>
  <si>
    <t>corinthians, santos, peixe, dorival, junior</t>
  </si>
  <si>
    <t>vasco, flamengo, corinthians, programacao, sub</t>
  </si>
  <si>
    <t>palmeiras, santos, paulista, importante, ganha</t>
  </si>
  <si>
    <t>dorival, corinthians, logico, postou, inclusive</t>
  </si>
  <si>
    <t>casares, eleicao, sao paulo, poderia, concorrer</t>
  </si>
  <si>
    <t>palmeiras, santos, compor, elenco, encher</t>
  </si>
  <si>
    <t>presidente, maneira, defesa, problema, julio</t>
  </si>
  <si>
    <t>palmeiras, ganhou, titulos, sou, penso</t>
  </si>
  <si>
    <t>santos, internacional, seja, lugar, felix</t>
  </si>
  <si>
    <t>palmeiras, estamos, marlon, freitas, botafogo</t>
  </si>
  <si>
    <t>abel, flamengo, passado, abel ferreira, essas</t>
  </si>
  <si>
    <t>capita, clube, depende, vontade, caixa</t>
  </si>
  <si>
    <t>BREAK</t>
  </si>
  <si>
    <t>palmeiras, paulinho, treino, camisa, treinando</t>
  </si>
  <si>
    <t>corinthians, hugo, caue, souza, longo</t>
  </si>
  <si>
    <t>palmeiras, vitor, diferenca, botafogo, elenco</t>
  </si>
  <si>
    <t>sobrecarga, panturrilha, avaliado, segue, primeira</t>
  </si>
  <si>
    <t>pensar, corinthians, cebolinha, flamengo, palmeiras</t>
  </si>
  <si>
    <t>renovar, corinthians, tentaria, diminuir, salario</t>
  </si>
  <si>
    <t>clube, situacao, contato, enfim, sao paulo</t>
  </si>
  <si>
    <t>tite, corinthians, gabriel, acontece, pegou</t>
  </si>
  <si>
    <t>corinthians, palmeiras, sao paulo, acostumado, informacoes</t>
  </si>
  <si>
    <t>magnesio, articulacoes, coluna, trabalho, dores</t>
  </si>
  <si>
    <t>corinthians, timao, pedro, raul, xepa</t>
  </si>
  <si>
    <t>roger, sao paulo, chegou, sob, repetir</t>
  </si>
  <si>
    <t>palmeiras, vasco, hugo, mauro, silva</t>
  </si>
  <si>
    <t>palmeiras, novo, argentina, medo, convocacao</t>
  </si>
  <si>
    <t>invertido, torcedor, dobra, sao paulo, talvez</t>
  </si>
  <si>
    <t>temporada, sao paulo, lesao, sabia, voltar</t>
  </si>
  <si>
    <t>chega, vitoria, rockets, derrota, guilherme</t>
  </si>
  <si>
    <t>dorival, corinthians, aquela, preco, seja</t>
  </si>
  <si>
    <t>fogao, oportunidade, red, silver, incrivel</t>
  </si>
  <si>
    <t>livros, atletas, sao paulo, presentear, implementar</t>
  </si>
  <si>
    <t>santos, nba, gui, nuggets, assistencias</t>
  </si>
  <si>
    <t>pernia, racing, unica, piloto, mulher</t>
  </si>
  <si>
    <t>custa, deixa, alan, quanto, vale</t>
  </si>
  <si>
    <t>palmeiras, corinthians, dorival, salazar, sao paulo</t>
  </si>
  <si>
    <t>corinthians, dorival, sao paulo, questao, voo</t>
  </si>
  <si>
    <t>palmeiras, coritiba, sao paulo, escalacao, torcedor</t>
  </si>
  <si>
    <t>corinthians, clube, meses, ofensas, goleiro</t>
  </si>
  <si>
    <t>palmeiras, alians, park, segundo, titulos</t>
  </si>
  <si>
    <t>palmeiras, sao paulo, mauricio, equipes, capivariano</t>
  </si>
  <si>
    <t>cruzeiro, precisava, palmeiras, mim, garrafa</t>
  </si>
  <si>
    <t>corinthians, coxa, evitar, transfer, ban</t>
  </si>
  <si>
    <t>bonus, corinthians, memphis, talvez, onus</t>
  </si>
  <si>
    <t>flamengo, sao paulo, desanimo, lucas, ramon</t>
  </si>
  <si>
    <t>corinthians, milhoes, negociacao, problema, chegada</t>
  </si>
  <si>
    <t>saia, imediatamente, piscina, mar, estiver</t>
  </si>
  <si>
    <t>superior, uni, brasil, lado, curso</t>
  </si>
  <si>
    <t>corinthians, arsenal, ficou, vice, competicao</t>
  </si>
  <si>
    <t>corinthians, dorival, memphis, milhoes, media</t>
  </si>
  <si>
    <t>caninde, precisa, estadio, portuguesa, parte</t>
  </si>
  <si>
    <t>elenco, rafinha, sao paulo, crespo, sergio</t>
  </si>
  <si>
    <t>estamos, obras, transposicao, muda, sabespicacao</t>
  </si>
  <si>
    <t>corinthians, santos, timao, alberto, peixe</t>
  </si>
  <si>
    <t>corinthians, dorival, santos, botafogo, galo</t>
  </si>
  <si>
    <t>flamengo, corinthians, palmeiras, gremio, lomba</t>
  </si>
  <si>
    <t>corinthians, palmeiras, poderia, venezuela, passaporte</t>
  </si>
  <si>
    <t>corinthians, repente, comecou, acontecer, votacao</t>
  </si>
  <si>
    <t>santos, voivoda, palmeiras, deixa, gabigol</t>
  </si>
  <si>
    <t>julio, corinthians, palmeiras, casares, decisao</t>
  </si>
  <si>
    <t>palmeiras, certo, cruzeiro, contratacao, dinheiro</t>
  </si>
  <si>
    <t>corinthians, proposta, vir, houve, atende</t>
  </si>
  <si>
    <t>palmeiras, creio, temporada, torcida, investimento</t>
  </si>
  <si>
    <t>fiel, corinthians, voltando, outro, aconteceu</t>
  </si>
  <si>
    <t>paulinho, treinando, sao paulo, lesao, grave</t>
  </si>
  <si>
    <t>corinthians, palmeiras, hugo, dores, dor</t>
  </si>
  <si>
    <t>palmeiras, arias, longe, vitor, roque</t>
  </si>
  <si>
    <t>saude, cristovao, conforto, visao, pessoal</t>
  </si>
  <si>
    <t>aplicativo, sky, skype, assistir, qualquer</t>
  </si>
  <si>
    <t>parciais, joao, fonseca, italiano, mateus</t>
  </si>
  <si>
    <t>sao paulo, arboleta, fim, ciclo, entendo</t>
  </si>
  <si>
    <t>corinthians, tite, cruzeiro, dorival, salazar</t>
  </si>
  <si>
    <t>meia, brasil, lado, surgiu, marcando</t>
  </si>
  <si>
    <t>nba, santos, rebotes, assistencias, nuggets</t>
  </si>
  <si>
    <t>corinthians, mico, colocar, pedro, necessario</t>
  </si>
  <si>
    <t>sao paulo, treinador, morumbi, muller, sidney</t>
  </si>
  <si>
    <t>palmeiras, vasco, lamachia, leila pereira, marcos</t>
  </si>
  <si>
    <t>palmeiras, internacional, flamengo, gomes, paraguai</t>
  </si>
  <si>
    <t>ouvidos, torcedor, boleirada, muller, esquisito</t>
  </si>
  <si>
    <t>sport, frente, brasileirao, prime, garoto</t>
  </si>
  <si>
    <t>corinthians, dorival, timao, flamengo, ranieli</t>
  </si>
  <si>
    <t>corinthians, titulo, flamengo, jogos, dorival</t>
  </si>
  <si>
    <t>corinthians, dorival, razao, dinheiro, receber</t>
  </si>
  <si>
    <t>ponto, santos, corinthians, comprar, head</t>
  </si>
  <si>
    <t>sao paulo, suas, roger, mudanca, enche</t>
  </si>
  <si>
    <t>mes, partir, prime, warriors, vencem</t>
  </si>
  <si>
    <t>dorival, corinthians, milan, treinador, vida</t>
  </si>
  <si>
    <t>corinthians, palmeiras, dorival, novidade, iniciativa</t>
  </si>
  <si>
    <t>REMO</t>
  </si>
  <si>
    <t>remo, atletico mineiro, quero, atletas, indisciplinado</t>
  </si>
  <si>
    <t>palmeiras, abel, abel ferreira, ferreira, base</t>
  </si>
  <si>
    <t>palmeiras, fecha, silvestre, reforcos, janela</t>
  </si>
  <si>
    <t>palmeiras, abel, abel ferreira, gramado, telantana</t>
  </si>
  <si>
    <t>palmeiras, cruzeiro, corinthians, sao paulo, verdade</t>
  </si>
  <si>
    <t>guinegao, corinthians, alberto, iuri, conhecia</t>
  </si>
  <si>
    <t>neymar, peixe, santos, cirurgia, dezembro</t>
  </si>
  <si>
    <t>corinthians, flamengo, sao paulo, adaptando, rapido</t>
  </si>
  <si>
    <t>corinthians, palmeiras, trabalho, osmar, possibilidades</t>
  </si>
  <si>
    <t>brasil, lado, nota, mao, jornada</t>
  </si>
  <si>
    <t>palmeiras, mes, verdao, deficit, novembro</t>
  </si>
  <si>
    <t>timao, corinthians, flamengo, titulo, tricolor paulista</t>
  </si>
  <si>
    <t>corinthians, memphis, timao, unico, valor</t>
  </si>
  <si>
    <t>palmeiras, veiga, rafael, grana, volta</t>
  </si>
  <si>
    <t>portuguesa, prazo, obra, investidores, sao paulo</t>
  </si>
  <si>
    <t>certo, sao paulo, aposta, igual, outros</t>
  </si>
  <si>
    <t>nota, jornalismo, independente, entretenimento, qualidade</t>
  </si>
  <si>
    <t>corinthians, meio, fisica, mateus, pereira</t>
  </si>
  <si>
    <t>corinthians, milan, caio, anunciado, clube</t>
  </si>
  <si>
    <t>sete, santos, corinthians, vasco, elenco</t>
  </si>
  <si>
    <t>palmeiras, roque, verdao, abel ferreira, sao paulo</t>
  </si>
  <si>
    <t>casares, apoio, sao paulo, devem, presidente</t>
  </si>
  <si>
    <t>palmeiras, santos, joga, abel ferreira, flaco lopes</t>
  </si>
  <si>
    <t>palmeiras, cuidado, contratacao, contratacoes, dormir</t>
  </si>
  <si>
    <t>fiel, fortaleza, corinthians, poporo, popo</t>
  </si>
  <si>
    <t>fogao, palmeiras, verdao, botafogo, capita</t>
  </si>
  <si>
    <t>palmeiras, botafogo, abel ferreira, capita, claro</t>
  </si>
  <si>
    <t>paulista, corinthians, palmeiras, sao paulo, importa</t>
  </si>
  <si>
    <t>operou, agravar, preocupacao, operacao, canela</t>
  </si>
  <si>
    <t>tarde, meia, enem, ensino, cheia</t>
  </si>
  <si>
    <t>palmeiras, corinthians, completamente, vitor, roque</t>
  </si>
  <si>
    <t>instantaneo, voltar, saude, sao paulo, cristovao</t>
  </si>
  <si>
    <t>corinthians, palmeiras, santos, brasil, sao paulo</t>
  </si>
  <si>
    <t>galho, sao paulo, presidente, pagou, suas</t>
  </si>
  <si>
    <t>corinthians, tite, coritiba, matheus, descartou</t>
  </si>
  <si>
    <t>novo, experiencia, historia, criamos, evento</t>
  </si>
  <si>
    <t>italia, sao paulo, destino, inglaterra, melhores</t>
  </si>
  <si>
    <t>neymar, videos, amanha, qual, colocar</t>
  </si>
  <si>
    <t>corinthians, gremio, domingo, certo, vieram</t>
  </si>
  <si>
    <t>palmeiras, roger, sao paulo, torcida, machado</t>
  </si>
  <si>
    <t>palmeiras, vasco, leila, crefisa, lei</t>
  </si>
  <si>
    <t>palmeiras, sao paulo, roger, elenco, realmente</t>
  </si>
  <si>
    <t>flamengo, corinthians, dorival, ranieli, arrisca</t>
  </si>
  <si>
    <t>corinthians, dorival, palmeiras, cruzeiro, vasco</t>
  </si>
  <si>
    <t>cruzeiro, vasco, botafogo, atletico mineiro, atletico</t>
  </si>
  <si>
    <t>palmeiras, sao paulo, brasil, tarde, moral</t>
  </si>
  <si>
    <t>motivos, mudanca, decisao, rui, costa</t>
  </si>
  <si>
    <t>santos, gazeta, vila belmiro, nomes, tcr</t>
  </si>
  <si>
    <t>corinthians, curiosa, caio, ita, reforco</t>
  </si>
  <si>
    <t>palmeiras, base, minutos, problema, novo</t>
  </si>
  <si>
    <t>palmeiras, fluminense, concreto, john, aras</t>
  </si>
  <si>
    <t>palmeiras, capacidade, diretoria, sao paulo, discussao</t>
  </si>
  <si>
    <t>mulheres, sus, cuido, faco, comidinha</t>
  </si>
  <si>
    <t>corinthians, meses, guinegao, jogos, proposta</t>
  </si>
  <si>
    <t>neymar, santos, peixe, convocacao, partidas</t>
  </si>
  <si>
    <t>sao paulo, tricolor paulista, falei, sabado, crespo</t>
  </si>
  <si>
    <t>vivo, maior, falam, joguinho, vergonha</t>
  </si>
  <si>
    <t>palmeiras, mes, novembro, bilhao, arrecadacao</t>
  </si>
  <si>
    <t>corinthians, fiel, itaquera, indo, brasil</t>
  </si>
  <si>
    <t>corinthians, corinthiano, memphis, entendo, dinheiro</t>
  </si>
  <si>
    <t>atrapalhou, perna, corinthians, chutar, abre</t>
  </si>
  <si>
    <t>palmeiras, mexico, atletico mineiro, rafael, banco</t>
  </si>
  <si>
    <t>clube, deveria, discurso, sao paulo, pensando</t>
  </si>
  <si>
    <t>palmeiras, santos, bragantino, corinthians, sao paulo</t>
  </si>
  <si>
    <t>dorival, corinthians, vasco, santos, selecao</t>
  </si>
  <si>
    <t>santos, corinthians, botafogo, galo, coxa</t>
  </si>
  <si>
    <t>palmeiras, gremio, carlos, miguel, corinthians</t>
  </si>
  <si>
    <t>santos, palmeiras, sao paulo, lesionados, recuperacao</t>
  </si>
  <si>
    <t>corinthians, palmeiras, bragantino, sao paulo, red bull bragantino</t>
  </si>
  <si>
    <t>dorival, inicio, temporada, sao paulo, treinadores</t>
  </si>
  <si>
    <t>santos, palmeiras, cruzeiro, vior, roque</t>
  </si>
  <si>
    <t>palmeiras, gremio, verdao, eton, novo</t>
  </si>
  <si>
    <t>palmeiras, atletico mineiro, atletico, dinheiro, distante</t>
  </si>
  <si>
    <t>corinthians, situacao, elenco, conversei, presidente</t>
  </si>
  <si>
    <t>palmeiras, botafogo, marlon, oito, abel ferreira</t>
  </si>
  <si>
    <t>palmeiras, precisa, neymar, elenco, diferente</t>
  </si>
  <si>
    <t>paulistao, santos, neymar, quatro, importante</t>
  </si>
  <si>
    <t>botafogo, textor, comando, clube, silvestre</t>
  </si>
  <si>
    <t>corpo, dores, magnesio, formula e, ponto</t>
  </si>
  <si>
    <t>goleiro, cruzeiro, jovem, atento, quito</t>
  </si>
  <si>
    <t>vasco, dorival, horrivel, sao paulo, deixou</t>
  </si>
  <si>
    <t>flamengo, palmeiras, brasil, minas, leva</t>
  </si>
  <si>
    <t>diniz, dorival, corinthians, fernando, nomes</t>
  </si>
  <si>
    <t>corpo, dores, atencao, chegou, dor</t>
  </si>
  <si>
    <t>palmeiras, atletico, botafogo, flamengo, derrotas</t>
  </si>
  <si>
    <t>neymar, verdao, coloca, rodar, conservador</t>
  </si>
  <si>
    <t>internacional, coragem, inaugurado, circuito, cascavel</t>
  </si>
  <si>
    <t>lesao, joelho, sao paulo, roger, machado</t>
  </si>
  <si>
    <t>familia, casado, papel, estudo, fato</t>
  </si>
  <si>
    <t>oscar, exames, sao paulo, passado, questao</t>
  </si>
  <si>
    <t>santos, sao paulo, posicao, jogos, foram</t>
  </si>
  <si>
    <t>dorival, andre, corinthians, titulo, coritiba</t>
  </si>
  <si>
    <t>tite, cruzeiro, flamengo, corinthians, campeao</t>
  </si>
  <si>
    <t>frente, brasil, lado, velocidade, novinho</t>
  </si>
  <si>
    <t>guerra, palestina, acabei, desistindo, conta</t>
  </si>
  <si>
    <t>palmeiras, volto, muller, tocar, sirene</t>
  </si>
  <si>
    <t>abel ferreira, sai, gazeta, desportiva, ampliacao</t>
  </si>
  <si>
    <t>osorio, reconheco, professor, harmoniosa, nunca</t>
  </si>
  <si>
    <t>palmeiras, alex, abel ferreira, abel, curto</t>
  </si>
  <si>
    <t>significa, valores, abusivos, contratos, financiamento</t>
  </si>
  <si>
    <t>mclaren, ricardo, formula 1, formula, toyota</t>
  </si>
  <si>
    <t>ministerio, saude, governo, brasil, lado</t>
  </si>
  <si>
    <t>corinthians, palmeiras, flamengo, pedro, raul</t>
  </si>
  <si>
    <t>bahia, gremio, flamengo, marcos, antonio</t>
  </si>
  <si>
    <t>santos, neymar, fortaleza, peixe, quinta</t>
  </si>
  <si>
    <t>santos, alisson, corinthians, sao paulo, salazar</t>
  </si>
  <si>
    <t>voivoda, tranquilo, sao paulo, vila belmiro, salazar</t>
  </si>
  <si>
    <t>corinthians, palmeiras, acontece, milhoes, torcedor</t>
  </si>
  <si>
    <t>corinthians, mata, palmeiras, dorival, flamengo</t>
  </si>
  <si>
    <t>corinthians, memphis, acordo, obvio, milhoes</t>
  </si>
  <si>
    <t>corinthians, deais, dorival, bahia, alisson</t>
  </si>
  <si>
    <t>dorival, palmeiras, sao paulo, treinador, quero</t>
  </si>
  <si>
    <t>folha, clube, sao paulo, investidor, quanto</t>
  </si>
  <si>
    <t>derrota, conta, marcelo, basegio, lado</t>
  </si>
  <si>
    <t>santos, dorival, corinthians, gabigl, gabigol</t>
  </si>
  <si>
    <t>santos, corinthians, galo, botafogo, caio</t>
  </si>
  <si>
    <t>palmeiras, gremio, corinthians, goleiro, everton</t>
  </si>
  <si>
    <t>abel, menos, paulinho, motivo, perde</t>
  </si>
  <si>
    <t>onibus, aguia, maraba, copinha, acidente</t>
  </si>
  <si>
    <t>corinthians, dorival, bragantino, classico, sao paulo</t>
  </si>
  <si>
    <t>palmeiras, gremio, eton, contrato, transferencia</t>
  </si>
  <si>
    <t>corinthians, palmeiras, yuri, milhoes, transferban</t>
  </si>
  <si>
    <t>palmeiras, camisa, oito, cinco, leila pereira</t>
  </si>
  <si>
    <t>corinthians, safiel, santos, divida, clube</t>
  </si>
  <si>
    <t>palmeiras, botafogo, bragantino, barbosa, alexander</t>
  </si>
  <si>
    <t>branca, magnesio, enem, ensino, sinto</t>
  </si>
  <si>
    <t>palmeiras, corinthians, abel ferreira, vez, historia</t>
  </si>
  <si>
    <t>jovem, goleiro, vacilou, mudar, novo</t>
  </si>
  <si>
    <t>palmeiras, flamengo, dinheiro, patrocinadores, camisa</t>
  </si>
  <si>
    <t>bragantino, cruzeiro, corinthians, dorival, horrivel</t>
  </si>
  <si>
    <t>botafogo, corinthians, ambiente, pai, meter</t>
  </si>
  <si>
    <t>dorival, corinthians, palmeiras, diniz, dura</t>
  </si>
  <si>
    <t>magnesio, palmeiras, verdao, coluna, trabalho</t>
  </si>
  <si>
    <t>brasileiro, cruzeiro, gremio, sao paulo, perder</t>
  </si>
  <si>
    <t>palmeiras, vitor, roque, ultimos, raio</t>
  </si>
  <si>
    <t>tao, sao paulo, frente, rio, francisco</t>
  </si>
  <si>
    <t>palmeiras, folga, sao paulo, ultimo, pausa</t>
  </si>
  <si>
    <t>contrato, oscar, angelo, sao paulo, devia</t>
  </si>
  <si>
    <t>palmeiras, flamengo, brasileiro, sao paulo, opiniao</t>
  </si>
  <si>
    <t>corinthians, palmeiras, outro, pouquinho, sendo</t>
  </si>
  <si>
    <t>formula, podio, estreia, formula 1, australia</t>
  </si>
  <si>
    <t>corinthians, junior, amorim, lugar, veio</t>
  </si>
  <si>
    <t>graus, semana, menos, clima, bicho</t>
  </si>
  <si>
    <t>palmeiras, corinthians, sao paulo, gazeta, domingo</t>
  </si>
  <si>
    <t>palmeiras, flaco lopes, varios, alan, existe</t>
  </si>
  <si>
    <t>corinthians, palmeiras, cruzeiro, espere, vao</t>
  </si>
  <si>
    <t>obrigado, formula 1, ricardo, toyota, equipe</t>
  </si>
  <si>
    <t>corinthians, equipe, completa, reporteres, correspondentes</t>
  </si>
  <si>
    <t>gremio, sao paulo, cauli, pouquinho, aquecimento</t>
  </si>
  <si>
    <t>corinthians, salarios, poderia, proposta, dezembro</t>
  </si>
  <si>
    <t>corinthians, alan, meio, dorival, posicao</t>
  </si>
  <si>
    <t>santos, voivoda, informacao, vila belmiro, bid</t>
  </si>
  <si>
    <t>santos, corinthians, negociacao, entende, sao paulo</t>
  </si>
  <si>
    <t>botafogo, palmeiras, danilo, leila pereira, querendo</t>
  </si>
  <si>
    <t>voivoda, neymar, sao paulo, reforcou, convocacao</t>
  </si>
  <si>
    <t>palmeiras, corinthians, equipe, administracao, vencer</t>
  </si>
  <si>
    <t>corinthians, libertadores, elenco, entra, fator</t>
  </si>
  <si>
    <t>torino, corinthians, dorival, bahia, tioca</t>
  </si>
  <si>
    <t>dorival, corinthians, alisson, bahia, flamengo</t>
  </si>
  <si>
    <t>mercado, flamengo, corinthians, brasil, rubro negro</t>
  </si>
  <si>
    <t>miracol, palmeiras, verdao, sao paulo, somatorio</t>
  </si>
  <si>
    <t>internacional, gols, hendrick, paulino, realidade</t>
  </si>
  <si>
    <t>palmeiras, verdao, bragantino, quatro, sao paulo</t>
  </si>
  <si>
    <t>santos, vila belmiro, passou, queria, gabigl</t>
  </si>
  <si>
    <t>dorival, corinthians, ceara, vale, caio</t>
  </si>
  <si>
    <t>palmeiras, napoli, torino, jogou, hendrick</t>
  </si>
  <si>
    <t>palmeiras, santos, reforcos, acreditar, seria</t>
  </si>
  <si>
    <t>santos, peixe, neymar, palmeiras, menino</t>
  </si>
  <si>
    <t>corinthians, trazendo, temporada, diante, sao paulo</t>
  </si>
  <si>
    <t>gabriel, barbosa, palmeiras, santos, sao paulo</t>
  </si>
  <si>
    <t>palmeiras, everton, gremio, mim, titular</t>
  </si>
  <si>
    <t>palmeiras, marcos, goleiro, maior, historia</t>
  </si>
  <si>
    <t>corinthians, timao, milhoes, euros, respondeu</t>
  </si>
  <si>
    <t>palmeiras, ajustes, contratando, ninguem, paulinho</t>
  </si>
  <si>
    <t>palmeiras, micael, verdao, certo, inter</t>
  </si>
  <si>
    <t>corinthians, gremio, amor, timao, sport</t>
  </si>
  <si>
    <t>muller, nome, principio, joga, gomes</t>
  </si>
  <si>
    <t>lucas, sao paulo, atletico mineiro, mes, novidade</t>
  </si>
  <si>
    <t>tele, sao paulo, silvestre, santana, ganharao</t>
  </si>
  <si>
    <t>saude, afetada, dai, homem, comeca</t>
  </si>
  <si>
    <t>palmeiras, cruzeiro, camisa, verdao, leila</t>
  </si>
  <si>
    <t>corinthians, postagem, pai, comentando, foto</t>
  </si>
  <si>
    <t>corinthians, assistir, crise, sky, programacao</t>
  </si>
  <si>
    <t>sky, brasil, diversao, pais, atencao</t>
  </si>
  <si>
    <t>palmeiras, gremio, verdao, bahia, corinthians</t>
  </si>
  <si>
    <t>gremio, inter, palmeiras, roger, torcida</t>
  </si>
  <si>
    <t>botafogo, gremio, piquerez, inglaterra, sao paulo</t>
  </si>
  <si>
    <t>menus, rio, talento, cima, tele</t>
  </si>
  <si>
    <t>bragantino, internacional, oscar, sao paulo, red bull bragantino</t>
  </si>
  <si>
    <t>corinthians, timao, multa, rescindir, sao paulo</t>
  </si>
  <si>
    <t>fluminense, bahia, flamengo, sao paulo, brasileiro</t>
  </si>
  <si>
    <t>segundos, milesimos, silvestre, enfrentaram, exibicionistas</t>
  </si>
  <si>
    <t>tive, car, trabalho, semana, apoio</t>
  </si>
  <si>
    <t>gremio, alan patrick, agregado, estufou, redes</t>
  </si>
  <si>
    <t>botafogo, fluminense, alisson, sao paulo, egito</t>
  </si>
  <si>
    <t>dias, conferir, jornal, gazeta, caso</t>
  </si>
  <si>
    <t>palmeiras, qualidade, abel ferreira, temporada, utilizar</t>
  </si>
  <si>
    <t>gazeta, pais, selecao, mundial, eleicoes</t>
  </si>
  <si>
    <t>truck, gremio, copa truck, temporada, brasil</t>
  </si>
  <si>
    <t>corinthians, yuri, alberto, portuguesa, informacao</t>
  </si>
  <si>
    <t>palmeiras, bahia, sao paulo, presidente, prometeu</t>
  </si>
  <si>
    <t>corinthians, lamento, salarios, cirurgia, martines</t>
  </si>
  <si>
    <t>corinthians, galo, media, flamengo, jogou</t>
  </si>
  <si>
    <t>neymar, santos, passando, carnaval, recado</t>
  </si>
  <si>
    <t>santos, corinthians, neymar, peixe, palmeiras</t>
  </si>
  <si>
    <t>palmeiras, danilo, botafogo, gremio, verdao</t>
  </si>
  <si>
    <t>santos, flamengo, sao paulo, entra, tranquilo</t>
  </si>
  <si>
    <t>corinthians, palmeiras, flamengo, milan, pronto</t>
  </si>
  <si>
    <t>palmeiras, botafogo, verdao, segundo, abel ferreira</t>
  </si>
  <si>
    <t>corinthians, crespo, flamengo, sao paulo, clima</t>
  </si>
  <si>
    <t>flamengo, contrato, amor, amado, batista</t>
  </si>
  <si>
    <t>palmeiras, gremio, botafogo, inclusive, chegou</t>
  </si>
  <si>
    <t>pergunto, hendrick, continuar, desempenho, fazendo</t>
  </si>
  <si>
    <t>palmeiras, choque, rei, arena, barueri</t>
  </si>
  <si>
    <t>alberto, corinthians, yuri, ficou, quadro</t>
  </si>
  <si>
    <t>palmeiras, corinthians, goleada, brasil, abel ferreira</t>
  </si>
  <si>
    <t>corinthians, palmeiras, verdao, gazeta, apurou</t>
  </si>
  <si>
    <t>palmeiras, paulinho, aconteceu, veio, machuca</t>
  </si>
  <si>
    <t>santos, galo, palmeiras, neymar, quero</t>
  </si>
  <si>
    <t>corinthians, bragantino, palmeiras, dorival, sao paulo</t>
  </si>
  <si>
    <t>feira, sao paulo, sexta, bastidores, votacao</t>
  </si>
  <si>
    <t>palmeiras, mim, everton, titular, facil</t>
  </si>
  <si>
    <t>palmeiras, verdao, corinthians, gabriel, titulos</t>
  </si>
  <si>
    <t>corinthians, timao, milhoes, garro, divida</t>
  </si>
  <si>
    <t>flamengo, palmeiras, micael, sao paulo, certo</t>
  </si>
  <si>
    <t>palmeiras, botafogo, barbosa, nino, murilo</t>
  </si>
  <si>
    <t>sao paulo, bobadilha, abril, volta, volante</t>
  </si>
  <si>
    <t>historia, titulos, sao paulo, tele, libertadores</t>
  </si>
  <si>
    <t>verdao, palmeiras, camisa, gols, jogos</t>
  </si>
  <si>
    <t>corinthians, dinheiro, mega, viril, caso</t>
  </si>
  <si>
    <t>contrato, arthur, jorge, treinador, excelente</t>
  </si>
  <si>
    <t>corinthians, renovar, marcelo, renovacao, contrato</t>
  </si>
  <si>
    <t>ruim, ligue, sky, diversao, conexao</t>
  </si>
  <si>
    <t>sao paulo, zagueiro, arboleta, nenhum, horas</t>
  </si>
  <si>
    <t>corpo, magnesio, formula e, curcuma, dores</t>
  </si>
  <si>
    <t>palmeiras, gremio, bahia, arena, abril</t>
  </si>
  <si>
    <t>corinthians, palmeiras, pediu, sao paulo, aumentando</t>
  </si>
  <si>
    <t>bragantino, sao paulo, red bull bragantino, reporter, arthur</t>
  </si>
  <si>
    <t>palmeiras, tenha, sido, imagem, legal</t>
  </si>
  <si>
    <t>santos, cuca, base, frieza, salazar</t>
  </si>
  <si>
    <t>oscar, breve, sao paulo, apareceu, seja</t>
  </si>
  <si>
    <t>corinthians, selecao, fluminense, temos, chamado</t>
  </si>
  <si>
    <t>curupira, wolves, frente, tras, sky</t>
  </si>
  <si>
    <t>dorival, flamengo, mengao, sao paulo, jogando</t>
  </si>
  <si>
    <t>sao paulo, deve, jornal, gazeta, policia</t>
  </si>
  <si>
    <t>tensao, estados, unidos, paises, vizinhos</t>
  </si>
  <si>
    <t>agradecer, equipe, piloto, vida, mim</t>
  </si>
  <si>
    <t>fortaleza, ceara, vozao, venceu, ida</t>
  </si>
  <si>
    <t>botafogo, fluminense, cerca, milhoes, alisson</t>
  </si>
  <si>
    <t>nba, dupla, numero, titulo, takahashi</t>
  </si>
  <si>
    <t>sao paulo, mulheres, nova, linda, cozinhar</t>
  </si>
  <si>
    <t>truck, palmeiras, sintetico, sao paulo, formula 1</t>
  </si>
  <si>
    <t>oscar, sao paulo, dezembro, problema, teria</t>
  </si>
  <si>
    <t>corinthians, dorival, coxa, breno, bidon</t>
  </si>
  <si>
    <t>corinthians, timao, vaga, quartas, bernardo</t>
  </si>
  <si>
    <t>corinthians, vasco, presidente, faltou, cabeca</t>
  </si>
  <si>
    <t>neymar, santos, convocacao, partidas, essas</t>
  </si>
  <si>
    <t>neymar, palmeiras, verdao, peixe, corinthians</t>
  </si>
  <si>
    <t>botafogo, danilo, palmeiras, empresario, nino</t>
  </si>
  <si>
    <t>santos, corinthians, palmeiras, neymar, sao paulo</t>
  </si>
  <si>
    <t>corinthians, palmeiras, flamengo, fluminense, dorival</t>
  </si>
  <si>
    <t>palmeiras, botafogo, alan, zagueiro, vilar</t>
  </si>
  <si>
    <t>palmeiras, flaco lopes, lesao, aquela, esperanca</t>
  </si>
  <si>
    <t>dorival, corinthians, gastar, milhoes, sao paulo</t>
  </si>
  <si>
    <t>flamengo, crespo, city, milhoes, paquetar</t>
  </si>
  <si>
    <t>palmeiras, verdao, almada, veiga, mercado</t>
  </si>
  <si>
    <t>palmeiras, verdao, consultoria, whatsapp, espere</t>
  </si>
  <si>
    <t>palmeiras, lateral, flaco lopes, sao paulo, possivel</t>
  </si>
  <si>
    <t>neymar, gabigl, pergunta, diferenca, falta</t>
  </si>
  <si>
    <t>palmeiras, feliz, bonito, fiquei, abel</t>
  </si>
  <si>
    <t>timao, mateus, fortaleza, corinthians, pereira</t>
  </si>
  <si>
    <t>neymar, verdao, pedido, substituicao, abel ferreira</t>
  </si>
  <si>
    <t>neymar, palmeiras, santos, galo, gabriel</t>
  </si>
  <si>
    <t>palmeiras, salazar, trazer, indo, mira</t>
  </si>
  <si>
    <t>corinthians, dorival, chegar, bastante, noticia</t>
  </si>
  <si>
    <t>flamengo, gremio, milhoes, rubro negro, quero</t>
  </si>
  <si>
    <t>corinthians, vezes, venho, chegou, selecao</t>
  </si>
  <si>
    <t>corinthians, valor, pix, livre, impostos</t>
  </si>
  <si>
    <t>flamengo, miracol, sao paulo, diretoria, marcos</t>
  </si>
  <si>
    <t>flamengo, corinthians, milhoes, mercado, interno</t>
  </si>
  <si>
    <t>palmeiras, botafogo, nino, contratacao, vender</t>
  </si>
  <si>
    <t>nba, aparecer, sao paulo, negocio, acontece</t>
  </si>
  <si>
    <t>palmeiras, verdao, bahia, amanha, brasil</t>
  </si>
  <si>
    <t>tele, selecao, neymar, sao paulo, historia</t>
  </si>
  <si>
    <t>palmeiras, gomes, gustavo, clube, busto</t>
  </si>
  <si>
    <t>corinthians, documento, diretoria, teria, social</t>
  </si>
  <si>
    <t>saude, andropausa, niveis, testosterona, vao</t>
  </si>
  <si>
    <t>falta, novo, performance, feno, grego</t>
  </si>
  <si>
    <t>neymar, possivel, ida, concreto, tema</t>
  </si>
  <si>
    <t>corinthians, vestiario, cuida, logistica, problema</t>
  </si>
  <si>
    <t>sao paulo, respaldo, juridico, limite, dias</t>
  </si>
  <si>
    <t>amanha, bahia, vitor, roque, abel</t>
  </si>
  <si>
    <t>trabalho, dores, branca, magnesio, vitai</t>
  </si>
  <si>
    <t>palmeiras, corinthians, bahia, junior, barranquilla</t>
  </si>
  <si>
    <t>corinthians, dorival, timao, fluminense, fifa</t>
  </si>
  <si>
    <t>palmeiras, bragantino, botafogo, sao paulo, red bull bragantino</t>
  </si>
  <si>
    <t>prime, sky, jogos, video, series</t>
  </si>
  <si>
    <t>santos, base, equipe, sub, cuca</t>
  </si>
  <si>
    <t>prime, sao paulo, sky, video, assistir</t>
  </si>
  <si>
    <t>corinthians, dorival, flamengo, problemas, esses</t>
  </si>
  <si>
    <t>vendo, aplicativo, sky, tablet, computador</t>
  </si>
  <si>
    <t>dorival, liverpool, corinthians, flamengo, convocado</t>
  </si>
  <si>
    <t>dorival, corinthians, palmeiras, sport, pedro</t>
  </si>
  <si>
    <t>neymar, palmeiras, botafogo, abel ferreira, conhece</t>
  </si>
  <si>
    <t>palmeiras, elenco, valioso, flamengo, botafogo</t>
  </si>
  <si>
    <t>neymar, corinthians, inicial, segundo, sky</t>
  </si>
  <si>
    <t>gremio, sao paulo, torcida, saudade, ultima</t>
  </si>
  <si>
    <t>ferrares, botafogo, flu, sao paulo, gosto</t>
  </si>
  <si>
    <t>equipe, sao paulo, vitoria, orlando, florida</t>
  </si>
  <si>
    <t>nba, palmeiras, corinthians, crespo, flamengo</t>
  </si>
  <si>
    <t>abel, ferreira, palmeiras, fluminense, abel ferreira</t>
  </si>
  <si>
    <t>palmeiras, jornal, gazeta, minas, minutos</t>
  </si>
  <si>
    <t>lucas, sao paulo, atletas, contrato, tricolor</t>
  </si>
  <si>
    <t>sao paulo, oscar, pedindo, referente, estamos</t>
  </si>
  <si>
    <t>colocar, guinegao, sao paulo, memphis, frente</t>
  </si>
  <si>
    <t>sao paulo, camisa, hernan, crespo, caui</t>
  </si>
  <si>
    <t>festa, dorival, amanha, treino, domingo</t>
  </si>
  <si>
    <t>corinthians, vasco, filosoficamente, palmeiras, botafogo</t>
  </si>
  <si>
    <t>santos, neymar, nba, menos, sao paulo</t>
  </si>
  <si>
    <t>neymar, palmeiras, sport, overhampton, foto</t>
  </si>
  <si>
    <t>santos, botafogo, cuca, sao paulo, desses</t>
  </si>
  <si>
    <t>palmeiras, gastou, paulinho, peixe, presidente</t>
  </si>
  <si>
    <t>palmeiras, verdao, precisa, alan, meninos</t>
  </si>
  <si>
    <t>palmeiras, flaco, lopes, contrato, atletico</t>
  </si>
  <si>
    <t>flamengo, corinthians, maior, transacao, historia</t>
  </si>
  <si>
    <t>palmeiras, mexico, vega, clube, dono</t>
  </si>
  <si>
    <t>palmeiras, america, rafael, veiga, maiores</t>
  </si>
  <si>
    <t>murici, ramalho, palmeiras, saude, pediu</t>
  </si>
  <si>
    <t>corinthians, santos, neymar, campeao, dorival</t>
  </si>
  <si>
    <t>palmeiras, flamengo, crise, paulista, torcida</t>
  </si>
  <si>
    <t>corinthians, reforco, pouquinho, mateus, pereira</t>
  </si>
  <si>
    <t>pedido, abel, federacao, resposta, unanimidade</t>
  </si>
  <si>
    <t>santos, palmeiras, sonho, bragantino, corinthians</t>
  </si>
  <si>
    <t>palmeiras, tentar, outro, torcedor, sucesso</t>
  </si>
  <si>
    <t>dorival, corinthians, emissao, novo, passaporte</t>
  </si>
  <si>
    <t>cruzeiro, flamengo, corinthians, santos, gabigol</t>
  </si>
  <si>
    <t>corinthians, mao, sonho, problemas, familia</t>
  </si>
  <si>
    <t>corinthians, venda, palmeiras, flamengo, historia</t>
  </si>
  <si>
    <t>sao paulo, lucas, ramon, abril, temporada</t>
  </si>
  <si>
    <t>flamengo, corinthians, santos, brasao, rubro negro</t>
  </si>
  <si>
    <t>nino, barbosa, palmeiras, milan, titular</t>
  </si>
  <si>
    <t>nba, pessoal, acompanhar, playoffs, venceram</t>
  </si>
  <si>
    <t>palmeiras, coxa, gremio, novidade, abel ferreira</t>
  </si>
  <si>
    <t>corinthians, ficava, queria, gramado, excelencia</t>
  </si>
  <si>
    <t>santos, funcao, marcos, luiz, pereira</t>
  </si>
  <si>
    <t>corinthians, palmeiras, pedido, serao, vira</t>
  </si>
  <si>
    <t>ligue, mega, viril, meia, atencao</t>
  </si>
  <si>
    <t>meia, leao, disposicao, garante, escrito</t>
  </si>
  <si>
    <t>santos, neymar, seria, clube, estafe</t>
  </si>
  <si>
    <t>corinthians, sao paulo, pensando, aqueles, fazia</t>
  </si>
  <si>
    <t>culpa, sao paulo, clube, abandona, dias</t>
  </si>
  <si>
    <t>corinthians, nome, galhardo, trazer, proposta</t>
  </si>
  <si>
    <t>fluminense, palmeiras, dorival, jogos, gremio</t>
  </si>
  <si>
    <t>nota, botafogo, sao paulo, meio, agregar</t>
  </si>
  <si>
    <t>botafogo, palmeiras, verdao, sky, assistindo</t>
  </si>
  <si>
    <t>santos, buscar, base, gremio, sao paulo</t>
  </si>
  <si>
    <t>treinos, roger, calma, jogos, falei</t>
  </si>
  <si>
    <t>palmeiras, santos, corinthians, peixe, bahia</t>
  </si>
  <si>
    <t>contrato, caras, dias, descansando, selecao</t>
  </si>
  <si>
    <t>corinthians, botafogo, coritiba, ceara, dorival</t>
  </si>
  <si>
    <t>palmeiras, botafogo, invencibilidade, causa, esquerdo</t>
  </si>
  <si>
    <t>corinthians, palmeiras, elenco, acelera, domingo</t>
  </si>
  <si>
    <t>palmeiras, jovem, elenco, detalhe, qual</t>
  </si>
  <si>
    <t>roger, merece, bastante, machado, longos</t>
  </si>
  <si>
    <t>sao paulo, esporte, roger, machado, chegada</t>
  </si>
  <si>
    <t>palmeiras, sao paulo, pior, estadio, mes</t>
  </si>
  <si>
    <t>fluminense, corinthians, alisson, santos, sao paulo</t>
  </si>
  <si>
    <t>sexta, edicao, tcr, america, chegando</t>
  </si>
  <si>
    <t>flamengo, contrato, sao paulo, assinado, divulgacao</t>
  </si>
  <si>
    <t>palmeiras, barueri, chuva, clima, abel ferreira</t>
  </si>
  <si>
    <t>corinthians, fluminense, contrato, reais, flamengo</t>
  </si>
  <si>
    <t>oleo, fogao, doenca, red, silver</t>
  </si>
  <si>
    <t>luciano, vasco, contrato, sao paulo, gols</t>
  </si>
  <si>
    <t>bahia, sao paulo, cauli, emprestimo, valor</t>
  </si>
  <si>
    <t>santos, festa, dorival, corinthians, ramon</t>
  </si>
  <si>
    <t>corinthians, timao, palmeiras, derby, carlos</t>
  </si>
  <si>
    <t>santos, neymar, palmeiras, peixe, vila belmiro</t>
  </si>
  <si>
    <t>nba, corinthians, timao, resultado, bucks</t>
  </si>
  <si>
    <t>palmeiras, gazeta, lateral, faria, sentido</t>
  </si>
  <si>
    <t>lon, hendrick, explosao, fisica, jardim</t>
  </si>
  <si>
    <t>palmeiras, titulo, cobrado, corinthians, sao paulo</t>
  </si>
  <si>
    <t>palmeiras, botafogo, ferreira, abel ferreira, tabu</t>
  </si>
  <si>
    <t>neymar, ron, cabe, sao paulo, joga</t>
  </si>
  <si>
    <t>seja, flamengo, sao paulo, conta, algumas</t>
  </si>
  <si>
    <t>palmeiras, veiga, mauricio, abel, quadril</t>
  </si>
  <si>
    <t>palmeiras, idolo, veiga, rafael, despedida</t>
  </si>
  <si>
    <t>palmeiras, abel ferreira, sao paulo, silvestre, entra</t>
  </si>
  <si>
    <t>cruzeiro, palmeiras, internacional, gremio, sao paulo</t>
  </si>
  <si>
    <t>palmeiras, sao paulo, proximo, golpe, duro</t>
  </si>
  <si>
    <t>corinthians, fiel, michele, personalidade, joga</t>
  </si>
  <si>
    <t>palmeiras, corinthians, santos, exato, unanimidade</t>
  </si>
  <si>
    <t>palmeiras, negociacao, verdao, fluminense, zagueiro</t>
  </si>
  <si>
    <t>palmeiras, santos, acredito, almada, falta</t>
  </si>
  <si>
    <t>preso, corinthians, martines, martin, pais</t>
  </si>
  <si>
    <t>corinthians, precisa, tive, conversa, experiencia</t>
  </si>
  <si>
    <t>elenco, pouquinho, marcelo, pais, situacao</t>
  </si>
  <si>
    <t>corinthians, bla, questao, desagrada, torcedor</t>
  </si>
  <si>
    <t>flamengo, poder, dinheiro, corinthians, contratar</t>
  </si>
  <si>
    <t>flamengo, cruzeiro, palmeiras, santos, abel</t>
  </si>
  <si>
    <t>gomes, palmeiras, quantas, vezes, tirar</t>
  </si>
  <si>
    <t>saude, cuidado, cristovao, atendimento, acompanhar</t>
  </si>
  <si>
    <t>palmeiras, corinthians, ataque, sao paulo, adversario</t>
  </si>
  <si>
    <t>sky, prime, plano, amazon, partir</t>
  </si>
  <si>
    <t>santos, fluminense, marcelo, matos, vila belmiro</t>
  </si>
  <si>
    <t>palmeiras, verdao, leila pereira, atacante, joia</t>
  </si>
  <si>
    <t>neymar, santos, peixe, lula, ancelotti</t>
  </si>
  <si>
    <t>corinthians, palmeiras, cobra, job, emprego</t>
  </si>
  <si>
    <t>santos, neymar, pagar, reais, estar</t>
  </si>
  <si>
    <t>corinthians, sao paulo, estreia, uruguai, normalmente</t>
  </si>
  <si>
    <t>corinthians, sao paulo, deixa, ausencia, prolongada</t>
  </si>
  <si>
    <t>corinthians, dias, familia, houve, europa</t>
  </si>
  <si>
    <t>palmeiras, outro, sky, ama, ultimo</t>
  </si>
  <si>
    <t>corinthians, palmeiras, pedrinho, divida, dificilmente</t>
  </si>
  <si>
    <t>botafogo, ama, sao paulo, veio, reserva</t>
  </si>
  <si>
    <t>palmeiras, botafogo, abel ferreira, quanto, danilo</t>
  </si>
  <si>
    <t>palmeiras, decimo, sao paulo, zona, recorrer</t>
  </si>
  <si>
    <t>zagueiro, semana, segunda, etapa, tcr</t>
  </si>
  <si>
    <t>santos, corinthians, abel ferreira, sao paulo, classicos</t>
  </si>
  <si>
    <t>palmeiras, santos, verdao, coritiba, corinthians</t>
  </si>
  <si>
    <t>coritiba, vidro, energia, dias, nutella</t>
  </si>
  <si>
    <t>pedro, dorival, corinthians, raul, flaco lopes</t>
  </si>
  <si>
    <t>oscila, desempenho, vida, basejo, comenta</t>
  </si>
  <si>
    <t>palmeiras, corinthians, elenco, valioso, europa</t>
  </si>
  <si>
    <t>internacional, sao paulo, precisa, grandes, alguns</t>
  </si>
  <si>
    <t>internacional, roger, entrevista, sao paulo, muller</t>
  </si>
  <si>
    <t>formula, formula 1, campeao mundial de formula, brasileiro, equipe</t>
  </si>
  <si>
    <t>corinthians, fluminense, flamengo, alisson, errou</t>
  </si>
  <si>
    <t>etapa, curvas, circuito, turbinados, temporada</t>
  </si>
  <si>
    <t>flamengo, liverpool, bayer, leverkusen, sao paulo</t>
  </si>
  <si>
    <t>flamengo, rubro negro, sao paulo, lider, temporada</t>
  </si>
  <si>
    <t>palmeiras, ruim, publico, sao paulo, barueri</t>
  </si>
  <si>
    <t>corinthians, sport, salario, pai, aumentou</t>
  </si>
  <si>
    <t>gazeta, silver, volta, mensagem, whatsapp</t>
  </si>
  <si>
    <t>oscar, receber, milhoes, deais, sao paulo</t>
  </si>
  <si>
    <t>antonio, marcos, flamengo, renovacao, aumentou</t>
  </si>
  <si>
    <t>cauli, bahia, corinthians, oportunidade, mercado</t>
  </si>
  <si>
    <t>santos, coritiba, fortaleza, tiquinho, soares</t>
  </si>
  <si>
    <t>timao, corinthians, vila belmiro, zero, vez</t>
  </si>
  <si>
    <t>corinthians, afeta, relacao, bastante, contrato</t>
  </si>
  <si>
    <t>palmeiras, conversas, galo, janela, luig</t>
  </si>
  <si>
    <t>hendrick, sao paulo, chega, justica, mim</t>
  </si>
  <si>
    <t>palmeiras, abel, errado, comeca, culpa</t>
  </si>
  <si>
    <t>saiu, palmeiras, responsabilidade, abel ferreira, trabalho</t>
  </si>
  <si>
    <t>temos, neymar, flamengo, corinthians, treinador</t>
  </si>
  <si>
    <t>flamengo, palmeiras, hendrick, resolve, jogos</t>
  </si>
  <si>
    <t>flamengo, sao paulo, seria, hernan, crespo</t>
  </si>
  <si>
    <t>flamengo, paqueta, corinthians, milhoes, euros</t>
  </si>
  <si>
    <t>palmeiras, picos, decisivo, desgaste, percebe</t>
  </si>
  <si>
    <t>palmeiras, fase, vive, sao paulo, pior</t>
  </si>
  <si>
    <t>sao paulo, triste, tragedia, situacao, michele</t>
  </si>
  <si>
    <t>palmeiras, parte, abel ferreira, sao paulo, aconteceu</t>
  </si>
  <si>
    <t>corinthians, martines, timao, salazar, diretoria</t>
  </si>
  <si>
    <t>santos, corinthians, peixe, itaquera, vila belmiro</t>
  </si>
  <si>
    <t>murilo, dorival, palmeiras, abel, passado</t>
  </si>
  <si>
    <t>palmeiras, acredito, flamengo, cruzeiro, contratar</t>
  </si>
  <si>
    <t>corinthians, jogos, palmeiras, cabeca, capita</t>
  </si>
  <si>
    <t>flamengo, milan, negocio, novo, acontecer</t>
  </si>
  <si>
    <t>corinthians, memphis, acontecer, reduzir, segue</t>
  </si>
  <si>
    <t>clube, recorre, contratar, milhoes, rebaixamento</t>
  </si>
  <si>
    <t>hul, redes, sociais, sao paulo, atletico mineiro</t>
  </si>
  <si>
    <t>dias, normal, poxa, passado, exames</t>
  </si>
  <si>
    <t>tarde, largada, direto, interlagos, trabalhando</t>
  </si>
  <si>
    <t>saude, viver, cristovao, interlagos, south</t>
  </si>
  <si>
    <t>palmeiras, vitor, roque, muda, caracteristica</t>
  </si>
  <si>
    <t>assistindo, quiser, chegando, etapa, tcr</t>
  </si>
  <si>
    <t>neymar, santos, cobranca, batepapo, tranquila</t>
  </si>
  <si>
    <t>palmeiras, euros, profissional, jogou, novo</t>
  </si>
  <si>
    <t>neymar, peixe, santos, corinthians, presidente</t>
  </si>
  <si>
    <t>corinthians, cobra, disse, salazar, pegou</t>
  </si>
  <si>
    <t>palmeiras, corinthians, abel, ferreira, fluminense</t>
  </si>
  <si>
    <t>barradao, fluminense, acidente, sao paulo, roger</t>
  </si>
  <si>
    <t>programacao, prime, sky, amazon, assumiu</t>
  </si>
  <si>
    <t>corinthians, sao paulo, gazeta, tecnico, fernando</t>
  </si>
  <si>
    <t>prime, brasil, partir, video, familia</t>
  </si>
  <si>
    <t>timao, acessar, qualidade, sky, baseggio</t>
  </si>
  <si>
    <t>nba, pedrinho, deve, divida, lider</t>
  </si>
  <si>
    <t>acessar, diversao, sky, partir, mes</t>
  </si>
  <si>
    <t>palmeiras, danilo, botafogo, seria, mim</t>
  </si>
  <si>
    <t>internacional, amistoso, selecao, sao paulo, nova</t>
  </si>
  <si>
    <t>gazeta, etapa, jornal, seguidos, top</t>
  </si>
  <si>
    <t>verdao, flaco lopes, pereira, atras, flaco</t>
  </si>
  <si>
    <t>gremio, dias, treinamentos, recuperar, esses</t>
  </si>
  <si>
    <t>disposicao, sentir, voltzmann, voltsman, suplemento</t>
  </si>
  <si>
    <t>conquista, contrato, sao paulo, elenco, discurso</t>
  </si>
  <si>
    <t>nba, lakers, sofreu, queda, ultima</t>
  </si>
  <si>
    <t>gazeta, youtube, domingo, tarde, jornal</t>
  </si>
  <si>
    <t>palmeiras, danielzinho, sao paulo, marcos, antonio</t>
  </si>
  <si>
    <t>nba, corrida, domingo, tarde, gazeta</t>
  </si>
  <si>
    <t>corinthians, bar, salazar, noticia, fico</t>
  </si>
  <si>
    <t>corinthians, palmeiras, quase, dorival, sao paulo</t>
  </si>
  <si>
    <t>sao paulo, lucas, moura, evento, esporte</t>
  </si>
  <si>
    <t>esses, fato, oscar, receber, sao paulo</t>
  </si>
  <si>
    <t>corinthians, vitoria, ultimo, china, estados</t>
  </si>
  <si>
    <t>sao paulo, caiu, jornal, gazeta, pista</t>
  </si>
  <si>
    <t>fiel, peixe, salazar, treino, velo</t>
  </si>
  <si>
    <t>furacao, santos, voivoda, neymar, fortaleza</t>
  </si>
  <si>
    <t>corinthians, vez, joelho, esquerdo, rompeu</t>
  </si>
  <si>
    <t>nba, vasco, palmeiras, santos, traz</t>
  </si>
  <si>
    <t>palmeiras, flamengo, cruzeiro, acalma, contratar</t>
  </si>
  <si>
    <t>santos, neymar, sao paulo, vila belmiro, hugo</t>
  </si>
  <si>
    <t>palmeiras, corinthians, flamengo, sao paulo, apostou</t>
  </si>
  <si>
    <t>palmeiras, botafogo, sentido, flamengo, abel</t>
  </si>
  <si>
    <t>sao paulo, crespo, acredito, derrota, seria</t>
  </si>
  <si>
    <t>flamengo, palmeiras, cenario, chegar, decide</t>
  </si>
  <si>
    <t>palmeiras, alem, respeito, vega, tido</t>
  </si>
  <si>
    <t>palmeiras, dorival, corinthians, vasco, vila belmiro</t>
  </si>
  <si>
    <t>palmeiras, abel ferreira, realmente, carinho, ronan</t>
  </si>
  <si>
    <t>palmeiras, gazeta, abel ferreira, abel, ferreira</t>
  </si>
  <si>
    <t>corinthians, caio, cesar, diretoria, martines</t>
  </si>
  <si>
    <t>santos, corinthians, flamengo, bahia, receita</t>
  </si>
  <si>
    <t>palmeiras, existe, amor, abel, facundo</t>
  </si>
  <si>
    <t>mercado, flamengo, palmeiras, brasileiro, overhampton</t>
  </si>
  <si>
    <t>palmeiras, santos, barueri, arena, alians</t>
  </si>
  <si>
    <t>fluminense, galo, hul, atletico, contrato</t>
  </si>
  <si>
    <t>corinthians, dorival, importante, capita, junior</t>
  </si>
  <si>
    <t>vasco, outro, proibicao, registrar, silver</t>
  </si>
  <si>
    <t>fluminense, galo, clube, atletico, coloca</t>
  </si>
  <si>
    <t>palmeiras, alex, coracao, normal, abel</t>
  </si>
  <si>
    <t>treino, treinos, lugar, livre, inclusive</t>
  </si>
  <si>
    <t>carros, parte, tcr, pilotos, arrumar</t>
  </si>
  <si>
    <t>sao paulo, montagem, etapa, pilotos, turbinados</t>
  </si>
  <si>
    <t>interlagos, etapa, tera, pilotos, south</t>
  </si>
  <si>
    <t>santos, neymar, profissional, treinar, fazendo</t>
  </si>
  <si>
    <t>proposta, logico, profissional, vende, euros</t>
  </si>
  <si>
    <t>timao, corinthians, amanha, barradao, yuri</t>
  </si>
  <si>
    <t>corinthians, trabalho, tecnico, novo, andre</t>
  </si>
  <si>
    <t>palmeiras, fiel, flavio, primeira, abel</t>
  </si>
  <si>
    <t>bahia, pablo, maia, quebrou, nariz</t>
  </si>
  <si>
    <t>sky, emocao, estreia, moto, velocidade</t>
  </si>
  <si>
    <t>pes, fluminense, goleiro, hugo, souza</t>
  </si>
  <si>
    <t>corinthians, contratar, gadiardo, perdidos, cabeca</t>
  </si>
  <si>
    <t>corinthians, divida, memphis, paz, exclusividade</t>
  </si>
  <si>
    <t>internacional, sao paulo, jornal, gazeta, armador</t>
  </si>
  <si>
    <t>massa, pista, bruno, atingindo, veiculo</t>
  </si>
  <si>
    <t>paulinho, poucos, machucado, danilo, outro</t>
  </si>
  <si>
    <t>perde, acaba, sao paulo, reserva, inter</t>
  </si>
  <si>
    <t>verdao, deve, ditar, fim, guerra</t>
  </si>
  <si>
    <t>palmeiras, potencia, pressao, realidade, contratacao</t>
  </si>
  <si>
    <t>dias, palmeiras, gremio, tao, proximo</t>
  </si>
  <si>
    <t>palmeiras, lucas, temos, moura, sao paulo</t>
  </si>
  <si>
    <t>ola, jornal, gazeta, dados, ministerio</t>
  </si>
  <si>
    <t>nba, vitoria, comandou, giro, tradicional</t>
  </si>
  <si>
    <t>sao paulo, liderados, viktor, embaniana, anotou</t>
  </si>
  <si>
    <t>corinthians, timao, palmeiras, milan, gazeta</t>
  </si>
  <si>
    <t>corinthians, palmeiras, sao paulo, supersticao, luan</t>
  </si>
  <si>
    <t>gazeta, palmeiras, conferencia, jornal, entra</t>
  </si>
  <si>
    <t>corinthians, timao, fiel, juventus, proposta</t>
  </si>
  <si>
    <t>corinthians, flamengo, palmeiras, europa, vitrine</t>
  </si>
  <si>
    <t>corinthians, pendencias, prioridade, dinheiro, mens</t>
  </si>
  <si>
    <t>ancelotti, taca, sorteio, roda, diretora</t>
  </si>
  <si>
    <t>pagar, oscar, entregou, quisesse, sao paulo</t>
  </si>
  <si>
    <t>corinthians, base, dorival, timao, sao paulo</t>
  </si>
  <si>
    <t>corinthians, red, silver, oleo, sao paulo</t>
  </si>
  <si>
    <t>neymar, peixe, santos, mata, flamengo</t>
  </si>
  <si>
    <t>santos, clube, neymar, velo, vila belmiro</t>
  </si>
  <si>
    <t>santos, masters, seguir, acompanhando, negociacao</t>
  </si>
  <si>
    <t>corinthians, informacao, inclusive, provar, lesionou</t>
  </si>
  <si>
    <t>brasileiro, joao, bons, anotou, sete</t>
  </si>
  <si>
    <t>dorival, contratar, caro, libertadores, elenco</t>
  </si>
  <si>
    <t>corinthians, palmeiras, verdao, gazeta, jornal</t>
  </si>
  <si>
    <t>palmeiras, corinthians, santos, reforcos, temporada</t>
  </si>
  <si>
    <t>corinthians, timao, historia, yuri, amor</t>
  </si>
  <si>
    <t>coxa, gremio, palmeiras, bahia, mano</t>
  </si>
  <si>
    <t>botafogo, palmeiras, tecnico, outra, cabeca</t>
  </si>
  <si>
    <t>corinthians, flamengo, gremio, bragantino, rio</t>
  </si>
  <si>
    <t>voivoda, flamengo, santos, peixe, bragantino</t>
  </si>
  <si>
    <t>corinthians, flamengo, dorival, bahia, memphis</t>
  </si>
  <si>
    <t>palmeiras, verdao, temporada, abel ferreira, portanto</t>
  </si>
  <si>
    <t>mim, palmeiras, atitude, jeito, disse</t>
  </si>
  <si>
    <t>corinthians, tomar, meio, semana, profissional</t>
  </si>
  <si>
    <t>renda, santos, estadio, milhoes, operacao</t>
  </si>
  <si>
    <t>sao paulo, dinheiro, gazeta, enfim, facundo</t>
  </si>
  <si>
    <t>palmeiras, almada, meio, flaco lopes, gazeta</t>
  </si>
  <si>
    <t>palmeiras, santos, fluminense, sao paulo, park</t>
  </si>
  <si>
    <t>cruzeiro, raposa, flamengo, pai, choro</t>
  </si>
  <si>
    <t>dorival, comecou, sao paulo, condicoes, crespo</t>
  </si>
  <si>
    <t>corinthians, palmeiras, estreia, publico, lembram</t>
  </si>
  <si>
    <t>bahia, palmeiras, botafogo, corinthians, flamengo</t>
  </si>
  <si>
    <t>hul, palmeiras, neymar, atletico mineiro, lembrando</t>
  </si>
  <si>
    <t>atletico, galo, hul, brax, diretoria</t>
  </si>
  <si>
    <t>gazeta, nelsinho, piquet, corrida, amanha</t>
  </si>
  <si>
    <t>corinthians, diniz, reforco, domingo, tarde</t>
  </si>
  <si>
    <t>gazeta, internacional, sao paulo, domingo, jornal</t>
  </si>
  <si>
    <t>palmeiras, treino, acontece, abel ferreira, tarde</t>
  </si>
  <si>
    <t>santos, nba, torcedor, comum, brasileiros</t>
  </si>
  <si>
    <t>nba, frente, brasileiro, historia, liga</t>
  </si>
  <si>
    <t>joao, caibra, tenis, voltou, oitavas</t>
  </si>
  <si>
    <t>caio, conselho, deliberativo, cesar, ultima</t>
  </si>
  <si>
    <t>pista, mujy, interlagos, conversou, treinos</t>
  </si>
  <si>
    <t>corinthians, santos, diretoria, mes, problemas</t>
  </si>
  <si>
    <t>domingo, interlagos, tecnico, corrida, gazeta</t>
  </si>
  <si>
    <t>corinthians, goleiro, atras, discurso, comportar</t>
  </si>
  <si>
    <t>certeza, imagina, confio, permitido, senhora</t>
  </si>
  <si>
    <t>corinthians, pagou, contar, breve, memphis</t>
  </si>
  <si>
    <t>verdao, abel ferreira, croacia, amanha, volta</t>
  </si>
  <si>
    <t>palmeiras, verdao, voltar, mia, venceu</t>
  </si>
  <si>
    <t>corinthians, santos, neymar, dinheiro, sao paulo</t>
  </si>
  <si>
    <t>abobora, sao paulo, virou, poder, contar</t>
  </si>
  <si>
    <t>palmeiras, gremio, abel ferreira, sao paulo, gabriel</t>
  </si>
  <si>
    <t>volei, palmeiras, goias, primeira, abel ferreira</t>
  </si>
  <si>
    <t>santos, cruzeiro, neymar, vila belmiro, dias</t>
  </si>
  <si>
    <t>palmeiras, corinthians, flamengo, abel, ferreira</t>
  </si>
  <si>
    <t>palmeiras, gramado, galo, sintetico, morumbi</t>
  </si>
  <si>
    <t>neymar, bragantino, red bull bragantino, jogos, precisou</t>
  </si>
  <si>
    <t>palmeiras, verdao, leila pereira, tecnico, causa</t>
  </si>
  <si>
    <t>temporada, palmeiras, tentou, flaco lopes, sexto</t>
  </si>
  <si>
    <t>neymar, santos, peixe, corinthians, tecnico</t>
  </si>
  <si>
    <t>corinthians, milan, previsao, orcamentaria, clube</t>
  </si>
  <si>
    <t>coxa, palmeiras, corinthians, alberto, yuri</t>
  </si>
  <si>
    <t>sao paulo, arena, crefisa, barori, ninguem</t>
  </si>
  <si>
    <t>corinthians, vender, conseguiu, valor, jeito</t>
  </si>
  <si>
    <t>flamengo, contrato, milhoes, sao paulo, talvez</t>
  </si>
  <si>
    <t>corinthians, vender, proposta, janela, ficando</t>
  </si>
  <si>
    <t>nba, jogando, san, antonio, rebotes</t>
  </si>
  <si>
    <t>selecao, brasilia, feminina, trouxe, enxergo</t>
  </si>
  <si>
    <t>dorival, bahia, timao, elenco, profissional</t>
  </si>
  <si>
    <t>fogao, zero, silver, mensagem, whatsapp</t>
  </si>
  <si>
    <t>neymar, palmeiras, andras, pereira, pera</t>
  </si>
  <si>
    <t>neymar, velo, clube, sao paulo, dizendo</t>
  </si>
  <si>
    <t>santos, neymar, ponto, jogos, sao paulo</t>
  </si>
  <si>
    <t>corinthians, outra, amigo, problema, saber</t>
  </si>
  <si>
    <t>corinthians, garro, dorival, martines, voltou</t>
  </si>
  <si>
    <t>corinthians, palmeiras, principais, jornal, gazeta</t>
  </si>
  <si>
    <t>corinthians, divida, acordo, passou, milhoes</t>
  </si>
  <si>
    <t>olho, verdao, palmeiras, esperar, entender</t>
  </si>
  <si>
    <t>corinthians, palmeiras, timao, clube, consegue</t>
  </si>
  <si>
    <t>corinthians, sao paulo, jornal, gazeta, chega</t>
  </si>
  <si>
    <t>corinthians, palmeiras, vasco, atacante, suas</t>
  </si>
  <si>
    <t>palmeiras, flamengo, outro, irei, clube</t>
  </si>
  <si>
    <t>fluminense, coritiba, bragantino, movimentacoes, certo</t>
  </si>
  <si>
    <t>corinthians, palmeiras, santos, dorival, ron</t>
  </si>
  <si>
    <t>corinthians, atencao, situacao, chama, passado</t>
  </si>
  <si>
    <t>palmeiras, derrota, realmente, inclusive, entendimento</t>
  </si>
  <si>
    <t>flamengo, palmeiras, intervalo, mim, responsabilidade</t>
  </si>
  <si>
    <t>dorival, corinthians, outra, vez, quatro</t>
  </si>
  <si>
    <t>santos, corinthians, palmeiras, pagar, vila belmiro</t>
  </si>
  <si>
    <t>corinthians, timao, bragantino, classico, sao paulo</t>
  </si>
  <si>
    <t>palmeiras, gremio, santos, banco, arena</t>
  </si>
  <si>
    <t>flamengo, cruzeiro, gerson, inclusive, citou</t>
  </si>
  <si>
    <t>crespo, sao paulo, junior, pedroso, tecnico</t>
  </si>
  <si>
    <t>corinthians, justica, recorreu, tribunal, desportiva</t>
  </si>
  <si>
    <t>corinthians, cruzeiro, timao, raposa, fagner</t>
  </si>
  <si>
    <t>atletico, hul, mineiro, sampaoli, fluminense</t>
  </si>
  <si>
    <t>MERCHAN</t>
  </si>
  <si>
    <t>palmeiras, corinthians, vasco, expresidente, brb</t>
  </si>
  <si>
    <t>corinthians, palmeiras, elenco, fernando, diniz</t>
  </si>
  <si>
    <t>corinthians, vasco, neo, quimica, sao paulo</t>
  </si>
  <si>
    <t>palmeiras, furacao, jornal, utilizado, expectativa</t>
  </si>
  <si>
    <t>corinthians, sport, botafogo, flamengo, rubronegro</t>
  </si>
  <si>
    <t>nba, corinthians, santos, gazeta, sao paulo</t>
  </si>
  <si>
    <t>alcaraz, derrotou, finlandes, otto, virtani</t>
  </si>
  <si>
    <t>sport, flamengo, fluminense, segundafeira, assumir</t>
  </si>
  <si>
    <t>pilotos, eric, certeza, moto, gazeta</t>
  </si>
  <si>
    <t>santos, peixe, imagem, direitos, chegando</t>
  </si>
  <si>
    <t>MOTO1000GP</t>
  </si>
  <si>
    <t>corinthians, palmeiras, libertadores, comeco, silvestre</t>
  </si>
  <si>
    <t>frente, pressao, bora, fatal, tal</t>
  </si>
  <si>
    <t>nba, internacional, hugo, assistencias, curry</t>
  </si>
  <si>
    <t>sao paulo, federal, deveria, viajado, lesao</t>
  </si>
  <si>
    <t>palmeiras, gremio, tiver, flaco lopes, sao paulo</t>
  </si>
  <si>
    <t>corinthians, caberia, palmeiras, jesus, direito</t>
  </si>
  <si>
    <t>corinthians, chegar, acordo, salazar, exemplo</t>
  </si>
  <si>
    <t>bidu, corinthians, timao, flamengo, mateus</t>
  </si>
  <si>
    <t>palmeiras, janela, gabriel, proxima, jesus</t>
  </si>
  <si>
    <t>neymar, prioridade, elenco, folga, treinando</t>
  </si>
  <si>
    <t>palmeiras, abel, dorival, ferreira, vitorias</t>
  </si>
  <si>
    <t>decisivo, sao paulo, barueri, sintetico, brasileiro</t>
  </si>
  <si>
    <t>botafogo, bragantino, palmeiras, corinthians, timao</t>
  </si>
  <si>
    <t>gosta, comigo, amo, inteiro, sky</t>
  </si>
  <si>
    <t>corinthians, coritiba, sao paulo, visita, sistema</t>
  </si>
  <si>
    <t>palmeiras, corinthians, titulos, periodo, paulistao</t>
  </si>
  <si>
    <t>neymar, corinthians, palmeiras, santos, times</t>
  </si>
  <si>
    <t>neymar, mirassol, absurdo, santos, selecao</t>
  </si>
  <si>
    <t>vezes, corinthians, milan, carta, jeito</t>
  </si>
  <si>
    <t>palmeiras, barueri, leila, pereira, abel ferreira</t>
  </si>
  <si>
    <t>corinthians, flamengo, palmeiras, andre, abel ferreira</t>
  </si>
  <si>
    <t>corinthians, venda, vende, seria, menos</t>
  </si>
  <si>
    <t>chegou, jabari, smith, junior, show</t>
  </si>
  <si>
    <t>junior, sao paulo, salazar, benfica, vinicius</t>
  </si>
  <si>
    <t>corinthians, timao, bahia, dorival, contrato</t>
  </si>
  <si>
    <t>dorival, corinthians, contar, crias, terrao</t>
  </si>
  <si>
    <t>palmeiras, verdao, cruzeiro, bruno, rodriguez</t>
  </si>
  <si>
    <t>chuteira, lama, mim, sou, punicao</t>
  </si>
  <si>
    <t>neymar, santos, jornal, gazeta, relacao</t>
  </si>
  <si>
    <t>gremio, corinthians, sao paulo, jornal, gazeta</t>
  </si>
  <si>
    <t>corinthians, volta, reserva, dorival, mes</t>
  </si>
  <si>
    <t>timao, corinthians, sao paulo, torcedor, corintiano</t>
  </si>
  <si>
    <t>corinthians, pecas, aposta, bastidores, clube</t>
  </si>
  <si>
    <t>fluminense, palmeiras, galo, overhampton, flu</t>
  </si>
  <si>
    <t>corinthians, flamengo, palmeiras, titulos, clube</t>
  </si>
  <si>
    <t>precisa, milhao, solucao, caro, papi</t>
  </si>
  <si>
    <t>corinthians, flamengo, timao, yuri, alberto</t>
  </si>
  <si>
    <t>palmeiras, contrato, evangelista, alguns, espaco</t>
  </si>
  <si>
    <t>palmeiras, presidente, ldu, olhando, joguei</t>
  </si>
  <si>
    <t>arbitragem, arbitros, culpa, presidente, cbf</t>
  </si>
  <si>
    <t>corinthians, relacao, milhoes, deais, alisson</t>
  </si>
  <si>
    <t>palmeiras, gazeta, esportiva, mesa, redonda</t>
  </si>
  <si>
    <t>palmeiras, sao paulo, paulista, temporada, libertadores</t>
  </si>
  <si>
    <t>policia, sao paulo, disse, douglas, casares</t>
  </si>
  <si>
    <t>vez, gazeta, problema, filho, passaporte</t>
  </si>
  <si>
    <t>palmeiras, fluminense, john, arias, negociacao</t>
  </si>
  <si>
    <t>palmeiras, mesa, redonda, tarde, promete</t>
  </si>
  <si>
    <t>palmeiras, abel ferreira, presidente, trouxe, interessante</t>
  </si>
  <si>
    <t>dorival, bragantino, sao paulo, inclusive, consolando</t>
  </si>
  <si>
    <t>sensivel, sao paulo, ajudar, claro, colocar</t>
  </si>
  <si>
    <t>corinthians, palmeiras, santos, leila pereira, sao paulo</t>
  </si>
  <si>
    <t>fluminense, corinthians, galo, caso, atletico mineiro</t>
  </si>
  <si>
    <t>corinthians, timao, internacional, vasco, sequencia</t>
  </si>
  <si>
    <t>corinthians, elenco, trabalho, planificacao, diferente</t>
  </si>
  <si>
    <t>vasco, alan, abel ferreira, sao paulo, punicao</t>
  </si>
  <si>
    <t>corinthians, reais, premiacao, brasil, gazeta</t>
  </si>
  <si>
    <t>corinthians, timao, jogos, zona, rebaixamento</t>
  </si>
  <si>
    <t>corinthians, fase, grupos, pedro, segunda</t>
  </si>
  <si>
    <t>corinthians, palmeiras, acusado, marco, buzzi</t>
  </si>
  <si>
    <t>corinthians, palmeiras, gazeta, deve, libertadores</t>
  </si>
  <si>
    <t>sao paulo, conferir, idolo, jornal, gazeta</t>
  </si>
  <si>
    <t>palmeiras, salario, ganha, allianz, park</t>
  </si>
  <si>
    <t>corinthians, palmeiras, barradao, volta, jornal</t>
  </si>
  <si>
    <t>estrelas, fernando, diniz, super, challenge</t>
  </si>
  <si>
    <t>dorival, corinthians, estados, unidos, registram</t>
  </si>
  <si>
    <t>palmeiras, gremio, joga, favorito, voltem</t>
  </si>
  <si>
    <t>palmeiras, voltar, continuar, carreira, europa</t>
  </si>
  <si>
    <t>corinthians, dorival, gaveta, saci, contratar</t>
  </si>
  <si>
    <t>corinthians, posicao, dorival, flamengo, bidu</t>
  </si>
  <si>
    <t>impacto, sao paulo, lucas, passou, lesionado</t>
  </si>
  <si>
    <t>lucas, renovar, lesionado, impacto, sao paulo</t>
  </si>
  <si>
    <t>neymar, cruzeiro, volei, corinthians, enquanto</t>
  </si>
  <si>
    <t>palmeiras, sao paulo, alex, favorito, base</t>
  </si>
  <si>
    <t>palmeiras, verdao, tecnico, abel, ferreira</t>
  </si>
  <si>
    <t>corinthians, botafogo, dorival, indo, junior</t>
  </si>
  <si>
    <t>sky, jornal, gazeta, melhores, lances</t>
  </si>
  <si>
    <t>corinthians, coritiba, ingressos, setor, reais</t>
  </si>
  <si>
    <t>palmeiras, corinthians, flamengo, coritiba, coxa</t>
  </si>
  <si>
    <t>neymar, santos, corinthians, carne, domingo</t>
  </si>
  <si>
    <t>palmeiras, donald, trump, abel ferreira, presidente</t>
  </si>
  <si>
    <t>neymar, convocaria, pessoa, selecao, roberto</t>
  </si>
  <si>
    <t>palmeiras, seja, arbitragem, alex, horizontino</t>
  </si>
  <si>
    <t>fluminense, palmeiras, mauricio, flaco lopes, sao paulo</t>
  </si>
  <si>
    <t>contrato, pouquinho, multa, sao paulo, lucas</t>
  </si>
  <si>
    <t>cidade, presidente, questionada, compraria, guadalajara</t>
  </si>
  <si>
    <t>peso, sao paulo, crisco, diariamente, grupo</t>
  </si>
  <si>
    <t>corinthians, obrigada, kaka, vitoria, falta</t>
  </si>
  <si>
    <t>corinthians, santos, olho, sao paulo, pos</t>
  </si>
  <si>
    <t>corinthians, palmeiras, negociacao, memphis, pagar</t>
  </si>
  <si>
    <t>chuteira, pessoas, onde, sai, podia</t>
  </si>
  <si>
    <t>corinthians, bragantino, palmeiras, justica, flaco lopes</t>
  </si>
  <si>
    <t>camisa, sao paulo, clube, primeira, vez</t>
  </si>
  <si>
    <t>camisa, estatuto, sao paulo, nova, numero</t>
  </si>
  <si>
    <t>corinthians, flamengo, martines, atletico mineiro, punido</t>
  </si>
  <si>
    <t>dorival, corinthians, martines, informacao, temos</t>
  </si>
  <si>
    <t>palmeiras, verdao, titular, chega, arias</t>
  </si>
  <si>
    <t>corinthians, merece, vivenciar, maior, vida</t>
  </si>
  <si>
    <t>corinthians, martines, foto, protocolo, janeiro</t>
  </si>
  <si>
    <t>corinthians, flamengo, palmeiras, botafogo, abel ferreira</t>
  </si>
  <si>
    <t>palmeiras, corinthians, abel ferreira, evangelista, abel</t>
  </si>
  <si>
    <t>corinthians, bahia, neymar, banco, vila belmiro</t>
  </si>
  <si>
    <t>corinthians, divida, timao, deais, bilhoes</t>
  </si>
  <si>
    <t>corinthians, milhoes, palmeiras, seria, negociacao</t>
  </si>
  <si>
    <t>palmeiras, verdao, abel ferreira, sao paulo, mexico</t>
  </si>
  <si>
    <t>santos, palmeiras, flamengo, peixe, corinthians</t>
  </si>
  <si>
    <t>aspas, douglas, medida, fecha, mara</t>
  </si>
  <si>
    <t>palmeiras, abel ferreira, sao paulo, alteracoes, juiz</t>
  </si>
  <si>
    <t>fluminense, palmeiras, verdao, areas, abel ferreira</t>
  </si>
  <si>
    <t>corinthians, sao paulo, vir, mesa, redonda</t>
  </si>
  <si>
    <t>palmeiras, leila pereira, sul, galiote, dirigente</t>
  </si>
  <si>
    <t>palmeiras, peixe, historia, eternamente, grato</t>
  </si>
  <si>
    <t>crespo, declaracoes, precisa, sao paulo, dentro</t>
  </si>
  <si>
    <t>corinthians, cruzeiro, fiel, palmeiras, aquela</t>
  </si>
  <si>
    <t>corinthians, galo, dorival, atletico mineiro, solucao</t>
  </si>
  <si>
    <t>corinthians, dorival, galo, vasco, punho</t>
  </si>
  <si>
    <t>fluminense, flamengo, santos, sao paulo, bassegio</t>
  </si>
  <si>
    <t>corinthians, tic, tac, apareceu, muller</t>
  </si>
  <si>
    <t>corinthians, liverpool, proposta, reais, gazeta</t>
  </si>
  <si>
    <t>vasco, punir, torcedor, clube, detrimento</t>
  </si>
  <si>
    <t>corinthians, rodada, passar, arrecadar, fortuna</t>
  </si>
  <si>
    <t>corinthians, brasil, bahia, risco, inicio</t>
  </si>
  <si>
    <t>coritiba, dorival, corinthians, internacional, flamengo</t>
  </si>
  <si>
    <t>allianz, sport, santos, nome, cruzeiro</t>
  </si>
  <si>
    <t>palmeiras, corinthians, outro, paulinho, brasil</t>
  </si>
  <si>
    <t>corinthians, palmeiras, timao, selecao, italiana</t>
  </si>
  <si>
    <t>palmeiras, nome, estadio, verdao, banco</t>
  </si>
  <si>
    <t>liverpool, madrid, corinthians, atletico, banco</t>
  </si>
  <si>
    <t>corinthians, timao, gosta, chegou, estar</t>
  </si>
  <si>
    <t>corinthians, flamengo, nba, sao paulo, basquete</t>
  </si>
  <si>
    <t>erraram, penaltis, italia, terceiro, quiser</t>
  </si>
  <si>
    <t>coxa, sao paulo, preco, estados, selecao</t>
  </si>
  <si>
    <t>corinthians, neymar, mes, sao paulo, quiser</t>
  </si>
  <si>
    <t>corinthians, fluminense, laterais, vitoria, duvida</t>
  </si>
  <si>
    <t>lucas, sao paulo, atletico mineiro, novamente, fatalidade</t>
  </si>
  <si>
    <t>dorival, corinthians, flamengo, junior, tecnico</t>
  </si>
  <si>
    <t>lucas, marcos, flaco lopes, sao paulo, deve</t>
  </si>
  <si>
    <t>corinthians, sombra, alex, cabral, atual</t>
  </si>
  <si>
    <t>corinthians, coritiba, amanha, obrigada, historia</t>
  </si>
  <si>
    <t>corinthians, coritiba, palmeiras, coxa, possibilidade</t>
  </si>
  <si>
    <t>palmeiras, alex, brasil, pele, rock</t>
  </si>
  <si>
    <t>palmeiras, alan, neymar, leila pereira, rodrigo</t>
  </si>
  <si>
    <t>palmeiras, quero, saber, alex, porcentagem</t>
  </si>
  <si>
    <t>alex, mesa, redonda, mauricio, sao paulo</t>
  </si>
  <si>
    <t>flamengo, corinthians, palmeiras, sao paulo, prioridade</t>
  </si>
  <si>
    <t>corinthians, queria, qual, acontecer, entender</t>
  </si>
  <si>
    <t>palmeiras, verdao, pessoa, poder, presidente</t>
  </si>
  <si>
    <t>santos, lucas, certo, resultados, sao paulo</t>
  </si>
  <si>
    <t>sao paulo, conseguiu, contratar, dinheiro, rival</t>
  </si>
  <si>
    <t>corinthians, memphis, maneira, staff, outra</t>
  </si>
  <si>
    <t>parte, errado, morre, vao, proibir</t>
  </si>
  <si>
    <t>palmeiras, jogos, punicao, paulista, mata</t>
  </si>
  <si>
    <t>obrigada, sao paulo, cotia, bonito, horas</t>
  </si>
  <si>
    <t>gazeta, sao paulo, marco, aurelio, cunha</t>
  </si>
  <si>
    <t>corinthians, dorival, martinz, informacao, martines</t>
  </si>
  <si>
    <t>corinthians, sao paulo, luz, fim, tunel</t>
  </si>
  <si>
    <t>corinthians, palmeiras, derby, perder, forca</t>
  </si>
  <si>
    <t>corinthians, sao paulo, tao, mano, distante</t>
  </si>
  <si>
    <t>precisa, caro, carrilho, martins, amigos</t>
  </si>
  <si>
    <t>verdao, palmeiras, atletico, mineiro, abel ferreira</t>
  </si>
  <si>
    <t>thalis, corinthians, magno, elenco, deve</t>
  </si>
  <si>
    <t>corinthians, bahia, flamengo, vila belmiro, contratacoes</t>
  </si>
  <si>
    <t>santos, corinthians, galo, ron, presidente</t>
  </si>
  <si>
    <t>palmeiras, overhampton, almada, tentando, proposta</t>
  </si>
  <si>
    <t>corinthians, caio, cesar, diretoria, contraproposta</t>
  </si>
  <si>
    <t>corinthians, sao paulo, estadio, esquema, morumbi</t>
  </si>
  <si>
    <t>ideia, palmeiras, abel ferreira, mesa, redonda</t>
  </si>
  <si>
    <t>palmeiras, existe, reforcos, almada, alex</t>
  </si>
  <si>
    <t>corinthians, pirulao, fortaleza, dorival, dinheiro</t>
  </si>
  <si>
    <t>palmeiras, abel, ferreira, sorte, abel ferreira</t>
  </si>
  <si>
    <t>chuva, palmeiras, pessoal, complicado, programa</t>
  </si>
  <si>
    <t>corinthians, lateral, direito, precisa, velocidade</t>
  </si>
  <si>
    <t>flamengo, gerson, russia, mesa, redonda</t>
  </si>
  <si>
    <t>corinthians, maioria, sao paulo, febre, comecar</t>
  </si>
  <si>
    <t>corinthians, dorival, fagner, cruzeiro, informacoes</t>
  </si>
  <si>
    <t>sao paulo, torcedores, carro, presidente, julio</t>
  </si>
  <si>
    <t>neymar, guilherme, sao paulo, resenha, olho</t>
  </si>
  <si>
    <t>bahia, sport, sao paulo, jogos, longe</t>
  </si>
  <si>
    <t>aprende, gazeta, comecando, pessoal, gazetes</t>
  </si>
  <si>
    <t>corinthians, brasil, brasileiro, paga, zona</t>
  </si>
  <si>
    <t>corinthians, barra, vitoria, enxergo, longe</t>
  </si>
  <si>
    <t>bayer, dizem, ajuda, semifinal, nenhuma</t>
  </si>
  <si>
    <t>liverpool, psg, madrid, avanca, semifinal</t>
  </si>
  <si>
    <t>palmeiras, adversario, diretoria, comissao, tecnica</t>
  </si>
  <si>
    <t>selecao, partidas, pais, nunca, italiana</t>
  </si>
  <si>
    <t>corinthians, libertadores, terminar, seguinte, jogos</t>
  </si>
  <si>
    <t>corinthians, sendo, principal, responsavel, tentar</t>
  </si>
  <si>
    <t>dorival, corinthians, selecao, maos, memes</t>
  </si>
  <si>
    <t>corinthians, palmeiras, fluminense, gremio, empate</t>
  </si>
  <si>
    <t>dorival, discussao, italia, italiano, exatamente</t>
  </si>
  <si>
    <t>neymar, otima, forma, fisico, pressao</t>
  </si>
  <si>
    <t>corinthians, jogos, volta, toda, bancada</t>
  </si>
  <si>
    <t>horas, minutos, segundos</t>
  </si>
  <si>
    <t>porta, sao paulo, novos, ares, obrigada</t>
  </si>
  <si>
    <t>dorival, fluminense, corinthians, semanas, lesao</t>
  </si>
  <si>
    <t>paulinho, palmeiras, alex, vitor, roque</t>
  </si>
  <si>
    <t>palmeiras, botafogo, obrigada, abel ferreira, plano</t>
  </si>
  <si>
    <t>fique, jornal, gazeta, amanha, comeca</t>
  </si>
  <si>
    <t>penalti, hugo, amanha, cima, parar</t>
  </si>
  <si>
    <t>flaco, flaco lopes, sao paulo, rafa, respondido</t>
  </si>
  <si>
    <t>palmeiras, corinthians, novo, brasil, campeao</t>
  </si>
  <si>
    <t>vender, palmeiras, proposta, vende, flaco lopes</t>
  </si>
  <si>
    <t>palmeiras, marlon, freitas, novo, robson</t>
  </si>
  <si>
    <t>mauricio, sao paulo, alex, aras, obrigada</t>
  </si>
  <si>
    <t>ciao, tchau, jornal, gazeta</t>
  </si>
  <si>
    <t>corinthians, marcelo, paes, autonomia, comecou</t>
  </si>
  <si>
    <t>palmeiras, romulo, novorizontino, proposta, silvestre</t>
  </si>
  <si>
    <t>grama, pronto, discussao, gramado, sintetico</t>
  </si>
  <si>
    <t>obrigada, galera, fiquem, jornal, gazeta</t>
  </si>
  <si>
    <t>gazeta, semana, mesa, quinta, feira</t>
  </si>
  <si>
    <t>corinthians, metade, enfim, amanha, partir</t>
  </si>
  <si>
    <t>gazeta, ciao, siga, nossas, redes</t>
  </si>
  <si>
    <t>gazeta, tchau, amanha, noticias, opa</t>
  </si>
  <si>
    <t>siga, nossas, redes, sociais, youtube</t>
  </si>
  <si>
    <t>camisa, achei, tchau, sao paulo, miller</t>
  </si>
  <si>
    <t>corinthians, andar, bicicleta, atletico mineiro, nunca</t>
  </si>
  <si>
    <t>corinthians, dorival, conseguia, celular, conseguiram</t>
  </si>
  <si>
    <t>osmar, sentido, chegando, falta, segundos</t>
  </si>
  <si>
    <t>palmeiras, obrigada, abel ferreira, escudo, falo</t>
  </si>
  <si>
    <t>corinthians, hugo, deve, gazeta, obrigada</t>
  </si>
  <si>
    <t>corinthians, memphis, milhoes, folha, sobrar</t>
  </si>
  <si>
    <t>obrigada, concordamos, alexandre, silvestre, alex</t>
  </si>
  <si>
    <t>neymar, corinthians, memphis, santos, dorival</t>
  </si>
  <si>
    <t>corinthians, diga, divida, negocio, vaquinha</t>
  </si>
  <si>
    <t>corinthians, alex, obrigada, miller, disse</t>
  </si>
  <si>
    <t>palmeiras, volta, tendencia, embora, sergio</t>
  </si>
  <si>
    <t>corinthians, dorival, alisson, sao paulo, gosto</t>
  </si>
  <si>
    <t>clubes, sao paulo, erradas, passar, gazeta</t>
  </si>
  <si>
    <t>redes, sociais, comeco, vejo, maus</t>
  </si>
  <si>
    <t>fluminense, palmeiras, quero, botafogo, marlon</t>
  </si>
  <si>
    <t>corinthians, sao paulo, vao, presidente, jornal</t>
  </si>
  <si>
    <t>palmeiras, corinthians, santos, sao paulo, modos</t>
  </si>
  <si>
    <t>palmeiras, torcida, classico, estadio, barueri</t>
  </si>
  <si>
    <t>corinthians, flamengo, milan, dorival, ultima</t>
  </si>
  <si>
    <t>yeah</t>
  </si>
  <si>
    <t>sergio, figurinhas, carimbadas, garantidas, mesa</t>
  </si>
  <si>
    <t>dorival, yuri, voltar, comeco, brasileiro</t>
  </si>
  <si>
    <t>dorival, corinthians, capita, falta, beijo</t>
  </si>
  <si>
    <t>palmeiras, corinthians, santos, gazeta, sao paulo</t>
  </si>
  <si>
    <t>COMENT. 1</t>
  </si>
  <si>
    <t>GARRAFFA</t>
  </si>
  <si>
    <t>MEDIANA 6ª</t>
  </si>
  <si>
    <t>DIFERENÇA</t>
  </si>
  <si>
    <t>ALEX</t>
  </si>
  <si>
    <t>MEDIANA 5ª</t>
  </si>
  <si>
    <t>PAULO SÉRGIO</t>
  </si>
  <si>
    <t>MEDIANA 4ª</t>
  </si>
  <si>
    <t>MEDIANA 3ª</t>
  </si>
  <si>
    <t>MEDIANA 2ª</t>
  </si>
  <si>
    <t>PAULO SERGIO</t>
  </si>
  <si>
    <t>MULLER</t>
  </si>
  <si>
    <t>MÉDIA 3ª</t>
  </si>
  <si>
    <t>MÉDIA 2ª</t>
  </si>
  <si>
    <t>MÉDIA 6ª</t>
  </si>
  <si>
    <t>MÉDIA 5ª</t>
  </si>
  <si>
    <t>MÉDIA 4ª</t>
  </si>
  <si>
    <t>SALAZAR</t>
  </si>
  <si>
    <t>JOSÉ PAIS</t>
  </si>
  <si>
    <t>SILVESTRE</t>
  </si>
  <si>
    <t>COMENT. 2</t>
  </si>
  <si>
    <t>EDER</t>
  </si>
  <si>
    <t>EUGÊNIO</t>
  </si>
  <si>
    <t>MAURO BETING</t>
  </si>
  <si>
    <t>CELSO</t>
  </si>
  <si>
    <t>DIOGO</t>
  </si>
  <si>
    <t>LOEBELING</t>
  </si>
  <si>
    <t>SEMANA 16</t>
  </si>
  <si>
    <t>SEMANA 15</t>
  </si>
  <si>
    <t>SEMANA 14</t>
  </si>
  <si>
    <t>SEMANA 13</t>
  </si>
  <si>
    <t>SEMANA 12</t>
  </si>
  <si>
    <t>SEMANA 11</t>
  </si>
  <si>
    <t>SEMANA 10</t>
  </si>
  <si>
    <t>SEMANA 09</t>
  </si>
  <si>
    <t>SEMANA 08</t>
  </si>
  <si>
    <t>SEMANA 07</t>
  </si>
  <si>
    <t>SEMANA 06</t>
  </si>
  <si>
    <t>SEMANA 05</t>
  </si>
  <si>
    <t>SEMANA 04</t>
  </si>
  <si>
    <t>SEMANA 03</t>
  </si>
  <si>
    <t>SEMANA 02</t>
  </si>
  <si>
    <t>SEMANA 01</t>
  </si>
  <si>
    <t>-</t>
  </si>
  <si>
    <t>MENSAL</t>
  </si>
  <si>
    <t>ABRIL</t>
  </si>
  <si>
    <t>MARÇO</t>
  </si>
  <si>
    <t>FEVEREIRO</t>
  </si>
  <si>
    <t>JANEIRO</t>
  </si>
  <si>
    <t>🔴 TROCAR</t>
  </si>
  <si>
    <t>#ERROR!</t>
  </si>
  <si>
    <t>#REF!</t>
  </si>
  <si>
    <t>🟢 +4</t>
  </si>
  <si>
    <t>🟢 +3</t>
  </si>
  <si>
    <t>🟢 +2</t>
  </si>
  <si>
    <t>🟢 +1</t>
  </si>
  <si>
    <t>🟢 +0</t>
  </si>
  <si>
    <t>🟡 ATENÇÃO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</si>
</sst>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\+0.0%;\-0.0%"/>
  </numFmts>
  <fonts count="13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rgb="FF922B21"/>
      <name val="Calibri"/>
    </font>
    <font>
      <b/>
      <sz val="10"/>
      <color rgb="FF1E8449"/>
      <name val="Calibri"/>
    </font>
    <font>
      <b/>
      <i/>
      <sz val="10"/>
      <color theme="1"/>
      <name val="Calibri"/>
    </font>
    <font>
      <b/>
      <sz val="10"/>
      <color rgb="FF7D6608"/>
      <name val="Calibri"/>
    </font>
    <font>
      <b/>
      <sz val="8"/>
      <color rgb="FF666666"/>
      <name val="Calibri"/>
    </font>
    <font>
      <sz val="8"/>
      <color theme="1"/>
      <name val="Calibri"/>
    </font>
    <font>
      <b/>
      <sz val="8"/>
      <color rgb="FFC9DAF8"/>
      <name val="Calibri"/>
    </font>
    <font>
      <b/>
      <sz val="8"/>
      <color theme="1"/>
      <name val="Calibri"/>
    </font>
  </fonts>
  <fills count="704">
    <fill>
      <patternFill patternType="none"/>
    </fill>
    <fill>
      <patternFill patternType="gray125"/>
    </fill>
    <fill>
      <patternFill patternType="solid">
        <fgColor rgb="FFBC505E"/>
        <bgColor rgb="FFBC505E"/>
      </patternFill>
    </fill>
    <fill>
      <patternFill patternType="solid">
        <fgColor rgb="FFFADBD8"/>
        <bgColor rgb="FFFADBD8"/>
      </patternFill>
    </fill>
    <fill>
      <patternFill patternType="solid">
        <fgColor rgb="FF2C3E50"/>
        <bgColor rgb="FF2C3E50"/>
      </patternFill>
    </fill>
    <fill>
      <patternFill patternType="solid">
        <fgColor rgb="FF1A5276"/>
        <bgColor rgb="FF1A5276"/>
      </patternFill>
    </fill>
    <fill>
      <patternFill patternType="solid">
        <fgColor rgb="FF8E44AD"/>
        <bgColor rgb="FF8E44AD"/>
      </patternFill>
    </fill>
    <fill>
      <patternFill patternType="solid">
        <fgColor rgb="FFE74C3C"/>
        <bgColor rgb="FFE74C3C"/>
      </patternFill>
    </fill>
    <fill>
      <patternFill patternType="solid">
        <fgColor rgb="FF34495E"/>
        <bgColor rgb="FF34495E"/>
      </patternFill>
    </fill>
    <fill>
      <patternFill patternType="solid">
        <fgColor rgb="FF21618C"/>
        <bgColor rgb="FF21618C"/>
      </patternFill>
    </fill>
    <fill>
      <patternFill patternType="solid">
        <fgColor rgb="FF9B59B6"/>
        <bgColor rgb="FF9B59B6"/>
      </patternFill>
    </fill>
    <fill>
      <patternFill patternType="solid">
        <fgColor rgb="FFFFFFFF"/>
        <bgColor rgb="FFFFFFFF"/>
      </patternFill>
    </fill>
    <fill>
      <patternFill patternType="solid">
        <fgColor rgb="FFFFC3C3"/>
        <bgColor rgb="FFFFC3C3"/>
      </patternFill>
    </fill>
    <fill>
      <patternFill patternType="solid">
        <fgColor rgb="FFFFC4C4"/>
        <bgColor rgb="FFFFC4C4"/>
      </patternFill>
    </fill>
    <fill>
      <patternFill patternType="solid">
        <fgColor rgb="FFFDF2F2"/>
        <bgColor rgb="FFFDF2F2"/>
      </patternFill>
    </fill>
    <fill>
      <patternFill patternType="solid">
        <fgColor rgb="FF81A970"/>
        <bgColor rgb="FF81A970"/>
      </patternFill>
    </fill>
    <fill>
      <patternFill patternType="solid">
        <fgColor rgb="FFFFEEEE"/>
        <bgColor rgb="FFFFEEEE"/>
      </patternFill>
    </fill>
    <fill>
      <patternFill patternType="solid">
        <fgColor rgb="FFDCE7D7"/>
        <bgColor rgb="FFDCE7D7"/>
      </patternFill>
    </fill>
    <fill>
      <patternFill patternType="solid">
        <fgColor rgb="FFFF9F9F"/>
        <bgColor rgb="FFFF9F9F"/>
      </patternFill>
    </fill>
    <fill>
      <patternFill patternType="solid">
        <fgColor rgb="FFEFF4ED"/>
        <bgColor rgb="FFEFF4ED"/>
      </patternFill>
    </fill>
    <fill>
      <patternFill patternType="solid">
        <fgColor rgb="FFB1CAA7"/>
        <bgColor rgb="FFB1CAA7"/>
      </patternFill>
    </fill>
    <fill>
      <patternFill patternType="solid">
        <fgColor rgb="FFFF7A7A"/>
        <bgColor rgb="FFFF7A7A"/>
      </patternFill>
    </fill>
    <fill>
      <patternFill patternType="solid">
        <fgColor rgb="FFFFCACA"/>
        <bgColor rgb="FFFFCACA"/>
      </patternFill>
    </fill>
    <fill>
      <patternFill patternType="solid">
        <fgColor rgb="FF48812F"/>
        <bgColor rgb="FF48812F"/>
      </patternFill>
    </fill>
    <fill>
      <patternFill patternType="solid">
        <fgColor rgb="FFE6EEE2"/>
        <bgColor rgb="FFE6EEE2"/>
      </patternFill>
    </fill>
    <fill>
      <patternFill patternType="solid">
        <fgColor rgb="FFB6CDAC"/>
        <bgColor rgb="FFB6CDAC"/>
      </patternFill>
    </fill>
    <fill>
      <patternFill patternType="solid">
        <fgColor rgb="FF8BAF7B"/>
        <bgColor rgb="FF8BAF7B"/>
      </patternFill>
    </fill>
    <fill>
      <patternFill patternType="solid">
        <fgColor rgb="FFBBD0B1"/>
        <bgColor rgb="FFBBD0B1"/>
      </patternFill>
    </fill>
    <fill>
      <patternFill patternType="solid">
        <fgColor rgb="FFFFF2F2"/>
        <bgColor rgb="FFFFF2F2"/>
      </patternFill>
    </fill>
    <fill>
      <patternFill patternType="solid">
        <fgColor rgb="FFFF9999"/>
        <bgColor rgb="FFFF9999"/>
      </patternFill>
    </fill>
    <fill>
      <patternFill patternType="solid">
        <fgColor rgb="FFC0D3B7"/>
        <bgColor rgb="FFC0D3B7"/>
      </patternFill>
    </fill>
    <fill>
      <patternFill patternType="solid">
        <fgColor rgb="FF7DA56B"/>
        <bgColor rgb="FF7DA56B"/>
      </patternFill>
    </fill>
    <fill>
      <patternFill patternType="solid">
        <fgColor rgb="FFE1EBDD"/>
        <bgColor rgb="FFE1EBDD"/>
      </patternFill>
    </fill>
    <fill>
      <patternFill patternType="solid">
        <fgColor rgb="FFFF0000"/>
        <bgColor rgb="FFFF0000"/>
      </patternFill>
    </fill>
    <fill>
      <patternFill patternType="solid">
        <fgColor rgb="FFCEDDC7"/>
        <bgColor rgb="FFCEDDC7"/>
      </patternFill>
    </fill>
    <fill>
      <patternFill patternType="solid">
        <fgColor rgb="FFD3E1CD"/>
        <bgColor rgb="FFD3E1CD"/>
      </patternFill>
    </fill>
    <fill>
      <patternFill patternType="solid">
        <fgColor rgb="FFEBF1E8"/>
        <bgColor rgb="FFEBF1E8"/>
      </patternFill>
    </fill>
    <fill>
      <patternFill patternType="solid">
        <fgColor rgb="FF9EBC91"/>
        <bgColor rgb="FF9EBC91"/>
      </patternFill>
    </fill>
    <fill>
      <patternFill patternType="solid">
        <fgColor rgb="FFACC6A1"/>
        <bgColor rgb="FFACC6A1"/>
      </patternFill>
    </fill>
    <fill>
      <patternFill patternType="solid">
        <fgColor rgb="FFFFF5F5"/>
        <bgColor rgb="FFFFF5F5"/>
      </patternFill>
    </fill>
    <fill>
      <patternFill patternType="solid">
        <fgColor rgb="FFFFBDBD"/>
        <bgColor rgb="FFFFBDBD"/>
      </patternFill>
    </fill>
    <fill>
      <patternFill patternType="solid">
        <fgColor rgb="FF739F60"/>
        <bgColor rgb="FF739F60"/>
      </patternFill>
    </fill>
    <fill>
      <patternFill patternType="solid">
        <fgColor rgb="FF99B98B"/>
        <bgColor rgb="FF99B98B"/>
      </patternFill>
    </fill>
    <fill>
      <patternFill patternType="solid">
        <fgColor rgb="FFFFFBFB"/>
        <bgColor rgb="FFFFFBFB"/>
      </patternFill>
    </fill>
    <fill>
      <patternFill patternType="solid">
        <fgColor rgb="FFFFD0D0"/>
        <bgColor rgb="FFFFD0D0"/>
      </patternFill>
    </fill>
    <fill>
      <patternFill patternType="solid">
        <fgColor rgb="FFFFABAB"/>
        <bgColor rgb="FFFFABAB"/>
      </patternFill>
    </fill>
    <fill>
      <patternFill patternType="solid">
        <fgColor rgb="FFFF8080"/>
        <bgColor rgb="FFFF8080"/>
      </patternFill>
    </fill>
    <fill>
      <patternFill patternType="solid">
        <fgColor rgb="FFFFB1B1"/>
        <bgColor rgb="FFFFB1B1"/>
      </patternFill>
    </fill>
    <fill>
      <patternFill patternType="solid">
        <fgColor rgb="FFFF5555"/>
        <bgColor rgb="FFFF5555"/>
      </patternFill>
    </fill>
    <fill>
      <patternFill patternType="solid">
        <fgColor rgb="FFF4F8F3"/>
        <bgColor rgb="FFF4F8F3"/>
      </patternFill>
    </fill>
    <fill>
      <patternFill patternType="solid">
        <fgColor rgb="FFFF9393"/>
        <bgColor rgb="FFFF9393"/>
      </patternFill>
    </fill>
    <fill>
      <patternFill patternType="solid">
        <fgColor rgb="FFFFB7B7"/>
        <bgColor rgb="FFFFB7B7"/>
      </patternFill>
    </fill>
    <fill>
      <patternFill patternType="solid">
        <fgColor rgb="FFFF7474"/>
        <bgColor rgb="FFFF7474"/>
      </patternFill>
    </fill>
    <fill>
      <patternFill patternType="solid">
        <fgColor rgb="FFC9DAC2"/>
        <bgColor rgb="FFC9DAC2"/>
      </patternFill>
    </fill>
    <fill>
      <patternFill patternType="solid">
        <fgColor rgb="FFFFD6D6"/>
        <bgColor rgb="FFFFD6D6"/>
      </patternFill>
    </fill>
    <fill>
      <patternFill patternType="solid">
        <fgColor rgb="FFA8C39C"/>
        <bgColor rgb="FFA8C39C"/>
      </patternFill>
    </fill>
    <fill>
      <patternFill patternType="solid">
        <fgColor rgb="FFFFE8E8"/>
        <bgColor rgb="FFFFE8E8"/>
      </patternFill>
    </fill>
    <fill>
      <patternFill patternType="solid">
        <fgColor rgb="FFD7E4D2"/>
        <bgColor rgb="FFD7E4D2"/>
      </patternFill>
    </fill>
    <fill>
      <patternFill patternType="solid">
        <fgColor rgb="FFF9FBFF"/>
        <bgColor rgb="FFF9FBFF"/>
      </patternFill>
    </fill>
    <fill>
      <patternFill patternType="solid">
        <fgColor rgb="FFFFBBBB"/>
        <bgColor rgb="FFFFBBBB"/>
      </patternFill>
    </fill>
    <fill>
      <patternFill patternType="solid">
        <fgColor rgb="FF749F61"/>
        <bgColor rgb="FF749F61"/>
      </patternFill>
    </fill>
    <fill>
      <patternFill patternType="solid">
        <fgColor rgb="FFF9FBF8"/>
        <bgColor rgb="FFF9FBF8"/>
      </patternFill>
    </fill>
    <fill>
      <patternFill patternType="solid">
        <fgColor rgb="FFCBDBC4"/>
        <bgColor rgb="FFCBDBC4"/>
      </patternFill>
    </fill>
    <fill>
      <patternFill patternType="solid">
        <fgColor rgb="FFFFC1C1"/>
        <bgColor rgb="FFFFC1C1"/>
      </patternFill>
    </fill>
    <fill>
      <patternFill patternType="solid">
        <fgColor rgb="FFF4F8F2"/>
        <bgColor rgb="FFF4F8F2"/>
      </patternFill>
    </fill>
    <fill>
      <patternFill patternType="solid">
        <fgColor rgb="FFBDD2B4"/>
        <bgColor rgb="FFBDD2B4"/>
      </patternFill>
    </fill>
    <fill>
      <patternFill patternType="solid">
        <fgColor rgb="FFFF6F6F"/>
        <bgColor rgb="FFFF6F6F"/>
      </patternFill>
    </fill>
    <fill>
      <patternFill patternType="solid">
        <fgColor rgb="FFFF9898"/>
        <bgColor rgb="FFFF9898"/>
      </patternFill>
    </fill>
    <fill>
      <patternFill patternType="solid">
        <fgColor rgb="FF3D7922"/>
        <bgColor rgb="FF3D7922"/>
      </patternFill>
    </fill>
    <fill>
      <patternFill patternType="solid">
        <fgColor rgb="FFB4CBAA"/>
        <bgColor rgb="FFB4CBAA"/>
      </patternFill>
    </fill>
    <fill>
      <patternFill patternType="solid">
        <fgColor rgb="FFA2BF95"/>
        <bgColor rgb="FFA2BF95"/>
      </patternFill>
    </fill>
    <fill>
      <patternFill patternType="solid">
        <fgColor rgb="FFB8CFAF"/>
        <bgColor rgb="FFB8CFAF"/>
      </patternFill>
    </fill>
    <fill>
      <patternFill patternType="solid">
        <fgColor rgb="FFAFC8A4"/>
        <bgColor rgb="FFAFC8A4"/>
      </patternFill>
    </fill>
    <fill>
      <patternFill patternType="solid">
        <fgColor rgb="FFCFDEC9"/>
        <bgColor rgb="FFCFDEC9"/>
      </patternFill>
    </fill>
    <fill>
      <patternFill patternType="solid">
        <fgColor rgb="FFD4E1CE"/>
        <bgColor rgb="FFD4E1CE"/>
      </patternFill>
    </fill>
    <fill>
      <patternFill patternType="solid">
        <fgColor rgb="FFFFE4E4"/>
        <bgColor rgb="FFFFE4E4"/>
      </patternFill>
    </fill>
    <fill>
      <patternFill patternType="solid">
        <fgColor rgb="FFFFC7C7"/>
        <bgColor rgb="FFFFC7C7"/>
      </patternFill>
    </fill>
    <fill>
      <patternFill patternType="solid">
        <fgColor rgb="FFFFEAEA"/>
        <bgColor rgb="FFFFEAEA"/>
      </patternFill>
    </fill>
    <fill>
      <patternFill patternType="solid">
        <fgColor rgb="FFFDFEFD"/>
        <bgColor rgb="FFFDFEFD"/>
      </patternFill>
    </fill>
    <fill>
      <patternFill patternType="solid">
        <fgColor rgb="FFABC59F"/>
        <bgColor rgb="FFABC59F"/>
      </patternFill>
    </fill>
    <fill>
      <patternFill patternType="solid">
        <fgColor rgb="FFFF7575"/>
        <bgColor rgb="FFFF7575"/>
      </patternFill>
    </fill>
    <fill>
      <patternFill patternType="solid">
        <fgColor rgb="FF9DBC90"/>
        <bgColor rgb="FF9DBC90"/>
      </patternFill>
    </fill>
    <fill>
      <patternFill patternType="solid">
        <fgColor rgb="FFFFDEDE"/>
        <bgColor rgb="FFFFDEDE"/>
      </patternFill>
    </fill>
    <fill>
      <patternFill patternType="solid">
        <fgColor rgb="FFC2D5B9"/>
        <bgColor rgb="FFC2D5B9"/>
      </patternFill>
    </fill>
    <fill>
      <patternFill patternType="solid">
        <fgColor rgb="FF82A970"/>
        <bgColor rgb="FF82A970"/>
      </patternFill>
    </fill>
    <fill>
      <patternFill patternType="solid">
        <fgColor rgb="FFA6C29A"/>
        <bgColor rgb="FFA6C29A"/>
      </patternFill>
    </fill>
    <fill>
      <patternFill patternType="solid">
        <fgColor rgb="FFD8E5D3"/>
        <bgColor rgb="FFD8E5D3"/>
      </patternFill>
    </fill>
    <fill>
      <patternFill patternType="solid">
        <fgColor rgb="FF588C42"/>
        <bgColor rgb="FF588C42"/>
      </patternFill>
    </fill>
    <fill>
      <patternFill patternType="solid">
        <fgColor rgb="FFFFF0F0"/>
        <bgColor rgb="FFFFF0F0"/>
      </patternFill>
    </fill>
    <fill>
      <patternFill patternType="solid">
        <fgColor rgb="FFFFFCFC"/>
        <bgColor rgb="FFFFFCFC"/>
      </patternFill>
    </fill>
    <fill>
      <patternFill patternType="solid">
        <fgColor rgb="FFFF7B7B"/>
        <bgColor rgb="FFFF7B7B"/>
      </patternFill>
    </fill>
    <fill>
      <patternFill patternType="solid">
        <fgColor rgb="FFC6D8BE"/>
        <bgColor rgb="FFC6D8BE"/>
      </patternFill>
    </fill>
    <fill>
      <patternFill patternType="solid">
        <fgColor rgb="FFFF9E9E"/>
        <bgColor rgb="FFFF9E9E"/>
      </patternFill>
    </fill>
    <fill>
      <patternFill patternType="solid">
        <fgColor rgb="FFFF5252"/>
        <bgColor rgb="FFFF5252"/>
      </patternFill>
    </fill>
    <fill>
      <patternFill patternType="solid">
        <fgColor rgb="FFFFD9D9"/>
        <bgColor rgb="FFFFD9D9"/>
      </patternFill>
    </fill>
    <fill>
      <patternFill patternType="solid">
        <fgColor rgb="FFFF6969"/>
        <bgColor rgb="FFFF6969"/>
      </patternFill>
    </fill>
    <fill>
      <patternFill patternType="solid">
        <fgColor rgb="FFFFB5B5"/>
        <bgColor rgb="FFFFB5B5"/>
      </patternFill>
    </fill>
    <fill>
      <patternFill patternType="solid">
        <fgColor rgb="FFFFAFAF"/>
        <bgColor rgb="FFFFAFAF"/>
      </patternFill>
    </fill>
    <fill>
      <patternFill patternType="solid">
        <fgColor rgb="FFE2EBDE"/>
        <bgColor rgb="FFE2EBDE"/>
      </patternFill>
    </fill>
    <fill>
      <patternFill patternType="solid">
        <fgColor rgb="FFFF4646"/>
        <bgColor rgb="FFFF4646"/>
      </patternFill>
    </fill>
    <fill>
      <patternFill patternType="solid">
        <fgColor rgb="FFFF9292"/>
        <bgColor rgb="FFFF9292"/>
      </patternFill>
    </fill>
    <fill>
      <patternFill patternType="solid">
        <fgColor rgb="FF94B585"/>
        <bgColor rgb="FF94B585"/>
      </patternFill>
    </fill>
    <fill>
      <patternFill patternType="solid">
        <fgColor rgb="FFF1F6FE"/>
        <bgColor rgb="FFF1F6FE"/>
      </patternFill>
    </fill>
    <fill>
      <patternFill patternType="solid">
        <fgColor rgb="FFFFD3D3"/>
        <bgColor rgb="FFFFD3D3"/>
      </patternFill>
    </fill>
    <fill>
      <patternFill patternType="solid">
        <fgColor rgb="FF84AB74"/>
        <bgColor rgb="FF84AB74"/>
      </patternFill>
    </fill>
    <fill>
      <patternFill patternType="solid">
        <fgColor rgb="FFE0EADB"/>
        <bgColor rgb="FFE0EADB"/>
      </patternFill>
    </fill>
    <fill>
      <patternFill patternType="solid">
        <fgColor rgb="FFB0C9A5"/>
        <bgColor rgb="FFB0C9A5"/>
      </patternFill>
    </fill>
    <fill>
      <patternFill patternType="solid">
        <fgColor rgb="FFFAFCF9"/>
        <bgColor rgb="FFFAFCF9"/>
      </patternFill>
    </fill>
    <fill>
      <patternFill patternType="solid">
        <fgColor rgb="FF437E29"/>
        <bgColor rgb="FF437E29"/>
      </patternFill>
    </fill>
    <fill>
      <patternFill patternType="solid">
        <fgColor rgb="FFDBE7D7"/>
        <bgColor rgb="FFDBE7D7"/>
      </patternFill>
    </fill>
    <fill>
      <patternFill patternType="solid">
        <fgColor rgb="FFA7C39B"/>
        <bgColor rgb="FFA7C39B"/>
      </patternFill>
    </fill>
    <fill>
      <patternFill patternType="solid">
        <fgColor rgb="FFFFDFDF"/>
        <bgColor rgb="FFFFDFDF"/>
      </patternFill>
    </fill>
    <fill>
      <patternFill patternType="solid">
        <fgColor rgb="FFE8F0E5"/>
        <bgColor rgb="FFE8F0E5"/>
      </patternFill>
    </fill>
    <fill>
      <patternFill patternType="solid">
        <fgColor rgb="FFFF9696"/>
        <bgColor rgb="FFFF9696"/>
      </patternFill>
    </fill>
    <fill>
      <patternFill patternType="solid">
        <fgColor rgb="FFB9CFAF"/>
        <bgColor rgb="FFB9CFAF"/>
      </patternFill>
    </fill>
    <fill>
      <patternFill patternType="solid">
        <fgColor rgb="FFFFB8B8"/>
        <bgColor rgb="FFFFB8B8"/>
      </patternFill>
    </fill>
    <fill>
      <patternFill patternType="solid">
        <fgColor rgb="FFACC6A0"/>
        <bgColor rgb="FFACC6A0"/>
      </patternFill>
    </fill>
    <fill>
      <patternFill patternType="solid">
        <fgColor rgb="FFE4EDE0"/>
        <bgColor rgb="FFE4EDE0"/>
      </patternFill>
    </fill>
    <fill>
      <patternFill patternType="solid">
        <fgColor rgb="FFB4CCAA"/>
        <bgColor rgb="FFB4CCAA"/>
      </patternFill>
    </fill>
    <fill>
      <patternFill patternType="solid">
        <fgColor rgb="FFF6F9F4"/>
        <bgColor rgb="FFF6F9F4"/>
      </patternFill>
    </fill>
    <fill>
      <patternFill patternType="solid">
        <fgColor rgb="FFFFB2B2"/>
        <bgColor rgb="FFFFB2B2"/>
      </patternFill>
    </fill>
    <fill>
      <patternFill patternType="solid">
        <fgColor rgb="FFFFEFEF"/>
        <bgColor rgb="FFFFEFEF"/>
      </patternFill>
    </fill>
    <fill>
      <patternFill patternType="solid">
        <fgColor rgb="FF6F9C5B"/>
        <bgColor rgb="FF6F9C5B"/>
      </patternFill>
    </fill>
    <fill>
      <patternFill patternType="solid">
        <fgColor rgb="FFFF9C9C"/>
        <bgColor rgb="FFFF9C9C"/>
      </patternFill>
    </fill>
    <fill>
      <patternFill patternType="solid">
        <fgColor rgb="FFFF4E4E"/>
        <bgColor rgb="FFFF4E4E"/>
      </patternFill>
    </fill>
    <fill>
      <patternFill patternType="solid">
        <fgColor rgb="FFFFCECE"/>
        <bgColor rgb="FFFFCECE"/>
      </patternFill>
    </fill>
    <fill>
      <patternFill patternType="solid">
        <fgColor rgb="FFF1F6EF"/>
        <bgColor rgb="FFF1F6EF"/>
      </patternFill>
    </fill>
    <fill>
      <patternFill patternType="solid">
        <fgColor rgb="FFFF6464"/>
        <bgColor rgb="FFFF6464"/>
      </patternFill>
    </fill>
    <fill>
      <patternFill patternType="solid">
        <fgColor rgb="FFFFACAC"/>
        <bgColor rgb="FFFFACAC"/>
      </patternFill>
    </fill>
    <fill>
      <patternFill patternType="solid">
        <fgColor rgb="FFFFA7A7"/>
        <bgColor rgb="FFFFA7A7"/>
      </patternFill>
    </fill>
    <fill>
      <patternFill patternType="solid">
        <fgColor rgb="FFFF9191"/>
        <bgColor rgb="FFFF9191"/>
      </patternFill>
    </fill>
    <fill>
      <patternFill patternType="solid">
        <fgColor rgb="FFFF8B8B"/>
        <bgColor rgb="FFFF8B8B"/>
      </patternFill>
    </fill>
    <fill>
      <patternFill patternType="solid">
        <fgColor rgb="FF62934C"/>
        <bgColor rgb="FF62934C"/>
      </patternFill>
    </fill>
    <fill>
      <patternFill patternType="solid">
        <fgColor rgb="FF89AE79"/>
        <bgColor rgb="FF89AE79"/>
      </patternFill>
    </fill>
    <fill>
      <patternFill patternType="solid">
        <fgColor rgb="FF9EBD91"/>
        <bgColor rgb="FF9EBD91"/>
      </patternFill>
    </fill>
    <fill>
      <patternFill patternType="solid">
        <fgColor rgb="FFE9F0FC"/>
        <bgColor rgb="FFE9F0FC"/>
      </patternFill>
    </fill>
    <fill>
      <patternFill patternType="solid">
        <fgColor rgb="FFFFC8C8"/>
        <bgColor rgb="FFFFC8C8"/>
      </patternFill>
    </fill>
    <fill>
      <patternFill patternType="solid">
        <fgColor rgb="FF64944E"/>
        <bgColor rgb="FF64944E"/>
      </patternFill>
    </fill>
    <fill>
      <patternFill patternType="solid">
        <fgColor rgb="FFF0F5EE"/>
        <bgColor rgb="FFF0F5EE"/>
      </patternFill>
    </fill>
    <fill>
      <patternFill patternType="solid">
        <fgColor rgb="FFA6C299"/>
        <bgColor rgb="FFA6C299"/>
      </patternFill>
    </fill>
    <fill>
      <patternFill patternType="solid">
        <fgColor rgb="FFFFA9A9"/>
        <bgColor rgb="FFFFA9A9"/>
      </patternFill>
    </fill>
    <fill>
      <patternFill patternType="solid">
        <fgColor rgb="FFB2CAA8"/>
        <bgColor rgb="FFB2CAA8"/>
      </patternFill>
    </fill>
    <fill>
      <patternFill patternType="solid">
        <fgColor rgb="FF578C40"/>
        <bgColor rgb="FF578C40"/>
      </patternFill>
    </fill>
    <fill>
      <patternFill patternType="solid">
        <fgColor rgb="FFCFDEC8"/>
        <bgColor rgb="FFCFDEC8"/>
      </patternFill>
    </fill>
    <fill>
      <patternFill patternType="solid">
        <fgColor rgb="FFBED3B6"/>
        <bgColor rgb="FFBED3B6"/>
      </patternFill>
    </fill>
    <fill>
      <patternFill patternType="solid">
        <fgColor rgb="FFECF2E9"/>
        <bgColor rgb="FFECF2E9"/>
      </patternFill>
    </fill>
    <fill>
      <patternFill patternType="solid">
        <fgColor rgb="FFFF9494"/>
        <bgColor rgb="FFFF9494"/>
      </patternFill>
    </fill>
    <fill>
      <patternFill patternType="solid">
        <fgColor rgb="FFFF3F3F"/>
        <bgColor rgb="FFFF3F3F"/>
      </patternFill>
    </fill>
    <fill>
      <patternFill patternType="solid">
        <fgColor rgb="FFFFF8F8"/>
        <bgColor rgb="FFFFF8F8"/>
      </patternFill>
    </fill>
    <fill>
      <patternFill patternType="solid">
        <fgColor rgb="FFFF8E8E"/>
        <bgColor rgb="FFFF8E8E"/>
      </patternFill>
    </fill>
    <fill>
      <patternFill patternType="solid">
        <fgColor rgb="FFFFAEAE"/>
        <bgColor rgb="FFFFAEAE"/>
      </patternFill>
    </fill>
    <fill>
      <patternFill patternType="solid">
        <fgColor rgb="FFFF8989"/>
        <bgColor rgb="FFFF8989"/>
      </patternFill>
    </fill>
    <fill>
      <patternFill patternType="solid">
        <fgColor rgb="FF81A86F"/>
        <bgColor rgb="FF81A86F"/>
      </patternFill>
    </fill>
    <fill>
      <patternFill patternType="solid">
        <fgColor rgb="FFFFEDED"/>
        <bgColor rgb="FFFFEDED"/>
      </patternFill>
    </fill>
    <fill>
      <patternFill patternType="solid">
        <fgColor rgb="FFE8EFE4"/>
        <bgColor rgb="FFE8EFE4"/>
      </patternFill>
    </fill>
    <fill>
      <patternFill patternType="solid">
        <fgColor rgb="FF85AB74"/>
        <bgColor rgb="FF85AB74"/>
      </patternFill>
    </fill>
    <fill>
      <patternFill patternType="solid">
        <fgColor rgb="FFFFF3F3"/>
        <bgColor rgb="FFFFF3F3"/>
      </patternFill>
    </fill>
    <fill>
      <patternFill patternType="solid">
        <fgColor rgb="FFE4ECE0"/>
        <bgColor rgb="FFE4ECE0"/>
      </patternFill>
    </fill>
    <fill>
      <patternFill patternType="solid">
        <fgColor rgb="FF4B8332"/>
        <bgColor rgb="FF4B8332"/>
      </patternFill>
    </fill>
    <fill>
      <patternFill patternType="solid">
        <fgColor rgb="FFAAC49E"/>
        <bgColor rgb="FFAAC49E"/>
      </patternFill>
    </fill>
    <fill>
      <patternFill patternType="solid">
        <fgColor rgb="FFFFB3B3"/>
        <bgColor rgb="FFFFB3B3"/>
      </patternFill>
    </fill>
    <fill>
      <patternFill patternType="solid">
        <fgColor rgb="FFFFE3E3"/>
        <bgColor rgb="FFFFE3E3"/>
      </patternFill>
    </fill>
    <fill>
      <patternFill patternType="solid">
        <fgColor rgb="FFFCFDFC"/>
        <bgColor rgb="FFFCFDFC"/>
      </patternFill>
    </fill>
    <fill>
      <patternFill patternType="solid">
        <fgColor rgb="FFFF5F5F"/>
        <bgColor rgb="FFFF5F5F"/>
      </patternFill>
    </fill>
    <fill>
      <patternFill patternType="solid">
        <fgColor rgb="FFFFB9B9"/>
        <bgColor rgb="FFFFB9B9"/>
      </patternFill>
    </fill>
    <fill>
      <patternFill patternType="solid">
        <fgColor rgb="FFDFE9DB"/>
        <bgColor rgb="FFDFE9DB"/>
      </patternFill>
    </fill>
    <fill>
      <patternFill patternType="solid">
        <fgColor rgb="FFF8FAF7"/>
        <bgColor rgb="FFF8FAF7"/>
      </patternFill>
    </fill>
    <fill>
      <patternFill patternType="solid">
        <fgColor rgb="FFFF4A4A"/>
        <bgColor rgb="FFFF4A4A"/>
      </patternFill>
    </fill>
    <fill>
      <patternFill patternType="solid">
        <fgColor rgb="FFFF8484"/>
        <bgColor rgb="FFFF8484"/>
      </patternFill>
    </fill>
    <fill>
      <patternFill patternType="solid">
        <fgColor rgb="FF95B687"/>
        <bgColor rgb="FF95B687"/>
      </patternFill>
    </fill>
    <fill>
      <patternFill patternType="solid">
        <fgColor rgb="FFFF7E7E"/>
        <bgColor rgb="FFFF7E7E"/>
      </patternFill>
    </fill>
    <fill>
      <patternFill patternType="solid">
        <fgColor rgb="FFE5EEFC"/>
        <bgColor rgb="FFE5EEFC"/>
      </patternFill>
    </fill>
    <fill>
      <patternFill patternType="solid">
        <fgColor rgb="FFEEF5EA"/>
        <bgColor rgb="FFEEF5EA"/>
      </patternFill>
    </fill>
    <fill>
      <patternFill patternType="solid">
        <fgColor rgb="FFE8EFE5"/>
        <bgColor rgb="FFE8EFE5"/>
      </patternFill>
    </fill>
    <fill>
      <patternFill patternType="solid">
        <fgColor rgb="FF97B889"/>
        <bgColor rgb="FF97B889"/>
      </patternFill>
    </fill>
    <fill>
      <patternFill patternType="solid">
        <fgColor rgb="FFFFA0A0"/>
        <bgColor rgb="FFFFA0A0"/>
      </patternFill>
    </fill>
    <fill>
      <patternFill patternType="solid">
        <fgColor rgb="FF93B584"/>
        <bgColor rgb="FF93B584"/>
      </patternFill>
    </fill>
    <fill>
      <patternFill patternType="solid">
        <fgColor rgb="FFFFC5C5"/>
        <bgColor rgb="FFFFC5C5"/>
      </patternFill>
    </fill>
    <fill>
      <patternFill patternType="solid">
        <fgColor rgb="FFD8E4D2"/>
        <bgColor rgb="FFD8E4D2"/>
      </patternFill>
    </fill>
    <fill>
      <patternFill patternType="solid">
        <fgColor rgb="FF5E9149"/>
        <bgColor rgb="FF5E9149"/>
      </patternFill>
    </fill>
    <fill>
      <patternFill patternType="solid">
        <fgColor rgb="FFC4D6BB"/>
        <bgColor rgb="FFC4D6BB"/>
      </patternFill>
    </fill>
    <fill>
      <patternFill patternType="solid">
        <fgColor rgb="FF83AA72"/>
        <bgColor rgb="FF83AA72"/>
      </patternFill>
    </fill>
    <fill>
      <patternFill patternType="solid">
        <fgColor rgb="FFFF7C7C"/>
        <bgColor rgb="FFFF7C7C"/>
      </patternFill>
    </fill>
    <fill>
      <patternFill patternType="solid">
        <fgColor rgb="FFFFCFCF"/>
        <bgColor rgb="FFFFCFCF"/>
      </patternFill>
    </fill>
    <fill>
      <patternFill patternType="solid">
        <fgColor rgb="FF8FB280"/>
        <bgColor rgb="FF8FB280"/>
      </patternFill>
    </fill>
    <fill>
      <patternFill patternType="solid">
        <fgColor rgb="FFFF8686"/>
        <bgColor rgb="FFFF8686"/>
      </patternFill>
    </fill>
    <fill>
      <patternFill patternType="solid">
        <fgColor rgb="FFB7CEAE"/>
        <bgColor rgb="FFB7CEAE"/>
      </patternFill>
    </fill>
    <fill>
      <patternFill patternType="solid">
        <fgColor rgb="FFFFE9E9"/>
        <bgColor rgb="FFFFE9E9"/>
      </patternFill>
    </fill>
    <fill>
      <patternFill patternType="solid">
        <fgColor rgb="FF7BA469"/>
        <bgColor rgb="FF7BA469"/>
      </patternFill>
    </fill>
    <fill>
      <patternFill patternType="solid">
        <fgColor rgb="FFBBD1B2"/>
        <bgColor rgb="FFBBD1B2"/>
      </patternFill>
    </fill>
    <fill>
      <patternFill patternType="solid">
        <fgColor rgb="FFE0EADC"/>
        <bgColor rgb="FFE0EADC"/>
      </patternFill>
    </fill>
    <fill>
      <patternFill patternType="solid">
        <fgColor rgb="FFFFFEFE"/>
        <bgColor rgb="FFFFFEFE"/>
      </patternFill>
    </fill>
    <fill>
      <patternFill patternType="solid">
        <fgColor rgb="FF52883B"/>
        <bgColor rgb="FF52883B"/>
      </patternFill>
    </fill>
    <fill>
      <patternFill patternType="solid">
        <fgColor rgb="FFFF4343"/>
        <bgColor rgb="FFFF4343"/>
      </patternFill>
    </fill>
    <fill>
      <patternFill patternType="solid">
        <fgColor rgb="FF87AC77"/>
        <bgColor rgb="FF87AC77"/>
      </patternFill>
    </fill>
    <fill>
      <patternFill patternType="solid">
        <fgColor rgb="FFFF5D5D"/>
        <bgColor rgb="FFFF5D5D"/>
      </patternFill>
    </fill>
    <fill>
      <patternFill patternType="solid">
        <fgColor rgb="FFFF6C6C"/>
        <bgColor rgb="FFFF6C6C"/>
      </patternFill>
    </fill>
    <fill>
      <patternFill patternType="solid">
        <fgColor rgb="FFFF3E3E"/>
        <bgColor rgb="FFFF3E3E"/>
      </patternFill>
    </fill>
    <fill>
      <patternFill patternType="solid">
        <fgColor rgb="FFFF8181"/>
        <bgColor rgb="FFFF8181"/>
      </patternFill>
    </fill>
    <fill>
      <patternFill patternType="solid">
        <fgColor rgb="FFFFA5A5"/>
        <bgColor rgb="FFFFA5A5"/>
      </patternFill>
    </fill>
    <fill>
      <patternFill patternType="solid">
        <fgColor rgb="FF46802D"/>
        <bgColor rgb="FF46802D"/>
      </patternFill>
    </fill>
    <fill>
      <patternFill patternType="solid">
        <fgColor rgb="FFFFBFBF"/>
        <bgColor rgb="FFFFBFBF"/>
      </patternFill>
    </fill>
    <fill>
      <patternFill patternType="solid">
        <fgColor rgb="FFD0DFC9"/>
        <bgColor rgb="FFD0DFC9"/>
      </patternFill>
    </fill>
    <fill>
      <patternFill patternType="solid">
        <fgColor rgb="FFDEEAFB"/>
        <bgColor rgb="FFDEEAFB"/>
      </patternFill>
    </fill>
    <fill>
      <patternFill patternType="solid">
        <fgColor rgb="FFCEE3C5"/>
        <bgColor rgb="FFCEE3C5"/>
      </patternFill>
    </fill>
    <fill>
      <patternFill patternType="solid">
        <fgColor rgb="FFA3C097"/>
        <bgColor rgb="FFA3C097"/>
      </patternFill>
    </fill>
    <fill>
      <patternFill patternType="solid">
        <fgColor rgb="FFFF9A9A"/>
        <bgColor rgb="FFFF9A9A"/>
      </patternFill>
    </fill>
    <fill>
      <patternFill patternType="solid">
        <fgColor rgb="FF9BBB8E"/>
        <bgColor rgb="FF9BBB8E"/>
      </patternFill>
    </fill>
    <fill>
      <patternFill patternType="solid">
        <fgColor rgb="FF6D9B59"/>
        <bgColor rgb="FF6D9B59"/>
      </patternFill>
    </fill>
    <fill>
      <patternFill patternType="solid">
        <fgColor rgb="FFFDFDFC"/>
        <bgColor rgb="FFFDFDFC"/>
      </patternFill>
    </fill>
    <fill>
      <patternFill patternType="solid">
        <fgColor rgb="FFFFFDFD"/>
        <bgColor rgb="FFFFFDFD"/>
      </patternFill>
    </fill>
    <fill>
      <patternFill patternType="solid">
        <fgColor rgb="FFB3CBA8"/>
        <bgColor rgb="FFB3CBA8"/>
      </patternFill>
    </fill>
    <fill>
      <patternFill patternType="solid">
        <fgColor rgb="FF90B381"/>
        <bgColor rgb="FF90B381"/>
      </patternFill>
    </fill>
    <fill>
      <patternFill patternType="solid">
        <fgColor rgb="FFDAE5D4"/>
        <bgColor rgb="FFDAE5D4"/>
      </patternFill>
    </fill>
    <fill>
      <patternFill patternType="solid">
        <fgColor rgb="FFFF7777"/>
        <bgColor rgb="FFFF7777"/>
      </patternFill>
    </fill>
    <fill>
      <patternFill patternType="solid">
        <fgColor rgb="FFFFA4A4"/>
        <bgColor rgb="FFFFA4A4"/>
      </patternFill>
    </fill>
    <fill>
      <patternFill patternType="solid">
        <fgColor rgb="FFABC5A0"/>
        <bgColor rgb="FFABC5A0"/>
      </patternFill>
    </fill>
    <fill>
      <patternFill patternType="solid">
        <fgColor rgb="FFE5EDE2"/>
        <bgColor rgb="FFE5EDE2"/>
      </patternFill>
    </fill>
    <fill>
      <patternFill patternType="solid">
        <fgColor rgb="FF719D5D"/>
        <bgColor rgb="FF719D5D"/>
      </patternFill>
    </fill>
    <fill>
      <patternFill patternType="solid">
        <fgColor rgb="FF88AD78"/>
        <bgColor rgb="FF88AD78"/>
      </patternFill>
    </fill>
    <fill>
      <patternFill patternType="solid">
        <fgColor rgb="FFCADBC3"/>
        <bgColor rgb="FFCADBC3"/>
      </patternFill>
    </fill>
    <fill>
      <patternFill patternType="solid">
        <fgColor rgb="FF7CA56B"/>
        <bgColor rgb="FF7CA56B"/>
      </patternFill>
    </fill>
    <fill>
      <patternFill patternType="solid">
        <fgColor rgb="FFE9F0E6"/>
        <bgColor rgb="FFE9F0E6"/>
      </patternFill>
    </fill>
    <fill>
      <patternFill patternType="solid">
        <fgColor rgb="FF5D9047"/>
        <bgColor rgb="FF5D9047"/>
      </patternFill>
    </fill>
    <fill>
      <patternFill patternType="solid">
        <fgColor rgb="FFF1F5EF"/>
        <bgColor rgb="FFF1F5EF"/>
      </patternFill>
    </fill>
    <fill>
      <patternFill patternType="solid">
        <fgColor rgb="FF8CB07C"/>
        <bgColor rgb="FF8CB07C"/>
      </patternFill>
    </fill>
    <fill>
      <patternFill patternType="solid">
        <fgColor rgb="FFFF6363"/>
        <bgColor rgb="FFFF6363"/>
      </patternFill>
    </fill>
    <fill>
      <patternFill patternType="solid">
        <fgColor rgb="FFFFCCCC"/>
        <bgColor rgb="FFFFCCCC"/>
      </patternFill>
    </fill>
    <fill>
      <patternFill patternType="solid">
        <fgColor rgb="FFFF9090"/>
        <bgColor rgb="FFFF9090"/>
      </patternFill>
    </fill>
    <fill>
      <patternFill patternType="solid">
        <fgColor rgb="FFEDF3EA"/>
        <bgColor rgb="FFEDF3EA"/>
      </patternFill>
    </fill>
    <fill>
      <patternFill patternType="solid">
        <fgColor rgb="FFDDE8D9"/>
        <bgColor rgb="FFDDE8D9"/>
      </patternFill>
    </fill>
    <fill>
      <patternFill patternType="solid">
        <fgColor rgb="FFFFDADA"/>
        <bgColor rgb="FFFFDADA"/>
      </patternFill>
    </fill>
    <fill>
      <patternFill patternType="solid">
        <fgColor rgb="FFFF6868"/>
        <bgColor rgb="FFFF6868"/>
      </patternFill>
    </fill>
    <fill>
      <patternFill patternType="solid">
        <fgColor rgb="FFFF5959"/>
        <bgColor rgb="FFFF5959"/>
      </patternFill>
    </fill>
    <fill>
      <patternFill patternType="solid">
        <fgColor rgb="FF9FBD92"/>
        <bgColor rgb="FF9FBD92"/>
      </patternFill>
    </fill>
    <fill>
      <patternFill patternType="solid">
        <fgColor rgb="FFFF9595"/>
        <bgColor rgb="FFFF9595"/>
      </patternFill>
    </fill>
    <fill>
      <patternFill patternType="solid">
        <fgColor rgb="FFD8E5FA"/>
        <bgColor rgb="FFD8E5FA"/>
      </patternFill>
    </fill>
    <fill>
      <patternFill patternType="solid">
        <fgColor rgb="FFD5E7CD"/>
        <bgColor rgb="FFD5E7CD"/>
      </patternFill>
    </fill>
    <fill>
      <patternFill patternType="solid">
        <fgColor rgb="FFC7D9C0"/>
        <bgColor rgb="FFC7D9C0"/>
      </patternFill>
    </fill>
    <fill>
      <patternFill patternType="solid">
        <fgColor rgb="FFADC7A2"/>
        <bgColor rgb="FFADC7A2"/>
      </patternFill>
    </fill>
    <fill>
      <patternFill patternType="solid">
        <fgColor rgb="FFFFDDDD"/>
        <bgColor rgb="FFFFDDDD"/>
      </patternFill>
    </fill>
    <fill>
      <patternFill patternType="solid">
        <fgColor rgb="FF79A366"/>
        <bgColor rgb="FF79A366"/>
      </patternFill>
    </fill>
    <fill>
      <patternFill patternType="solid">
        <fgColor rgb="FFFFFAFA"/>
        <bgColor rgb="FFFFFAFA"/>
      </patternFill>
    </fill>
    <fill>
      <patternFill patternType="solid">
        <fgColor rgb="FFD6E3D1"/>
        <bgColor rgb="FFD6E3D1"/>
      </patternFill>
    </fill>
    <fill>
      <patternFill patternType="solid">
        <fgColor rgb="FFA9C49E"/>
        <bgColor rgb="FFA9C49E"/>
      </patternFill>
    </fill>
    <fill>
      <patternFill patternType="solid">
        <fgColor rgb="FF80A86F"/>
        <bgColor rgb="FF80A86F"/>
      </patternFill>
    </fill>
    <fill>
      <patternFill patternType="solid">
        <fgColor rgb="FFFFD8D8"/>
        <bgColor rgb="FFFFD8D8"/>
      </patternFill>
    </fill>
    <fill>
      <patternFill patternType="solid">
        <fgColor rgb="FFFFA3A3"/>
        <bgColor rgb="FFFFA3A3"/>
      </patternFill>
    </fill>
    <fill>
      <patternFill patternType="solid">
        <fgColor rgb="FFFF7373"/>
        <bgColor rgb="FFFF7373"/>
      </patternFill>
    </fill>
    <fill>
      <patternFill patternType="solid">
        <fgColor rgb="FFFFB6B6"/>
        <bgColor rgb="FFFFB6B6"/>
      </patternFill>
    </fill>
    <fill>
      <patternFill patternType="solid">
        <fgColor rgb="FFBCD1B3"/>
        <bgColor rgb="FFBCD1B3"/>
      </patternFill>
    </fill>
    <fill>
      <patternFill patternType="solid">
        <fgColor rgb="FF97B788"/>
        <bgColor rgb="FF97B788"/>
      </patternFill>
    </fill>
    <fill>
      <patternFill patternType="solid">
        <fgColor rgb="FFC0D4B7"/>
        <bgColor rgb="FFC0D4B7"/>
      </patternFill>
    </fill>
    <fill>
      <patternFill patternType="solid">
        <fgColor rgb="FFFF6060"/>
        <bgColor rgb="FFFF6060"/>
      </patternFill>
    </fill>
    <fill>
      <patternFill patternType="solid">
        <fgColor rgb="FFE5EEE2"/>
        <bgColor rgb="FFE5EEE2"/>
      </patternFill>
    </fill>
    <fill>
      <patternFill patternType="solid">
        <fgColor rgb="FFFFEBEB"/>
        <bgColor rgb="FFFFEBEB"/>
      </patternFill>
    </fill>
    <fill>
      <patternFill patternType="solid">
        <fgColor rgb="FFB5CCAA"/>
        <bgColor rgb="FFB5CCAA"/>
      </patternFill>
    </fill>
    <fill>
      <patternFill patternType="solid">
        <fgColor rgb="FFFF6E6E"/>
        <bgColor rgb="FFFF6E6E"/>
      </patternFill>
    </fill>
    <fill>
      <patternFill patternType="solid">
        <fgColor rgb="FFFFE6E6"/>
        <bgColor rgb="FFFFE6E6"/>
      </patternFill>
    </fill>
    <fill>
      <patternFill patternType="solid">
        <fgColor rgb="FFFF5656"/>
        <bgColor rgb="FFFF5656"/>
      </patternFill>
    </fill>
    <fill>
      <patternFill patternType="solid">
        <fgColor rgb="FFFFC0C0"/>
        <bgColor rgb="FFFFC0C0"/>
      </patternFill>
    </fill>
    <fill>
      <patternFill patternType="solid">
        <fgColor rgb="FF669651"/>
        <bgColor rgb="FF669651"/>
      </patternFill>
    </fill>
    <fill>
      <patternFill patternType="solid">
        <fgColor rgb="FFFF7D7D"/>
        <bgColor rgb="FFFF7D7D"/>
      </patternFill>
    </fill>
    <fill>
      <patternFill patternType="solid">
        <fgColor rgb="FFCFDFF9"/>
        <bgColor rgb="FFCFDFF9"/>
      </patternFill>
    </fill>
    <fill>
      <patternFill patternType="solid">
        <fgColor rgb="FFDFECD9"/>
        <bgColor rgb="FFDFECD9"/>
      </patternFill>
    </fill>
    <fill>
      <patternFill patternType="solid">
        <fgColor rgb="FFF8FAF6"/>
        <bgColor rgb="FFF8FAF6"/>
      </patternFill>
    </fill>
    <fill>
      <patternFill patternType="solid">
        <fgColor rgb="FFADC6A1"/>
        <bgColor rgb="FFADC6A1"/>
      </patternFill>
    </fill>
    <fill>
      <patternFill patternType="solid">
        <fgColor rgb="FF709D5D"/>
        <bgColor rgb="FF709D5D"/>
      </patternFill>
    </fill>
    <fill>
      <patternFill patternType="solid">
        <fgColor rgb="FFCDDDC6"/>
        <bgColor rgb="FFCDDDC6"/>
      </patternFill>
    </fill>
    <fill>
      <patternFill patternType="solid">
        <fgColor rgb="FFDFE9DA"/>
        <bgColor rgb="FFDFE9DA"/>
      </patternFill>
    </fill>
    <fill>
      <patternFill patternType="solid">
        <fgColor rgb="FFFFADAD"/>
        <bgColor rgb="FFFFADAD"/>
      </patternFill>
    </fill>
    <fill>
      <patternFill patternType="solid">
        <fgColor rgb="FFFF9B9B"/>
        <bgColor rgb="FFFF9B9B"/>
      </patternFill>
    </fill>
    <fill>
      <patternFill patternType="solid">
        <fgColor rgb="FFFF6D6D"/>
        <bgColor rgb="FFFF6D6D"/>
      </patternFill>
    </fill>
    <fill>
      <patternFill patternType="solid">
        <fgColor rgb="FFC2D5BA"/>
        <bgColor rgb="FFC2D5BA"/>
      </patternFill>
    </fill>
    <fill>
      <patternFill patternType="solid">
        <fgColor rgb="FFFF7676"/>
        <bgColor rgb="FFFF7676"/>
      </patternFill>
    </fill>
    <fill>
      <patternFill patternType="solid">
        <fgColor rgb="FFFBFCFB"/>
        <bgColor rgb="FFFBFCFB"/>
      </patternFill>
    </fill>
    <fill>
      <patternFill patternType="solid">
        <fgColor rgb="FFB4CBA9"/>
        <bgColor rgb="FFB4CBA9"/>
      </patternFill>
    </fill>
    <fill>
      <patternFill patternType="solid">
        <fgColor rgb="FF659550"/>
        <bgColor rgb="FF659550"/>
      </patternFill>
    </fill>
    <fill>
      <patternFill patternType="solid">
        <fgColor rgb="FF77A265"/>
        <bgColor rgb="FF77A265"/>
      </patternFill>
    </fill>
    <fill>
      <patternFill patternType="solid">
        <fgColor rgb="FF508738"/>
        <bgColor rgb="FF508738"/>
      </patternFill>
    </fill>
    <fill>
      <patternFill patternType="solid">
        <fgColor rgb="FF8DB07D"/>
        <bgColor rgb="FF8DB07D"/>
      </patternFill>
    </fill>
    <fill>
      <patternFill patternType="solid">
        <fgColor rgb="FFFF3B3B"/>
        <bgColor rgb="FFFF3B3B"/>
      </patternFill>
    </fill>
    <fill>
      <patternFill patternType="solid">
        <fgColor rgb="FFFFDBDB"/>
        <bgColor rgb="FFFFDBDB"/>
      </patternFill>
    </fill>
    <fill>
      <patternFill patternType="solid">
        <fgColor rgb="FFFF8D8D"/>
        <bgColor rgb="FFFF8D8D"/>
      </patternFill>
    </fill>
    <fill>
      <patternFill patternType="solid">
        <fgColor rgb="FFDBE6D6"/>
        <bgColor rgb="FFDBE6D6"/>
      </patternFill>
    </fill>
    <fill>
      <patternFill patternType="solid">
        <fgColor rgb="FFFF4040"/>
        <bgColor rgb="FFFF4040"/>
      </patternFill>
    </fill>
    <fill>
      <patternFill patternType="solid">
        <fgColor rgb="FFCCDEF9"/>
        <bgColor rgb="FFCCDEF9"/>
      </patternFill>
    </fill>
    <fill>
      <patternFill patternType="solid">
        <fgColor rgb="FFE1EEDB"/>
        <bgColor rgb="FFE1EEDB"/>
      </patternFill>
    </fill>
    <fill>
      <patternFill patternType="solid">
        <fgColor rgb="FFD7E4D1"/>
        <bgColor rgb="FFD7E4D1"/>
      </patternFill>
    </fill>
    <fill>
      <patternFill patternType="solid">
        <fgColor rgb="FFF7F9F5"/>
        <bgColor rgb="FFF7F9F5"/>
      </patternFill>
    </fill>
    <fill>
      <patternFill patternType="solid">
        <fgColor rgb="FFCCDCC5"/>
        <bgColor rgb="FFCCDCC5"/>
      </patternFill>
    </fill>
    <fill>
      <patternFill patternType="solid">
        <fgColor rgb="FF588C41"/>
        <bgColor rgb="FF588C41"/>
      </patternFill>
    </fill>
    <fill>
      <patternFill patternType="solid">
        <fgColor rgb="FFF3F7F1"/>
        <bgColor rgb="FFF3F7F1"/>
      </patternFill>
    </fill>
    <fill>
      <patternFill patternType="solid">
        <fgColor rgb="FFA9C49D"/>
        <bgColor rgb="FFA9C49D"/>
      </patternFill>
    </fill>
    <fill>
      <patternFill patternType="solid">
        <fgColor rgb="FFF0F4ED"/>
        <bgColor rgb="FFF0F4ED"/>
      </patternFill>
    </fill>
    <fill>
      <patternFill patternType="solid">
        <fgColor rgb="FFDEE8D9"/>
        <bgColor rgb="FFDEE8D9"/>
      </patternFill>
    </fill>
    <fill>
      <patternFill patternType="solid">
        <fgColor rgb="FFE5EDE1"/>
        <bgColor rgb="FFE5EDE1"/>
      </patternFill>
    </fill>
    <fill>
      <patternFill patternType="solid">
        <fgColor rgb="FFC5D7BD"/>
        <bgColor rgb="FFC5D7BD"/>
      </patternFill>
    </fill>
    <fill>
      <patternFill patternType="solid">
        <fgColor rgb="FFA5C299"/>
        <bgColor rgb="FFA5C299"/>
      </patternFill>
    </fill>
    <fill>
      <patternFill patternType="solid">
        <fgColor rgb="FFB7CEAD"/>
        <bgColor rgb="FFB7CEAD"/>
      </patternFill>
    </fill>
    <fill>
      <patternFill patternType="solid">
        <fgColor rgb="FF86AC75"/>
        <bgColor rgb="FF86AC75"/>
      </patternFill>
    </fill>
    <fill>
      <patternFill patternType="solid">
        <fgColor rgb="FF9BBA8D"/>
        <bgColor rgb="FF9BBA8D"/>
      </patternFill>
    </fill>
    <fill>
      <patternFill patternType="solid">
        <fgColor rgb="FFFFC6C6"/>
        <bgColor rgb="FFFFC6C6"/>
      </patternFill>
    </fill>
    <fill>
      <patternFill patternType="solid">
        <fgColor rgb="FF82A971"/>
        <bgColor rgb="FF82A971"/>
      </patternFill>
    </fill>
    <fill>
      <patternFill patternType="solid">
        <fgColor rgb="FF6A9855"/>
        <bgColor rgb="FF6A9855"/>
      </patternFill>
    </fill>
    <fill>
      <patternFill patternType="solid">
        <fgColor rgb="FFFF3A3A"/>
        <bgColor rgb="FFFF3A3A"/>
      </patternFill>
    </fill>
    <fill>
      <patternFill patternType="solid">
        <fgColor rgb="FFFF8C8C"/>
        <bgColor rgb="FFFF8C8C"/>
      </patternFill>
    </fill>
    <fill>
      <patternFill patternType="solid">
        <fgColor rgb="FFFFA2A2"/>
        <bgColor rgb="FFFFA2A2"/>
      </patternFill>
    </fill>
    <fill>
      <patternFill patternType="solid">
        <fgColor rgb="FFFF8282"/>
        <bgColor rgb="FFFF8282"/>
      </patternFill>
    </fill>
    <fill>
      <patternFill patternType="solid">
        <fgColor rgb="FFFF1F1F"/>
        <bgColor rgb="FFFF1F1F"/>
      </patternFill>
    </fill>
    <fill>
      <patternFill patternType="solid">
        <fgColor rgb="FFFF7070"/>
        <bgColor rgb="FFFF7070"/>
      </patternFill>
    </fill>
    <fill>
      <patternFill patternType="solid">
        <fgColor rgb="FFFFB4B4"/>
        <bgColor rgb="FFFFB4B4"/>
      </patternFill>
    </fill>
    <fill>
      <patternFill patternType="solid">
        <fgColor rgb="FFFFB0B0"/>
        <bgColor rgb="FFFFB0B0"/>
      </patternFill>
    </fill>
    <fill>
      <patternFill patternType="solid">
        <fgColor rgb="FF78A265"/>
        <bgColor rgb="FF78A265"/>
      </patternFill>
    </fill>
    <fill>
      <patternFill patternType="solid">
        <fgColor rgb="FFFFC2C2"/>
        <bgColor rgb="FFFFC2C2"/>
      </patternFill>
    </fill>
    <fill>
      <patternFill patternType="solid">
        <fgColor rgb="FFC5D9F8"/>
        <bgColor rgb="FFC5D9F8"/>
      </patternFill>
    </fill>
    <fill>
      <patternFill patternType="solid">
        <fgColor rgb="FFD5E7CE"/>
        <bgColor rgb="FFD5E7CE"/>
      </patternFill>
    </fill>
    <fill>
      <patternFill patternType="solid">
        <fgColor rgb="FFC8D9C0"/>
        <bgColor rgb="FFC8D9C0"/>
      </patternFill>
    </fill>
    <fill>
      <patternFill patternType="solid">
        <fgColor rgb="FFC4D7BC"/>
        <bgColor rgb="FFC4D7BC"/>
      </patternFill>
    </fill>
    <fill>
      <patternFill patternType="solid">
        <fgColor rgb="FFD5E2CF"/>
        <bgColor rgb="FFD5E2CF"/>
      </patternFill>
    </fill>
    <fill>
      <patternFill patternType="solid">
        <fgColor rgb="FFFEFEFE"/>
        <bgColor rgb="FFFEFEFE"/>
      </patternFill>
    </fill>
    <fill>
      <patternFill patternType="solid">
        <fgColor rgb="FFD9E5D3"/>
        <bgColor rgb="FFD9E5D3"/>
      </patternFill>
    </fill>
    <fill>
      <patternFill patternType="solid">
        <fgColor rgb="FFF7FAF6"/>
        <bgColor rgb="FFF7FAF6"/>
      </patternFill>
    </fill>
    <fill>
      <patternFill patternType="solid">
        <fgColor rgb="FFEAF0E7"/>
        <bgColor rgb="FFEAF0E7"/>
      </patternFill>
    </fill>
    <fill>
      <patternFill patternType="solid">
        <fgColor rgb="FFFFE2E2"/>
        <bgColor rgb="FFFFE2E2"/>
      </patternFill>
    </fill>
    <fill>
      <patternFill patternType="solid">
        <fgColor rgb="FFE6EEE3"/>
        <bgColor rgb="FFE6EEE3"/>
      </patternFill>
    </fill>
    <fill>
      <patternFill patternType="solid">
        <fgColor rgb="FFFBFCFA"/>
        <bgColor rgb="FFFBFCFA"/>
      </patternFill>
    </fill>
    <fill>
      <patternFill patternType="solid">
        <fgColor rgb="FFC1D4B8"/>
        <bgColor rgb="FFC1D4B8"/>
      </patternFill>
    </fill>
    <fill>
      <patternFill patternType="solid">
        <fgColor rgb="FFFF5757"/>
        <bgColor rgb="FFFF5757"/>
      </patternFill>
    </fill>
    <fill>
      <patternFill patternType="solid">
        <fgColor rgb="FFA2BF96"/>
        <bgColor rgb="FFA2BF96"/>
      </patternFill>
    </fill>
    <fill>
      <patternFill patternType="solid">
        <fgColor rgb="FF91B482"/>
        <bgColor rgb="FF91B482"/>
      </patternFill>
    </fill>
    <fill>
      <patternFill patternType="solid">
        <fgColor rgb="FF95B686"/>
        <bgColor rgb="FF95B686"/>
      </patternFill>
    </fill>
    <fill>
      <patternFill patternType="solid">
        <fgColor rgb="FF8EB17E"/>
        <bgColor rgb="FF8EB17E"/>
      </patternFill>
    </fill>
    <fill>
      <patternFill patternType="solid">
        <fgColor rgb="FFCEDEC8"/>
        <bgColor rgb="FFCEDEC8"/>
      </patternFill>
    </fill>
    <fill>
      <patternFill patternType="solid">
        <fgColor rgb="FFFF8F8F"/>
        <bgColor rgb="FFFF8F8F"/>
      </patternFill>
    </fill>
    <fill>
      <patternFill patternType="solid">
        <fgColor rgb="FFFF3838"/>
        <bgColor rgb="FFFF3838"/>
      </patternFill>
    </fill>
    <fill>
      <patternFill patternType="solid">
        <fgColor rgb="FFFFD1D1"/>
        <bgColor rgb="FFFFD1D1"/>
      </patternFill>
    </fill>
    <fill>
      <patternFill patternType="solid">
        <fgColor rgb="FFFF1E1E"/>
        <bgColor rgb="FFFF1E1E"/>
      </patternFill>
    </fill>
    <fill>
      <patternFill patternType="solid">
        <fgColor rgb="FFFF8787"/>
        <bgColor rgb="FFFF8787"/>
      </patternFill>
    </fill>
    <fill>
      <patternFill patternType="solid">
        <fgColor rgb="FFE3ECDF"/>
        <bgColor rgb="FFE3ECDF"/>
      </patternFill>
    </fill>
    <fill>
      <patternFill patternType="solid">
        <fgColor rgb="FFFFA1A1"/>
        <bgColor rgb="FFFFA1A1"/>
      </patternFill>
    </fill>
    <fill>
      <patternFill patternType="solid">
        <fgColor rgb="FFC3D7F7"/>
        <bgColor rgb="FFC3D7F7"/>
      </patternFill>
    </fill>
    <fill>
      <patternFill patternType="solid">
        <fgColor rgb="FFE9F3E5"/>
        <bgColor rgb="FFE9F3E5"/>
      </patternFill>
    </fill>
    <fill>
      <patternFill patternType="solid">
        <fgColor rgb="FFECF2EA"/>
        <bgColor rgb="FFECF2EA"/>
      </patternFill>
    </fill>
    <fill>
      <patternFill patternType="solid">
        <fgColor rgb="FFD8E4D3"/>
        <bgColor rgb="FFD8E4D3"/>
      </patternFill>
    </fill>
    <fill>
      <patternFill patternType="solid">
        <fgColor rgb="FF598D42"/>
        <bgColor rgb="FF598D42"/>
      </patternFill>
    </fill>
    <fill>
      <patternFill patternType="solid">
        <fgColor rgb="FF3A7820"/>
        <bgColor rgb="FF3A7820"/>
      </patternFill>
    </fill>
    <fill>
      <patternFill patternType="solid">
        <fgColor rgb="FFFFF9F9"/>
        <bgColor rgb="FFFFF9F9"/>
      </patternFill>
    </fill>
    <fill>
      <patternFill patternType="solid">
        <fgColor rgb="FFB3CBA9"/>
        <bgColor rgb="FFB3CBA9"/>
      </patternFill>
    </fill>
    <fill>
      <patternFill patternType="solid">
        <fgColor rgb="FFFF8585"/>
        <bgColor rgb="FFFF8585"/>
      </patternFill>
    </fill>
    <fill>
      <patternFill patternType="solid">
        <fgColor rgb="FFBAD0B1"/>
        <bgColor rgb="FFBAD0B1"/>
      </patternFill>
    </fill>
    <fill>
      <patternFill patternType="solid">
        <fgColor rgb="FF81A870"/>
        <bgColor rgb="FF81A870"/>
      </patternFill>
    </fill>
    <fill>
      <patternFill patternType="solid">
        <fgColor rgb="FF77A164"/>
        <bgColor rgb="FF77A164"/>
      </patternFill>
    </fill>
    <fill>
      <patternFill patternType="solid">
        <fgColor rgb="FFF6F9F5"/>
        <bgColor rgb="FFF6F9F5"/>
      </patternFill>
    </fill>
    <fill>
      <patternFill patternType="solid">
        <fgColor rgb="FFFF6B6B"/>
        <bgColor rgb="FFFF6B6B"/>
      </patternFill>
    </fill>
    <fill>
      <patternFill patternType="solid">
        <fgColor rgb="FF3E7A24"/>
        <bgColor rgb="FF3E7A24"/>
      </patternFill>
    </fill>
    <fill>
      <patternFill patternType="solid">
        <fgColor rgb="FFFF6767"/>
        <bgColor rgb="FFFF6767"/>
      </patternFill>
    </fill>
    <fill>
      <patternFill patternType="solid">
        <fgColor rgb="FFC1D6F7"/>
        <bgColor rgb="FFC1D6F7"/>
      </patternFill>
    </fill>
    <fill>
      <patternFill patternType="solid">
        <fgColor rgb="FFFCFEFC"/>
        <bgColor rgb="FFFCFEFC"/>
      </patternFill>
    </fill>
    <fill>
      <patternFill patternType="solid">
        <fgColor rgb="FFFCFDFB"/>
        <bgColor rgb="FFFCFDFB"/>
      </patternFill>
    </fill>
    <fill>
      <patternFill patternType="solid">
        <fgColor rgb="FFE1EADD"/>
        <bgColor rgb="FFE1EADD"/>
      </patternFill>
    </fill>
    <fill>
      <patternFill patternType="solid">
        <fgColor rgb="FFDAE6D5"/>
        <bgColor rgb="FFDAE6D5"/>
      </patternFill>
    </fill>
    <fill>
      <patternFill patternType="solid">
        <fgColor rgb="FFF2F6F0"/>
        <bgColor rgb="FFF2F6F0"/>
      </patternFill>
    </fill>
    <fill>
      <patternFill patternType="solid">
        <fgColor rgb="FF87AD77"/>
        <bgColor rgb="FF87AD77"/>
      </patternFill>
    </fill>
    <fill>
      <patternFill patternType="solid">
        <fgColor rgb="FF5C8F46"/>
        <bgColor rgb="FF5C8F46"/>
      </patternFill>
    </fill>
    <fill>
      <patternFill patternType="solid">
        <fgColor rgb="FF98B88A"/>
        <bgColor rgb="FF98B88A"/>
      </patternFill>
    </fill>
    <fill>
      <patternFill patternType="solid">
        <fgColor rgb="FFCADAC2"/>
        <bgColor rgb="FFCADAC2"/>
      </patternFill>
    </fill>
    <fill>
      <patternFill patternType="solid">
        <fgColor rgb="FFFFF7F7"/>
        <bgColor rgb="FFFFF7F7"/>
      </patternFill>
    </fill>
    <fill>
      <patternFill patternType="solid">
        <fgColor rgb="FFFF6666"/>
        <bgColor rgb="FFFF6666"/>
      </patternFill>
    </fill>
    <fill>
      <patternFill patternType="solid">
        <fgColor rgb="FFFFAAAA"/>
        <bgColor rgb="FFFFAAAA"/>
      </patternFill>
    </fill>
    <fill>
      <patternFill patternType="solid">
        <fgColor rgb="FF84AA73"/>
        <bgColor rgb="FF84AA73"/>
      </patternFill>
    </fill>
    <fill>
      <patternFill patternType="solid">
        <fgColor rgb="FF62934D"/>
        <bgColor rgb="FF62934D"/>
      </patternFill>
    </fill>
    <fill>
      <patternFill patternType="solid">
        <fgColor rgb="FFEEF4EC"/>
        <bgColor rgb="FFEEF4EC"/>
      </patternFill>
    </fill>
    <fill>
      <patternFill patternType="solid">
        <fgColor rgb="FFFFD5D5"/>
        <bgColor rgb="FFFFD5D5"/>
      </patternFill>
    </fill>
    <fill>
      <patternFill patternType="solid">
        <fgColor rgb="FFFF3737"/>
        <bgColor rgb="FFFF3737"/>
      </patternFill>
    </fill>
    <fill>
      <patternFill patternType="solid">
        <fgColor rgb="FFFF6A6A"/>
        <bgColor rgb="FFFF6A6A"/>
      </patternFill>
    </fill>
    <fill>
      <patternFill patternType="solid">
        <fgColor rgb="FFBDD3F6"/>
        <bgColor rgb="FFBDD3F6"/>
      </patternFill>
    </fill>
    <fill>
      <patternFill patternType="solid">
        <fgColor rgb="FFC8D9C1"/>
        <bgColor rgb="FFC8D9C1"/>
      </patternFill>
    </fill>
    <fill>
      <patternFill patternType="solid">
        <fgColor rgb="FF7AA468"/>
        <bgColor rgb="FF7AA468"/>
      </patternFill>
    </fill>
    <fill>
      <patternFill patternType="solid">
        <fgColor rgb="FF4F8638"/>
        <bgColor rgb="FF4F8638"/>
      </patternFill>
    </fill>
    <fill>
      <patternFill patternType="solid">
        <fgColor rgb="FF9EBC90"/>
        <bgColor rgb="FF9EBC90"/>
      </patternFill>
    </fill>
    <fill>
      <patternFill patternType="solid">
        <fgColor rgb="FF568B3F"/>
        <bgColor rgb="FF568B3F"/>
      </patternFill>
    </fill>
    <fill>
      <patternFill patternType="solid">
        <fgColor rgb="FFFFBCBC"/>
        <bgColor rgb="FFFFBCBC"/>
      </patternFill>
    </fill>
    <fill>
      <patternFill patternType="solid">
        <fgColor rgb="FFFF4B4B"/>
        <bgColor rgb="FFFF4B4B"/>
      </patternFill>
    </fill>
    <fill>
      <patternFill patternType="solid">
        <fgColor rgb="FFB8CEAE"/>
        <bgColor rgb="FFB8CEAE"/>
      </patternFill>
    </fill>
    <fill>
      <patternFill patternType="solid">
        <fgColor rgb="FFFF3636"/>
        <bgColor rgb="FFFF3636"/>
      </patternFill>
    </fill>
    <fill>
      <patternFill patternType="solid">
        <fgColor rgb="FF63944E"/>
        <bgColor rgb="FF63944E"/>
      </patternFill>
    </fill>
    <fill>
      <patternFill patternType="solid">
        <fgColor rgb="FFBBD0B2"/>
        <bgColor rgb="FFBBD0B2"/>
      </patternFill>
    </fill>
    <fill>
      <patternFill patternType="solid">
        <fgColor rgb="FF91B382"/>
        <bgColor rgb="FF91B382"/>
      </patternFill>
    </fill>
    <fill>
      <patternFill patternType="solid">
        <fgColor rgb="FFAEC7A3"/>
        <bgColor rgb="FFAEC7A3"/>
      </patternFill>
    </fill>
    <fill>
      <patternFill patternType="solid">
        <fgColor rgb="FFFFF6F6"/>
        <bgColor rgb="FFFFF6F6"/>
      </patternFill>
    </fill>
    <fill>
      <patternFill patternType="solid">
        <fgColor rgb="FFD2E0CC"/>
        <bgColor rgb="FFD2E0CC"/>
      </patternFill>
    </fill>
    <fill>
      <patternFill patternType="solid">
        <fgColor rgb="FFCBDCC4"/>
        <bgColor rgb="FFCBDCC4"/>
      </patternFill>
    </fill>
    <fill>
      <patternFill patternType="solid">
        <fgColor rgb="FFFFE1E1"/>
        <bgColor rgb="FFFFE1E1"/>
      </patternFill>
    </fill>
    <fill>
      <patternFill patternType="solid">
        <fgColor rgb="FF8DB17E"/>
        <bgColor rgb="FF8DB17E"/>
      </patternFill>
    </fill>
    <fill>
      <patternFill patternType="solid">
        <fgColor rgb="FFFF4F4F"/>
        <bgColor rgb="FFFF4F4F"/>
      </patternFill>
    </fill>
    <fill>
      <patternFill patternType="solid">
        <fgColor rgb="FF60924A"/>
        <bgColor rgb="FF60924A"/>
      </patternFill>
    </fill>
    <fill>
      <patternFill patternType="solid">
        <fgColor rgb="FFFF4747"/>
        <bgColor rgb="FFFF4747"/>
      </patternFill>
    </fill>
    <fill>
      <patternFill patternType="solid">
        <fgColor rgb="FFB8D0F6"/>
        <bgColor rgb="FFB8D0F6"/>
      </patternFill>
    </fill>
    <fill>
      <patternFill patternType="solid">
        <fgColor rgb="FFE4EFDF"/>
        <bgColor rgb="FFE4EFDF"/>
      </patternFill>
    </fill>
    <fill>
      <patternFill patternType="solid">
        <fgColor rgb="FFE4EDE1"/>
        <bgColor rgb="FFE4EDE1"/>
      </patternFill>
    </fill>
    <fill>
      <patternFill patternType="solid">
        <fgColor rgb="FFEEF3EC"/>
        <bgColor rgb="FFEEF3EC"/>
      </patternFill>
    </fill>
    <fill>
      <patternFill patternType="solid">
        <fgColor rgb="FF427D28"/>
        <bgColor rgb="FF427D28"/>
      </patternFill>
    </fill>
    <fill>
      <patternFill patternType="solid">
        <fgColor rgb="FFFFF4F4"/>
        <bgColor rgb="FFFFF4F4"/>
      </patternFill>
    </fill>
    <fill>
      <patternFill patternType="solid">
        <fgColor rgb="FF92B483"/>
        <bgColor rgb="FF92B483"/>
      </patternFill>
    </fill>
    <fill>
      <patternFill patternType="solid">
        <fgColor rgb="FFDEE9DA"/>
        <bgColor rgb="FFDEE9DA"/>
      </patternFill>
    </fill>
    <fill>
      <patternFill patternType="solid">
        <fgColor rgb="FFFF8A8A"/>
        <bgColor rgb="FFFF8A8A"/>
      </patternFill>
    </fill>
    <fill>
      <patternFill patternType="solid">
        <fgColor rgb="FFFF4949"/>
        <bgColor rgb="FFFF4949"/>
      </patternFill>
    </fill>
    <fill>
      <patternFill patternType="solid">
        <fgColor rgb="FFBED3B5"/>
        <bgColor rgb="FFBED3B5"/>
      </patternFill>
    </fill>
    <fill>
      <patternFill patternType="solid">
        <fgColor rgb="FFFF5151"/>
        <bgColor rgb="FFFF5151"/>
      </patternFill>
    </fill>
    <fill>
      <patternFill patternType="solid">
        <fgColor rgb="FFA5C199"/>
        <bgColor rgb="FFA5C199"/>
      </patternFill>
    </fill>
    <fill>
      <patternFill patternType="solid">
        <fgColor rgb="FF8FB27F"/>
        <bgColor rgb="FF8FB27F"/>
      </patternFill>
    </fill>
    <fill>
      <patternFill patternType="solid">
        <fgColor rgb="FFAEC8A3"/>
        <bgColor rgb="FFAEC8A3"/>
      </patternFill>
    </fill>
    <fill>
      <patternFill patternType="solid">
        <fgColor rgb="FF9BBA8E"/>
        <bgColor rgb="FF9BBA8E"/>
      </patternFill>
    </fill>
    <fill>
      <patternFill patternType="solid">
        <fgColor rgb="FFFF4D4D"/>
        <bgColor rgb="FFFF4D4D"/>
      </patternFill>
    </fill>
    <fill>
      <patternFill patternType="solid">
        <fgColor rgb="FFD1E0CB"/>
        <bgColor rgb="FFD1E0CB"/>
      </patternFill>
    </fill>
    <fill>
      <patternFill patternType="solid">
        <fgColor rgb="FFC1D5B9"/>
        <bgColor rgb="FFC1D5B9"/>
      </patternFill>
    </fill>
    <fill>
      <patternFill patternType="solid">
        <fgColor rgb="FF558A3E"/>
        <bgColor rgb="FF558A3E"/>
      </patternFill>
    </fill>
    <fill>
      <patternFill patternType="solid">
        <fgColor rgb="FFFFDCDC"/>
        <bgColor rgb="FFFFDCDC"/>
      </patternFill>
    </fill>
    <fill>
      <patternFill patternType="solid">
        <fgColor rgb="FFFF4545"/>
        <bgColor rgb="FFFF4545"/>
      </patternFill>
    </fill>
    <fill>
      <patternFill patternType="solid">
        <fgColor rgb="FFB5CEF5"/>
        <bgColor rgb="FFB5CEF5"/>
      </patternFill>
    </fill>
    <fill>
      <patternFill patternType="solid">
        <fgColor rgb="FFD8E8D0"/>
        <bgColor rgb="FFD8E8D0"/>
      </patternFill>
    </fill>
    <fill>
      <patternFill patternType="solid">
        <fgColor rgb="FFCBDBC3"/>
        <bgColor rgb="FFCBDBC3"/>
      </patternFill>
    </fill>
    <fill>
      <patternFill patternType="solid">
        <fgColor rgb="FFD1DFCB"/>
        <bgColor rgb="FFD1DFCB"/>
      </patternFill>
    </fill>
    <fill>
      <patternFill patternType="solid">
        <fgColor rgb="FF85AB75"/>
        <bgColor rgb="FF85AB75"/>
      </patternFill>
    </fill>
    <fill>
      <patternFill patternType="solid">
        <fgColor rgb="FF38761D"/>
        <bgColor rgb="FF38761D"/>
      </patternFill>
    </fill>
    <fill>
      <patternFill patternType="solid">
        <fgColor rgb="FF53893C"/>
        <bgColor rgb="FF53893C"/>
      </patternFill>
    </fill>
    <fill>
      <patternFill patternType="solid">
        <fgColor rgb="FFFF4848"/>
        <bgColor rgb="FFFF4848"/>
      </patternFill>
    </fill>
    <fill>
      <patternFill patternType="solid">
        <fgColor rgb="FFFFCDCD"/>
        <bgColor rgb="FFFFCDCD"/>
      </patternFill>
    </fill>
    <fill>
      <patternFill patternType="solid">
        <fgColor rgb="FFD4E2CE"/>
        <bgColor rgb="FFD4E2CE"/>
      </patternFill>
    </fill>
    <fill>
      <patternFill patternType="solid">
        <fgColor rgb="FFFF5050"/>
        <bgColor rgb="FFFF5050"/>
      </patternFill>
    </fill>
    <fill>
      <patternFill patternType="solid">
        <fgColor rgb="FFEAF1E7"/>
        <bgColor rgb="FFEAF1E7"/>
      </patternFill>
    </fill>
    <fill>
      <patternFill patternType="solid">
        <fgColor rgb="FFE7EFE4"/>
        <bgColor rgb="FFE7EFE4"/>
      </patternFill>
    </fill>
    <fill>
      <patternFill patternType="solid">
        <fgColor rgb="FF89AE78"/>
        <bgColor rgb="FF89AE78"/>
      </patternFill>
    </fill>
    <fill>
      <patternFill patternType="solid">
        <fgColor rgb="FFFF4C4C"/>
        <bgColor rgb="FFFF4C4C"/>
      </patternFill>
    </fill>
    <fill>
      <patternFill patternType="solid">
        <fgColor rgb="FFFFE5E5"/>
        <bgColor rgb="FFFFE5E5"/>
      </patternFill>
    </fill>
    <fill>
      <patternFill patternType="solid">
        <fgColor rgb="FFFF3030"/>
        <bgColor rgb="FFFF3030"/>
      </patternFill>
    </fill>
    <fill>
      <patternFill patternType="solid">
        <fgColor rgb="FFFF9D9D"/>
        <bgColor rgb="FFFF9D9D"/>
      </patternFill>
    </fill>
    <fill>
      <patternFill patternType="solid">
        <fgColor rgb="FF598D43"/>
        <bgColor rgb="FF598D43"/>
      </patternFill>
    </fill>
    <fill>
      <patternFill patternType="solid">
        <fgColor rgb="FFF4F7F2"/>
        <bgColor rgb="FFF4F7F2"/>
      </patternFill>
    </fill>
    <fill>
      <patternFill patternType="solid">
        <fgColor rgb="FFFF5C5C"/>
        <bgColor rgb="FFFF5C5C"/>
      </patternFill>
    </fill>
    <fill>
      <patternFill patternType="solid">
        <fgColor rgb="FFB3CCF5"/>
        <bgColor rgb="FFB3CCF5"/>
      </patternFill>
    </fill>
    <fill>
      <patternFill patternType="solid">
        <fgColor rgb="FFDAE9D3"/>
        <bgColor rgb="FFDAE9D3"/>
      </patternFill>
    </fill>
    <fill>
      <patternFill patternType="solid">
        <fgColor rgb="FFD1DFCA"/>
        <bgColor rgb="FFD1DFCA"/>
      </patternFill>
    </fill>
    <fill>
      <patternFill patternType="solid">
        <fgColor rgb="FFAEC8A4"/>
        <bgColor rgb="FFAEC8A4"/>
      </patternFill>
    </fill>
    <fill>
      <patternFill patternType="solid">
        <fgColor rgb="FFBED2B5"/>
        <bgColor rgb="FFBED2B5"/>
      </patternFill>
    </fill>
    <fill>
      <patternFill patternType="solid">
        <fgColor rgb="FF457F2B"/>
        <bgColor rgb="FF457F2B"/>
      </patternFill>
    </fill>
    <fill>
      <patternFill patternType="solid">
        <fgColor rgb="FFE3ECE0"/>
        <bgColor rgb="FFE3ECE0"/>
      </patternFill>
    </fill>
    <fill>
      <patternFill patternType="solid">
        <fgColor rgb="FFFFCBCB"/>
        <bgColor rgb="FFFFCBCB"/>
      </patternFill>
    </fill>
    <fill>
      <patternFill patternType="solid">
        <fgColor rgb="FFFFE7E7"/>
        <bgColor rgb="FFFFE7E7"/>
      </patternFill>
    </fill>
    <fill>
      <patternFill patternType="solid">
        <fgColor rgb="FF96B787"/>
        <bgColor rgb="FF96B787"/>
      </patternFill>
    </fill>
    <fill>
      <patternFill patternType="solid">
        <fgColor rgb="FFFF9797"/>
        <bgColor rgb="FFFF9797"/>
      </patternFill>
    </fill>
    <fill>
      <patternFill patternType="solid">
        <fgColor rgb="FF92B484"/>
        <bgColor rgb="FF92B484"/>
      </patternFill>
    </fill>
    <fill>
      <patternFill patternType="solid">
        <fgColor rgb="FFB5CCAB"/>
        <bgColor rgb="FFB5CCAB"/>
      </patternFill>
    </fill>
    <fill>
      <patternFill patternType="solid">
        <fgColor rgb="FFFFD7D7"/>
        <bgColor rgb="FFFFD7D7"/>
      </patternFill>
    </fill>
    <fill>
      <patternFill patternType="solid">
        <fgColor rgb="FFFF2F2F"/>
        <bgColor rgb="FFFF2F2F"/>
      </patternFill>
    </fill>
    <fill>
      <patternFill patternType="solid">
        <fgColor rgb="FF5E9048"/>
        <bgColor rgb="FF5E9048"/>
      </patternFill>
    </fill>
    <fill>
      <patternFill patternType="solid">
        <fgColor rgb="FFFF5B5B"/>
        <bgColor rgb="FFFF5B5B"/>
      </patternFill>
    </fill>
    <fill>
      <patternFill patternType="solid">
        <fgColor rgb="FFACC8F4"/>
        <bgColor rgb="FFACC8F4"/>
      </patternFill>
    </fill>
    <fill>
      <patternFill patternType="solid">
        <fgColor rgb="FFE0EDDA"/>
        <bgColor rgb="FFE0EDDA"/>
      </patternFill>
    </fill>
    <fill>
      <patternFill patternType="solid">
        <fgColor rgb="FFD5E3D0"/>
        <bgColor rgb="FFD5E3D0"/>
      </patternFill>
    </fill>
    <fill>
      <patternFill patternType="solid">
        <fgColor rgb="FFC6D8BF"/>
        <bgColor rgb="FFC6D8BF"/>
      </patternFill>
    </fill>
    <fill>
      <patternFill patternType="solid">
        <fgColor rgb="FFEDF3EB"/>
        <bgColor rgb="FFEDF3EB"/>
      </patternFill>
    </fill>
    <fill>
      <patternFill patternType="solid">
        <fgColor rgb="FF518739"/>
        <bgColor rgb="FF518739"/>
      </patternFill>
    </fill>
    <fill>
      <patternFill patternType="solid">
        <fgColor rgb="FFF1F5EE"/>
        <bgColor rgb="FFF1F5EE"/>
      </patternFill>
    </fill>
    <fill>
      <patternFill patternType="solid">
        <fgColor rgb="FFEAF1E8"/>
        <bgColor rgb="FFEAF1E8"/>
      </patternFill>
    </fill>
    <fill>
      <patternFill patternType="solid">
        <fgColor rgb="FFFF8383"/>
        <bgColor rgb="FFFF8383"/>
      </patternFill>
    </fill>
    <fill>
      <patternFill patternType="solid">
        <fgColor rgb="FFFFE0E0"/>
        <bgColor rgb="FFFFE0E0"/>
      </patternFill>
    </fill>
    <fill>
      <patternFill patternType="solid">
        <fgColor rgb="FFFF7F7F"/>
        <bgColor rgb="FFFF7F7F"/>
      </patternFill>
    </fill>
    <fill>
      <patternFill patternType="solid">
        <fgColor rgb="FF729E5F"/>
        <bgColor rgb="FF729E5F"/>
      </patternFill>
    </fill>
    <fill>
      <patternFill patternType="solid">
        <fgColor rgb="FF8AAF7A"/>
        <bgColor rgb="FF8AAF7A"/>
      </patternFill>
    </fill>
    <fill>
      <patternFill patternType="solid">
        <fgColor rgb="FFFFD4D4"/>
        <bgColor rgb="FFFFD4D4"/>
      </patternFill>
    </fill>
    <fill>
      <patternFill patternType="solid">
        <fgColor rgb="FFFFA6A6"/>
        <bgColor rgb="FFFFA6A6"/>
      </patternFill>
    </fill>
    <fill>
      <patternFill patternType="solid">
        <fgColor rgb="FFFF2E2E"/>
        <bgColor rgb="FFFF2E2E"/>
      </patternFill>
    </fill>
    <fill>
      <patternFill patternType="solid">
        <fgColor rgb="FF699854"/>
        <bgColor rgb="FF699854"/>
      </patternFill>
    </fill>
    <fill>
      <patternFill patternType="solid">
        <fgColor rgb="FFFF5858"/>
        <bgColor rgb="FFFF5858"/>
      </patternFill>
    </fill>
    <fill>
      <patternFill patternType="solid">
        <fgColor rgb="FFD5F5E3"/>
        <bgColor rgb="FFD5F5E3"/>
      </patternFill>
    </fill>
    <fill>
      <patternFill patternType="solid">
        <fgColor rgb="FFA6C4F3"/>
        <bgColor rgb="FFA6C4F3"/>
      </patternFill>
    </fill>
    <fill>
      <patternFill patternType="solid">
        <fgColor rgb="FFE2EEDC"/>
        <bgColor rgb="FFE2EEDC"/>
      </patternFill>
    </fill>
    <fill>
      <patternFill patternType="solid">
        <fgColor rgb="FF6B9957"/>
        <bgColor rgb="FF6B9957"/>
      </patternFill>
    </fill>
    <fill>
      <patternFill patternType="solid">
        <fgColor rgb="FFF5F9F4"/>
        <bgColor rgb="FFF5F9F4"/>
      </patternFill>
    </fill>
    <fill>
      <patternFill patternType="solid">
        <fgColor rgb="FFF0F5ED"/>
        <bgColor rgb="FFF0F5ED"/>
      </patternFill>
    </fill>
    <fill>
      <patternFill patternType="solid">
        <fgColor rgb="FFFF6565"/>
        <bgColor rgb="FFFF6565"/>
      </patternFill>
    </fill>
    <fill>
      <patternFill patternType="solid">
        <fgColor rgb="FFE7EEE3"/>
        <bgColor rgb="FFE7EEE3"/>
      </patternFill>
    </fill>
    <fill>
      <patternFill patternType="solid">
        <fgColor rgb="FF7AA368"/>
        <bgColor rgb="FF7AA368"/>
      </patternFill>
    </fill>
    <fill>
      <patternFill patternType="solid">
        <fgColor rgb="FFC3D6BB"/>
        <bgColor rgb="FFC3D6BB"/>
      </patternFill>
    </fill>
    <fill>
      <patternFill patternType="solid">
        <fgColor rgb="FFFFF1F1"/>
        <bgColor rgb="FFFFF1F1"/>
      </patternFill>
    </fill>
    <fill>
      <patternFill patternType="solid">
        <fgColor rgb="FFC0D4B8"/>
        <bgColor rgb="FFC0D4B8"/>
      </patternFill>
    </fill>
    <fill>
      <patternFill patternType="solid">
        <fgColor rgb="FFFF6262"/>
        <bgColor rgb="FFFF6262"/>
      </patternFill>
    </fill>
    <fill>
      <patternFill patternType="solid">
        <fgColor rgb="FFFBFDFB"/>
        <bgColor rgb="FFFBFDFB"/>
      </patternFill>
    </fill>
    <fill>
      <patternFill patternType="solid">
        <fgColor rgb="FFA3C2F3"/>
        <bgColor rgb="FFA3C2F3"/>
      </patternFill>
    </fill>
    <fill>
      <patternFill patternType="solid">
        <fgColor rgb="FFF5F8F4"/>
        <bgColor rgb="FFF5F8F4"/>
      </patternFill>
    </fill>
    <fill>
      <patternFill patternType="solid">
        <fgColor rgb="FFFFBABA"/>
        <bgColor rgb="FFFFBABA"/>
      </patternFill>
    </fill>
    <fill>
      <patternFill patternType="solid">
        <fgColor rgb="FFFFBEBE"/>
        <bgColor rgb="FFFFBEBE"/>
      </patternFill>
    </fill>
    <fill>
      <patternFill patternType="solid">
        <fgColor rgb="FFC7D8BF"/>
        <bgColor rgb="FFC7D8BF"/>
      </patternFill>
    </fill>
    <fill>
      <patternFill patternType="solid">
        <fgColor rgb="FF699855"/>
        <bgColor rgb="FF699855"/>
      </patternFill>
    </fill>
    <fill>
      <patternFill patternType="solid">
        <fgColor rgb="FFFF2C2C"/>
        <bgColor rgb="FFFF2C2C"/>
      </patternFill>
    </fill>
    <fill>
      <patternFill patternType="solid">
        <fgColor rgb="FFFFC9C9"/>
        <bgColor rgb="FFFFC9C9"/>
      </patternFill>
    </fill>
    <fill>
      <patternFill patternType="solid">
        <fgColor rgb="FF8CB07D"/>
        <bgColor rgb="FF8CB07D"/>
      </patternFill>
    </fill>
    <fill>
      <patternFill patternType="solid">
        <fgColor rgb="FFA0C0F2"/>
        <bgColor rgb="FFA0C0F2"/>
      </patternFill>
    </fill>
    <fill>
      <patternFill patternType="solid">
        <fgColor rgb="FFE6F1E1"/>
        <bgColor rgb="FFE6F1E1"/>
      </patternFill>
    </fill>
    <fill>
      <patternFill patternType="solid">
        <fgColor rgb="FF4B8333"/>
        <bgColor rgb="FF4B8333"/>
      </patternFill>
    </fill>
    <fill>
      <patternFill patternType="solid">
        <fgColor rgb="FFFF4242"/>
        <bgColor rgb="FFFF4242"/>
      </patternFill>
    </fill>
    <fill>
      <patternFill patternType="solid">
        <fgColor rgb="FF88AD77"/>
        <bgColor rgb="FF88AD77"/>
      </patternFill>
    </fill>
    <fill>
      <patternFill patternType="solid">
        <fgColor rgb="FF96B788"/>
        <bgColor rgb="FF96B788"/>
      </patternFill>
    </fill>
    <fill>
      <patternFill patternType="solid">
        <fgColor rgb="FF5D8F46"/>
        <bgColor rgb="FF5D8F46"/>
      </patternFill>
    </fill>
    <fill>
      <patternFill patternType="solid">
        <fgColor rgb="FFA1BF95"/>
        <bgColor rgb="FFA1BF95"/>
      </patternFill>
    </fill>
    <fill>
      <patternFill patternType="solid">
        <fgColor rgb="FFF5F8F3"/>
        <bgColor rgb="FFF5F8F3"/>
      </patternFill>
    </fill>
    <fill>
      <patternFill patternType="solid">
        <fgColor rgb="FF9CBDF2"/>
        <bgColor rgb="FF9CBDF2"/>
      </patternFill>
    </fill>
    <fill>
      <patternFill patternType="solid">
        <fgColor rgb="FFF8FBF7"/>
        <bgColor rgb="FFF8FBF7"/>
      </patternFill>
    </fill>
    <fill>
      <patternFill patternType="solid">
        <fgColor rgb="FFDDE8D8"/>
        <bgColor rgb="FFDDE8D8"/>
      </patternFill>
    </fill>
    <fill>
      <patternFill patternType="solid">
        <fgColor rgb="FFFFFFFE"/>
        <bgColor rgb="FFFFFFFE"/>
      </patternFill>
    </fill>
    <fill>
      <patternFill patternType="solid">
        <fgColor rgb="FF7DA66B"/>
        <bgColor rgb="FF7DA66B"/>
      </patternFill>
    </fill>
    <fill>
      <patternFill patternType="solid">
        <fgColor rgb="FF53893B"/>
        <bgColor rgb="FF53893B"/>
      </patternFill>
    </fill>
    <fill>
      <patternFill patternType="solid">
        <fgColor rgb="FFA4C198"/>
        <bgColor rgb="FFA4C198"/>
      </patternFill>
    </fill>
    <fill>
      <patternFill patternType="solid">
        <fgColor rgb="FFEEF3EB"/>
        <bgColor rgb="FFEEF3EB"/>
      </patternFill>
    </fill>
    <fill>
      <patternFill patternType="solid">
        <fgColor rgb="FFFF2B2B"/>
        <bgColor rgb="FFFF2B2B"/>
      </patternFill>
    </fill>
    <fill>
      <patternFill patternType="solid">
        <fgColor rgb="FFF3F7F2"/>
        <bgColor rgb="FFF3F7F2"/>
      </patternFill>
    </fill>
    <fill>
      <patternFill patternType="solid">
        <fgColor rgb="FF9BBDF2"/>
        <bgColor rgb="FF9BBDF2"/>
      </patternFill>
    </fill>
    <fill>
      <patternFill patternType="solid">
        <fgColor rgb="FFEBF2E9"/>
        <bgColor rgb="FFEBF2E9"/>
      </patternFill>
    </fill>
    <fill>
      <patternFill patternType="solid">
        <fgColor rgb="FFCCDCC6"/>
        <bgColor rgb="FFCCDCC6"/>
      </patternFill>
    </fill>
    <fill>
      <patternFill patternType="solid">
        <fgColor rgb="FF7EA66C"/>
        <bgColor rgb="FF7EA66C"/>
      </patternFill>
    </fill>
    <fill>
      <patternFill patternType="solid">
        <fgColor rgb="FFFF6161"/>
        <bgColor rgb="FFFF6161"/>
      </patternFill>
    </fill>
    <fill>
      <patternFill patternType="solid">
        <fgColor rgb="FFBCD1B2"/>
        <bgColor rgb="FFBCD1B2"/>
      </patternFill>
    </fill>
    <fill>
      <patternFill patternType="solid">
        <fgColor rgb="FFAEC7A2"/>
        <bgColor rgb="FFAEC7A2"/>
      </patternFill>
    </fill>
    <fill>
      <patternFill patternType="solid">
        <fgColor rgb="FF54893C"/>
        <bgColor rgb="FF54893C"/>
      </patternFill>
    </fill>
    <fill>
      <patternFill patternType="solid">
        <fgColor rgb="FF83AA73"/>
        <bgColor rgb="FF83AA73"/>
      </patternFill>
    </fill>
    <fill>
      <patternFill patternType="solid">
        <fgColor rgb="FFFEF9E7"/>
        <bgColor rgb="FFFEF9E7"/>
      </patternFill>
    </fill>
    <fill>
      <patternFill patternType="solid">
        <fgColor rgb="FF9EBEF2"/>
        <bgColor rgb="FF9EBEF2"/>
      </patternFill>
    </fill>
    <fill>
      <patternFill patternType="solid">
        <fgColor rgb="FFF7FBF6"/>
        <bgColor rgb="FFF7FBF6"/>
      </patternFill>
    </fill>
    <fill>
      <patternFill patternType="solid">
        <fgColor rgb="FF3F7B25"/>
        <bgColor rgb="FF3F7B25"/>
      </patternFill>
    </fill>
    <fill>
      <patternFill patternType="solid">
        <fgColor rgb="FFFF5E5E"/>
        <bgColor rgb="FFFF5E5E"/>
      </patternFill>
    </fill>
    <fill>
      <patternFill patternType="solid">
        <fgColor rgb="FFFF3232"/>
        <bgColor rgb="FFFF3232"/>
      </patternFill>
    </fill>
    <fill>
      <patternFill patternType="solid">
        <fgColor rgb="FFC7D9BF"/>
        <bgColor rgb="FFC7D9BF"/>
      </patternFill>
    </fill>
    <fill>
      <patternFill patternType="solid">
        <fgColor rgb="FF61924B"/>
        <bgColor rgb="FF61924B"/>
      </patternFill>
    </fill>
    <fill>
      <patternFill patternType="solid">
        <fgColor rgb="FFCDDCC6"/>
        <bgColor rgb="FFCDDCC6"/>
      </patternFill>
    </fill>
    <fill>
      <patternFill patternType="solid">
        <fgColor rgb="FF8EB17F"/>
        <bgColor rgb="FF8EB17F"/>
      </patternFill>
    </fill>
    <fill>
      <patternFill patternType="solid">
        <fgColor rgb="FFEFF4EC"/>
        <bgColor rgb="FFEFF4EC"/>
      </patternFill>
    </fill>
    <fill>
      <patternFill patternType="solid">
        <fgColor rgb="FFFF7878"/>
        <bgColor rgb="FFFF7878"/>
      </patternFill>
    </fill>
    <fill>
      <patternFill patternType="solid">
        <fgColor rgb="FFFF5A5A"/>
        <bgColor rgb="FFFF5A5A"/>
      </patternFill>
    </fill>
    <fill>
      <patternFill patternType="solid">
        <fgColor rgb="FF9CBEF2"/>
        <bgColor rgb="FF9CBEF2"/>
      </patternFill>
    </fill>
    <fill>
      <patternFill patternType="solid">
        <fgColor rgb="FFC3D6BA"/>
        <bgColor rgb="FFC3D6BA"/>
      </patternFill>
    </fill>
    <fill>
      <patternFill patternType="solid">
        <fgColor rgb="FF7CA56A"/>
        <bgColor rgb="FF7CA56A"/>
      </patternFill>
    </fill>
    <fill>
      <patternFill patternType="solid">
        <fgColor rgb="FF6E9B5A"/>
        <bgColor rgb="FF6E9B5A"/>
      </patternFill>
    </fill>
    <fill>
      <patternFill patternType="solid">
        <fgColor rgb="FFC5D8BE"/>
        <bgColor rgb="FFC5D8BE"/>
      </patternFill>
    </fill>
    <fill>
      <patternFill patternType="solid">
        <fgColor rgb="FF8DB17D"/>
        <bgColor rgb="FF8DB17D"/>
      </patternFill>
    </fill>
    <fill>
      <patternFill patternType="solid">
        <fgColor rgb="FF5A8E44"/>
        <bgColor rgb="FF5A8E44"/>
      </patternFill>
    </fill>
    <fill>
      <patternFill patternType="solid">
        <fgColor rgb="FFB2CAA7"/>
        <bgColor rgb="FFB2CAA7"/>
      </patternFill>
    </fill>
    <fill>
      <patternFill patternType="solid">
        <fgColor rgb="FFC8DAC1"/>
        <bgColor rgb="FFC8DAC1"/>
      </patternFill>
    </fill>
    <fill>
      <patternFill patternType="solid">
        <fgColor rgb="FFFEFFFE"/>
        <bgColor rgb="FFFEFFFE"/>
      </patternFill>
    </fill>
    <fill>
      <patternFill patternType="solid">
        <fgColor rgb="FFA1BE94"/>
        <bgColor rgb="FFA1BE94"/>
      </patternFill>
    </fill>
    <fill>
      <patternFill patternType="solid">
        <fgColor rgb="FF689754"/>
        <bgColor rgb="FF689754"/>
      </patternFill>
    </fill>
    <fill>
      <patternFill patternType="solid">
        <fgColor rgb="FF93B7F1"/>
        <bgColor rgb="FF93B7F1"/>
      </patternFill>
    </fill>
    <fill>
      <patternFill patternType="solid">
        <fgColor rgb="FFA4C098"/>
        <bgColor rgb="FFA4C098"/>
      </patternFill>
    </fill>
    <fill>
      <patternFill patternType="solid">
        <fgColor rgb="FFFF2929"/>
        <bgColor rgb="FFFF2929"/>
      </patternFill>
    </fill>
    <fill>
      <patternFill patternType="solid">
        <fgColor rgb="FFBACFB0"/>
        <bgColor rgb="FFBACFB0"/>
      </patternFill>
    </fill>
    <fill>
      <patternFill patternType="solid">
        <fgColor rgb="FFBFD3B6"/>
        <bgColor rgb="FFBFD3B6"/>
      </patternFill>
    </fill>
    <fill>
      <patternFill patternType="solid">
        <fgColor rgb="FF8EB27F"/>
        <bgColor rgb="FF8EB27F"/>
      </patternFill>
    </fill>
    <fill>
      <patternFill patternType="solid">
        <fgColor rgb="FF76A163"/>
        <bgColor rgb="FF76A163"/>
      </patternFill>
    </fill>
    <fill>
      <patternFill patternType="solid">
        <fgColor rgb="FFFEFEFD"/>
        <bgColor rgb="FFFEFEFD"/>
      </patternFill>
    </fill>
    <fill>
      <patternFill patternType="solid">
        <fgColor rgb="FF91B6F0"/>
        <bgColor rgb="FF91B6F0"/>
      </patternFill>
    </fill>
    <fill>
      <patternFill patternType="solid">
        <fgColor rgb="FFD0DFCA"/>
        <bgColor rgb="FFD0DFCA"/>
      </patternFill>
    </fill>
    <fill>
      <patternFill patternType="solid">
        <fgColor rgb="FFB5CDAB"/>
        <bgColor rgb="FFB5CDAB"/>
      </patternFill>
    </fill>
    <fill>
      <patternFill patternType="solid">
        <fgColor rgb="FF679752"/>
        <bgColor rgb="FF679752"/>
      </patternFill>
    </fill>
    <fill>
      <patternFill patternType="solid">
        <fgColor rgb="FFFF7272"/>
        <bgColor rgb="FFFF7272"/>
      </patternFill>
    </fill>
    <fill>
      <patternFill patternType="solid">
        <fgColor rgb="FFD6E3D0"/>
        <bgColor rgb="FFD6E3D0"/>
      </patternFill>
    </fill>
    <fill>
      <patternFill patternType="solid">
        <fgColor rgb="FF5A8D43"/>
        <bgColor rgb="FF5A8D43"/>
      </patternFill>
    </fill>
    <fill>
      <patternFill patternType="solid">
        <fgColor rgb="FF8CB3F0"/>
        <bgColor rgb="FF8CB3F0"/>
      </patternFill>
    </fill>
    <fill>
      <patternFill patternType="solid">
        <fgColor rgb="FFFFD2D2"/>
        <bgColor rgb="FFFFD2D2"/>
      </patternFill>
    </fill>
    <fill>
      <patternFill patternType="solid">
        <fgColor rgb="FFBDD2B5"/>
        <bgColor rgb="FFBDD2B5"/>
      </patternFill>
    </fill>
    <fill>
      <patternFill patternType="solid">
        <fgColor rgb="FFD5E2D0"/>
        <bgColor rgb="FFD5E2D0"/>
      </patternFill>
    </fill>
    <fill>
      <patternFill patternType="solid">
        <fgColor rgb="FF5B8F45"/>
        <bgColor rgb="FF5B8F45"/>
      </patternFill>
    </fill>
    <fill>
      <patternFill patternType="solid">
        <fgColor rgb="FFFF2828"/>
        <bgColor rgb="FFFF2828"/>
      </patternFill>
    </fill>
    <fill>
      <patternFill patternType="solid">
        <fgColor rgb="FFFAFCFA"/>
        <bgColor rgb="FFFAFCFA"/>
      </patternFill>
    </fill>
    <fill>
      <patternFill patternType="solid">
        <fgColor rgb="FFB6CDAB"/>
        <bgColor rgb="FFB6CDAB"/>
      </patternFill>
    </fill>
    <fill>
      <patternFill patternType="solid">
        <fgColor rgb="FF85AEEF"/>
        <bgColor rgb="FF85AEEF"/>
      </patternFill>
    </fill>
    <fill>
      <patternFill patternType="solid">
        <fgColor rgb="FF669551"/>
        <bgColor rgb="FF669551"/>
      </patternFill>
    </fill>
    <fill>
      <patternFill patternType="solid">
        <fgColor rgb="FFFF2727"/>
        <bgColor rgb="FFFF2727"/>
      </patternFill>
    </fill>
    <fill>
      <patternFill patternType="solid">
        <fgColor rgb="FFFFA8A8"/>
        <bgColor rgb="FFFFA8A8"/>
      </patternFill>
    </fill>
    <fill>
      <patternFill patternType="solid">
        <fgColor rgb="FF84ADEF"/>
        <bgColor rgb="FF84ADEF"/>
      </patternFill>
    </fill>
    <fill>
      <patternFill patternType="solid">
        <fgColor rgb="FFA0BD93"/>
        <bgColor rgb="FFA0BD93"/>
      </patternFill>
    </fill>
    <fill>
      <patternFill patternType="solid">
        <fgColor rgb="FFAAC59E"/>
        <bgColor rgb="FFAAC59E"/>
      </patternFill>
    </fill>
    <fill>
      <patternFill patternType="solid">
        <fgColor rgb="FF9ABA8D"/>
        <bgColor rgb="FF9ABA8D"/>
      </patternFill>
    </fill>
    <fill>
      <patternFill patternType="solid">
        <fgColor rgb="FFB7CDAD"/>
        <bgColor rgb="FFB7CDAD"/>
      </patternFill>
    </fill>
    <fill>
      <patternFill patternType="solid">
        <fgColor rgb="FFEDF2EA"/>
        <bgColor rgb="FFEDF2EA"/>
      </patternFill>
    </fill>
    <fill>
      <patternFill patternType="solid">
        <fgColor rgb="FFF7F9F6"/>
        <bgColor rgb="FFF7F9F6"/>
      </patternFill>
    </fill>
    <fill>
      <patternFill patternType="solid">
        <fgColor rgb="FFB9CFB0"/>
        <bgColor rgb="FFB9CFB0"/>
      </patternFill>
    </fill>
    <fill>
      <patternFill patternType="solid">
        <fgColor rgb="FF80ABEE"/>
        <bgColor rgb="FF80ABEE"/>
      </patternFill>
    </fill>
    <fill>
      <patternFill patternType="solid">
        <fgColor rgb="FFA8C49D"/>
        <bgColor rgb="FFA8C49D"/>
      </patternFill>
    </fill>
    <fill>
      <patternFill patternType="solid">
        <fgColor rgb="FFFFECEC"/>
        <bgColor rgb="FFFFECEC"/>
      </patternFill>
    </fill>
    <fill>
      <patternFill patternType="solid">
        <fgColor rgb="FF97B789"/>
        <bgColor rgb="FF97B789"/>
      </patternFill>
    </fill>
    <fill>
      <patternFill patternType="solid">
        <fgColor rgb="FFBFD3B7"/>
        <bgColor rgb="FFBFD3B7"/>
      </patternFill>
    </fill>
    <fill>
      <patternFill patternType="solid">
        <fgColor rgb="FFFF2626"/>
        <bgColor rgb="FFFF2626"/>
      </patternFill>
    </fill>
    <fill>
      <patternFill patternType="solid">
        <fgColor rgb="FFFF5454"/>
        <bgColor rgb="FFFF5454"/>
      </patternFill>
    </fill>
    <fill>
      <patternFill patternType="solid">
        <fgColor rgb="FF7CA8ED"/>
        <bgColor rgb="FF7CA8ED"/>
      </patternFill>
    </fill>
    <fill>
      <patternFill patternType="solid">
        <fgColor rgb="FFFDFEFC"/>
        <bgColor rgb="FFFDFEFC"/>
      </patternFill>
    </fill>
    <fill>
      <patternFill patternType="solid">
        <fgColor rgb="FFAAC59F"/>
        <bgColor rgb="FFAAC59F"/>
      </patternFill>
    </fill>
    <fill>
      <patternFill patternType="solid">
        <fgColor rgb="FFDAE5D5"/>
        <bgColor rgb="FFDAE5D5"/>
      </patternFill>
    </fill>
    <fill>
      <patternFill patternType="solid">
        <fgColor rgb="FF7AA7ED"/>
        <bgColor rgb="FF7AA7ED"/>
      </patternFill>
    </fill>
    <fill>
      <patternFill patternType="solid">
        <fgColor rgb="FF6C9A58"/>
        <bgColor rgb="FF6C9A58"/>
      </patternFill>
    </fill>
    <fill>
      <patternFill patternType="solid">
        <fgColor rgb="FFD9E5D4"/>
        <bgColor rgb="FFD9E5D4"/>
      </patternFill>
    </fill>
    <fill>
      <patternFill patternType="solid">
        <fgColor rgb="FFFF1313"/>
        <bgColor rgb="FFFF1313"/>
      </patternFill>
    </fill>
    <fill>
      <patternFill patternType="solid">
        <fgColor rgb="FFA0BE93"/>
        <bgColor rgb="FFA0BE93"/>
      </patternFill>
    </fill>
    <fill>
      <patternFill patternType="solid">
        <fgColor rgb="FFDBE7D6"/>
        <bgColor rgb="FFDBE7D6"/>
      </patternFill>
    </fill>
    <fill>
      <patternFill patternType="solid">
        <fgColor rgb="FF78A5ED"/>
        <bgColor rgb="FF78A5ED"/>
      </patternFill>
    </fill>
    <fill>
      <patternFill patternType="solid">
        <fgColor rgb="FFB1C9A6"/>
        <bgColor rgb="FFB1C9A6"/>
      </patternFill>
    </fill>
    <fill>
      <patternFill patternType="solid">
        <fgColor rgb="FF7DA66C"/>
        <bgColor rgb="FF7DA66C"/>
      </patternFill>
    </fill>
    <fill>
      <patternFill patternType="solid">
        <fgColor rgb="FFFF1212"/>
        <bgColor rgb="FFFF1212"/>
      </patternFill>
    </fill>
    <fill>
      <patternFill patternType="solid">
        <fgColor rgb="FF98B98A"/>
        <bgColor rgb="FF98B98A"/>
      </patternFill>
    </fill>
    <fill>
      <patternFill patternType="solid">
        <fgColor rgb="FF72A2EC"/>
        <bgColor rgb="FF72A2EC"/>
      </patternFill>
    </fill>
    <fill>
      <patternFill patternType="solid">
        <fgColor rgb="FFFF3D3D"/>
        <bgColor rgb="FFFF3D3D"/>
      </patternFill>
    </fill>
    <fill>
      <patternFill patternType="solid">
        <fgColor rgb="FF84AB73"/>
        <bgColor rgb="FF84AB73"/>
      </patternFill>
    </fill>
    <fill>
      <patternFill patternType="solid">
        <fgColor rgb="FF73A2EC"/>
        <bgColor rgb="FF73A2EC"/>
      </patternFill>
    </fill>
    <fill>
      <patternFill patternType="solid">
        <fgColor rgb="FFDDE7D8"/>
        <bgColor rgb="FFDDE7D8"/>
      </patternFill>
    </fill>
    <fill>
      <patternFill patternType="solid">
        <fgColor rgb="FF94B686"/>
        <bgColor rgb="FF94B686"/>
      </patternFill>
    </fill>
    <fill>
      <patternFill patternType="solid">
        <fgColor rgb="FFF9FBF9"/>
        <bgColor rgb="FFF9FBF9"/>
      </patternFill>
    </fill>
    <fill>
      <patternFill patternType="solid">
        <fgColor rgb="FF6F9FEC"/>
        <bgColor rgb="FF6F9FEC"/>
      </patternFill>
    </fill>
    <fill>
      <patternFill patternType="solid">
        <fgColor rgb="FFD2E0CB"/>
        <bgColor rgb="FFD2E0CB"/>
      </patternFill>
    </fill>
    <fill>
      <patternFill patternType="solid">
        <fgColor rgb="FFFF7979"/>
        <bgColor rgb="FFFF7979"/>
      </patternFill>
    </fill>
    <fill>
      <patternFill patternType="solid">
        <fgColor rgb="FF6E9FEC"/>
        <bgColor rgb="FF6E9FEC"/>
      </patternFill>
    </fill>
    <fill>
      <patternFill patternType="solid">
        <fgColor rgb="FFC9DAC1"/>
        <bgColor rgb="FFC9DAC1"/>
      </patternFill>
    </fill>
    <fill>
      <patternFill patternType="solid">
        <fgColor rgb="FF9CBB8E"/>
        <bgColor rgb="FF9CBB8E"/>
      </patternFill>
    </fill>
    <fill>
      <patternFill patternType="solid">
        <fgColor rgb="FFE1EADC"/>
        <bgColor rgb="FFE1EADC"/>
      </patternFill>
    </fill>
    <fill>
      <patternFill patternType="solid">
        <fgColor rgb="FFB1CAA6"/>
        <bgColor rgb="FFB1CAA6"/>
      </patternFill>
    </fill>
    <fill>
      <patternFill patternType="solid">
        <fgColor rgb="FF78A266"/>
        <bgColor rgb="FF78A266"/>
      </patternFill>
    </fill>
    <fill>
      <patternFill patternType="solid">
        <fgColor rgb="FF9CBB8F"/>
        <bgColor rgb="FF9CBB8F"/>
      </patternFill>
    </fill>
    <fill>
      <patternFill patternType="solid">
        <fgColor rgb="FF6D9EEB"/>
        <bgColor rgb="FF6D9EEB"/>
      </patternFill>
    </fill>
    <fill>
      <patternFill patternType="solid">
        <fgColor rgb="FFADC7A1"/>
        <bgColor rgb="FFADC7A1"/>
      </patternFill>
    </fill>
    <fill>
      <patternFill patternType="solid">
        <fgColor rgb="FF9AB98C"/>
        <bgColor rgb="FF9AB98C"/>
      </patternFill>
    </fill>
    <fill>
      <patternFill patternType="solid">
        <fgColor rgb="FF6A9956"/>
        <bgColor rgb="FF6A9956"/>
      </patternFill>
    </fill>
    <fill>
      <patternFill patternType="solid">
        <fgColor rgb="FFF8FBF8"/>
        <bgColor rgb="FFF8FBF8"/>
      </patternFill>
    </fill>
    <fill>
      <patternFill patternType="solid">
        <fgColor rgb="FF71A1EC"/>
        <bgColor rgb="FF71A1EC"/>
      </patternFill>
    </fill>
    <fill>
      <patternFill patternType="solid">
        <fgColor rgb="FFCDDDC7"/>
        <bgColor rgb="FFCDDDC7"/>
      </patternFill>
    </fill>
    <fill>
      <patternFill patternType="solid">
        <fgColor rgb="FF669652"/>
        <bgColor rgb="FF669652"/>
      </patternFill>
    </fill>
    <fill>
      <patternFill patternType="solid">
        <fgColor rgb="FF77A5ED"/>
        <bgColor rgb="FF77A5ED"/>
      </patternFill>
    </fill>
    <fill>
      <patternFill patternType="solid">
        <fgColor rgb="FFF1F6F0"/>
        <bgColor rgb="FFF1F6F0"/>
      </patternFill>
    </fill>
    <fill>
      <patternFill patternType="solid">
        <fgColor rgb="FF709C5C"/>
        <bgColor rgb="FF709C5C"/>
      </patternFill>
    </fill>
    <fill>
      <patternFill patternType="solid">
        <fgColor rgb="FF76A4ED"/>
        <bgColor rgb="FF76A4ED"/>
      </patternFill>
    </fill>
    <fill>
      <patternFill patternType="solid">
        <fgColor rgb="FFC1D4B9"/>
        <bgColor rgb="FFC1D4B9"/>
      </patternFill>
    </fill>
    <fill>
      <patternFill patternType="solid">
        <fgColor rgb="FF79A6ED"/>
        <bgColor rgb="FF79A6ED"/>
      </patternFill>
    </fill>
    <fill>
      <patternFill patternType="solid">
        <fgColor rgb="FFB0C8A5"/>
        <bgColor rgb="FFB0C8A5"/>
      </patternFill>
    </fill>
    <fill>
      <patternFill patternType="solid">
        <fgColor rgb="FFC4D6BC"/>
        <bgColor rgb="FFC4D6BC"/>
      </patternFill>
    </fill>
    <fill>
      <patternFill patternType="solid">
        <fgColor rgb="FF719E5E"/>
        <bgColor rgb="FF719E5E"/>
      </patternFill>
    </fill>
    <fill>
      <patternFill patternType="solid">
        <fgColor rgb="FFD3E1CC"/>
        <bgColor rgb="FFD3E1CC"/>
      </patternFill>
    </fill>
    <fill>
      <patternFill patternType="solid">
        <fgColor rgb="FF5B8E45"/>
        <bgColor rgb="FF5B8E45"/>
      </patternFill>
    </fill>
    <fill>
      <patternFill patternType="solid">
        <fgColor rgb="FFE2EBDD"/>
        <bgColor rgb="FFE2EBDD"/>
      </patternFill>
    </fill>
    <fill>
      <patternFill patternType="solid">
        <fgColor rgb="FF7DA9EE"/>
        <bgColor rgb="FF7DA9EE"/>
      </patternFill>
    </fill>
    <fill>
      <patternFill patternType="solid">
        <fgColor rgb="FFFF3C3C"/>
        <bgColor rgb="FFFF3C3C"/>
      </patternFill>
    </fill>
    <fill>
      <patternFill patternType="solid">
        <fgColor rgb="FF9DBC8F"/>
        <bgColor rgb="FF9DBC8F"/>
      </patternFill>
    </fill>
    <fill>
      <patternFill patternType="solid">
        <fgColor rgb="FF82ACEE"/>
        <bgColor rgb="FF82ACEE"/>
      </patternFill>
    </fill>
    <fill>
      <patternFill patternType="solid">
        <fgColor rgb="FFA7C29B"/>
        <bgColor rgb="FFA7C29B"/>
      </patternFill>
    </fill>
    <fill>
      <patternFill patternType="solid">
        <fgColor rgb="FF5F914A"/>
        <bgColor rgb="FF5F914A"/>
      </patternFill>
    </fill>
    <fill>
      <patternFill patternType="solid">
        <fgColor rgb="FF83ADEF"/>
        <bgColor rgb="FF83ADEF"/>
      </patternFill>
    </fill>
    <fill>
      <patternFill patternType="solid">
        <fgColor rgb="FFFAFBF9"/>
        <bgColor rgb="FFFAFBF9"/>
      </patternFill>
    </fill>
    <fill>
      <patternFill patternType="solid">
        <fgColor rgb="FFE2ECDF"/>
        <bgColor rgb="FFE2ECDF"/>
      </patternFill>
    </fill>
    <fill>
      <patternFill patternType="solid">
        <fgColor rgb="FFFF2A2A"/>
        <bgColor rgb="FFFF2A2A"/>
      </patternFill>
    </fill>
    <fill>
      <patternFill patternType="solid">
        <fgColor rgb="FF88B0EF"/>
        <bgColor rgb="FF88B0EF"/>
      </patternFill>
    </fill>
    <fill>
      <patternFill patternType="solid">
        <fgColor rgb="FFFF1717"/>
        <bgColor rgb="FFFF1717"/>
      </patternFill>
    </fill>
    <fill>
      <patternFill patternType="solid">
        <fgColor rgb="FF4C8434"/>
        <bgColor rgb="FF4C8434"/>
      </patternFill>
    </fill>
    <fill>
      <patternFill patternType="solid">
        <fgColor rgb="FF8BB2F0"/>
        <bgColor rgb="FF8BB2F0"/>
      </patternFill>
    </fill>
    <fill>
      <patternFill patternType="solid">
        <fgColor rgb="FF99B98C"/>
        <bgColor rgb="FF99B98C"/>
      </patternFill>
    </fill>
    <fill>
      <patternFill patternType="solid">
        <fgColor rgb="FF8AB1EF"/>
        <bgColor rgb="FF8AB1EF"/>
      </patternFill>
    </fill>
    <fill>
      <patternFill patternType="solid">
        <fgColor rgb="FF7AA367"/>
        <bgColor rgb="FF7AA367"/>
      </patternFill>
    </fill>
    <fill>
      <patternFill patternType="solid">
        <fgColor rgb="FFABC6A0"/>
        <bgColor rgb="FFABC6A0"/>
      </patternFill>
    </fill>
    <fill>
      <patternFill patternType="solid">
        <fgColor rgb="FFD7E3D1"/>
        <bgColor rgb="FFD7E3D1"/>
      </patternFill>
    </fill>
    <fill>
      <patternFill patternType="solid">
        <fgColor rgb="FFBAD0B0"/>
        <bgColor rgb="FFBAD0B0"/>
      </patternFill>
    </fill>
    <fill>
      <patternFill patternType="solid">
        <fgColor rgb="FFBDD1B3"/>
        <bgColor rgb="FFBDD1B3"/>
      </patternFill>
    </fill>
    <fill>
      <patternFill patternType="solid">
        <fgColor rgb="FFA3C096"/>
        <bgColor rgb="FFA3C096"/>
      </patternFill>
    </fill>
    <fill>
      <patternFill patternType="solid">
        <fgColor rgb="FF7BA56A"/>
        <bgColor rgb="FF7BA56A"/>
      </patternFill>
    </fill>
    <fill>
      <patternFill patternType="solid">
        <fgColor rgb="FFA5C198"/>
        <bgColor rgb="FFA5C198"/>
      </patternFill>
    </fill>
    <fill>
      <patternFill patternType="solid">
        <fgColor rgb="FFB6CDAD"/>
        <bgColor rgb="FFB6CDAD"/>
      </patternFill>
    </fill>
    <fill>
      <patternFill patternType="solid">
        <fgColor rgb="FF87AFEF"/>
        <bgColor rgb="FF87AFEF"/>
      </patternFill>
    </fill>
    <fill>
      <patternFill patternType="solid">
        <fgColor rgb="FFC5D7BE"/>
        <bgColor rgb="FFC5D7BE"/>
      </patternFill>
    </fill>
    <fill>
      <patternFill patternType="solid">
        <fgColor rgb="FF94B685"/>
        <bgColor rgb="FF94B685"/>
      </patternFill>
    </fill>
    <fill>
      <patternFill patternType="solid">
        <fgColor rgb="FF89B0EF"/>
        <bgColor rgb="FF89B0EF"/>
      </patternFill>
    </fill>
    <fill>
      <patternFill patternType="solid">
        <fgColor rgb="FFF0F6ED"/>
        <bgColor rgb="FFF0F6ED"/>
      </patternFill>
    </fill>
    <fill>
      <patternFill patternType="solid">
        <fgColor rgb="FF9DBB8F"/>
        <bgColor rgb="FF9DBB8F"/>
      </patternFill>
    </fill>
    <fill>
      <patternFill patternType="solid">
        <fgColor rgb="FF8AAF7B"/>
        <bgColor rgb="FF8AAF7B"/>
      </patternFill>
    </fill>
    <fill>
      <patternFill patternType="solid">
        <fgColor rgb="FF729E5E"/>
        <bgColor rgb="FF729E5E"/>
      </patternFill>
    </fill>
    <fill>
      <patternFill patternType="solid">
        <fgColor rgb="FF434343"/>
        <bgColor rgb="FF434343"/>
      </patternFill>
    </fill>
    <fill>
      <patternFill patternType="solid">
        <fgColor rgb="FF741B47"/>
        <bgColor rgb="FF741B47"/>
      </patternFill>
    </fill>
    <fill>
      <patternFill patternType="solid">
        <fgColor rgb="FFDAEAD3"/>
        <bgColor rgb="FFDAEAD3"/>
      </patternFill>
    </fill>
    <fill>
      <patternFill patternType="solid">
        <fgColor rgb="FF78A465"/>
        <bgColor rgb="FF78A465"/>
      </patternFill>
    </fill>
    <fill>
      <patternFill patternType="solid">
        <fgColor rgb="FF498331"/>
        <bgColor rgb="FF498331"/>
      </patternFill>
    </fill>
    <fill>
      <patternFill patternType="solid">
        <fgColor rgb="FFB1CDA5"/>
        <bgColor rgb="FFB1CDA5"/>
      </patternFill>
    </fill>
    <fill>
      <patternFill patternType="solid">
        <fgColor rgb="FFB8D2AC"/>
        <bgColor rgb="FFB8D2AC"/>
      </patternFill>
    </fill>
    <fill>
      <patternFill patternType="solid">
        <fgColor rgb="FFC2D9B8"/>
        <bgColor rgb="FFC2D9B8"/>
      </patternFill>
    </fill>
    <fill>
      <patternFill patternType="solid">
        <fgColor rgb="FF6B9B56"/>
        <bgColor rgb="FF6B9B56"/>
      </patternFill>
    </fill>
    <fill>
      <patternFill patternType="solid">
        <fgColor rgb="FF5E9248"/>
        <bgColor rgb="FF5E9248"/>
      </patternFill>
    </fill>
    <fill>
      <patternFill patternType="solid">
        <fgColor rgb="FFAFCBA2"/>
        <bgColor rgb="FFAFCBA2"/>
      </patternFill>
    </fill>
    <fill>
      <patternFill patternType="solid">
        <fgColor rgb="FF8AB179"/>
        <bgColor rgb="FF8AB179"/>
      </patternFill>
    </fill>
    <fill>
      <patternFill patternType="solid">
        <fgColor rgb="FF9EBF90"/>
        <bgColor rgb="FF9EBF90"/>
      </patternFill>
    </fill>
    <fill>
      <patternFill patternType="solid">
        <fgColor rgb="FFBCD5B2"/>
        <bgColor rgb="FFBCD5B2"/>
      </patternFill>
    </fill>
    <fill>
      <patternFill patternType="solid">
        <fgColor rgb="FFCDE1C4"/>
        <bgColor rgb="FFCDE1C4"/>
      </patternFill>
    </fill>
    <fill>
      <patternFill patternType="solid">
        <fgColor rgb="FF89B078"/>
        <bgColor rgb="FF89B078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85ABE9"/>
        <bgColor rgb="FF85ABE9"/>
      </patternFill>
    </fill>
    <fill>
      <patternFill patternType="solid">
        <fgColor rgb="FFA0BEEF"/>
        <bgColor rgb="FFA0BEEF"/>
      </patternFill>
    </fill>
    <fill>
      <patternFill patternType="solid">
        <fgColor rgb="FF80A8E8"/>
        <bgColor rgb="FF80A8E8"/>
      </patternFill>
    </fill>
    <fill>
      <patternFill patternType="solid">
        <fgColor rgb="FF749FE5"/>
        <bgColor rgb="FF749FE5"/>
      </patternFill>
    </fill>
    <fill>
      <patternFill patternType="solid">
        <fgColor rgb="FFA7C3F1"/>
        <bgColor rgb="FFA7C3F1"/>
      </patternFill>
    </fill>
    <fill>
      <patternFill patternType="solid">
        <fgColor rgb="FFA5C1F0"/>
        <bgColor rgb="FFA5C1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08">
    <xf numFmtId="0" fontId="0" fillId="0" borderId="0" xfId="0"/>
    <xf numFmtId="2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3" fillId="0" borderId="0" xfId="0" applyNumberFormat="1" applyFont="1"/>
    <xf numFmtId="0" fontId="3" fillId="0" borderId="0" xfId="0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0" fontId="1" fillId="7" borderId="0" xfId="0" applyFont="1" applyFill="1"/>
    <xf numFmtId="0" fontId="3" fillId="7" borderId="0" xfId="0" applyFont="1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2" fontId="4" fillId="11" borderId="0" xfId="0" applyNumberFormat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2" fontId="4" fillId="13" borderId="0" xfId="0" applyNumberFormat="1" applyFont="1" applyFill="1" applyAlignment="1">
      <alignment horizontal="center"/>
    </xf>
    <xf numFmtId="0" fontId="4" fillId="11" borderId="0" xfId="0" applyFont="1" applyFill="1"/>
    <xf numFmtId="2" fontId="4" fillId="14" borderId="0" xfId="0" applyNumberFormat="1" applyFont="1" applyFill="1" applyAlignment="1">
      <alignment horizontal="center"/>
    </xf>
    <xf numFmtId="2" fontId="4" fillId="15" borderId="0" xfId="0" applyNumberFormat="1" applyFont="1" applyFill="1" applyAlignment="1">
      <alignment horizontal="center"/>
    </xf>
    <xf numFmtId="0" fontId="4" fillId="14" borderId="0" xfId="0" applyFont="1" applyFill="1"/>
    <xf numFmtId="2" fontId="4" fillId="16" borderId="0" xfId="0" applyNumberFormat="1" applyFont="1" applyFill="1" applyAlignment="1">
      <alignment horizontal="center"/>
    </xf>
    <xf numFmtId="2" fontId="4" fillId="17" borderId="0" xfId="0" applyNumberFormat="1" applyFont="1" applyFill="1" applyAlignment="1">
      <alignment horizontal="center"/>
    </xf>
    <xf numFmtId="2" fontId="4" fillId="18" borderId="0" xfId="0" applyNumberFormat="1" applyFont="1" applyFill="1" applyAlignment="1">
      <alignment horizontal="center"/>
    </xf>
    <xf numFmtId="2" fontId="4" fillId="19" borderId="0" xfId="0" applyNumberFormat="1" applyFont="1" applyFill="1" applyAlignment="1">
      <alignment horizontal="center"/>
    </xf>
    <xf numFmtId="0" fontId="3" fillId="14" borderId="0" xfId="0" applyFont="1" applyFill="1"/>
    <xf numFmtId="2" fontId="4" fillId="20" borderId="0" xfId="0" applyNumberFormat="1" applyFont="1" applyFill="1" applyAlignment="1">
      <alignment horizontal="center"/>
    </xf>
    <xf numFmtId="2" fontId="4" fillId="21" borderId="0" xfId="0" applyNumberFormat="1" applyFont="1" applyFill="1" applyAlignment="1">
      <alignment horizontal="center"/>
    </xf>
    <xf numFmtId="2" fontId="4" fillId="22" borderId="0" xfId="0" applyNumberFormat="1" applyFont="1" applyFill="1" applyAlignment="1">
      <alignment horizontal="center"/>
    </xf>
    <xf numFmtId="2" fontId="4" fillId="23" borderId="0" xfId="0" applyNumberFormat="1" applyFont="1" applyFill="1" applyAlignment="1">
      <alignment horizontal="center"/>
    </xf>
    <xf numFmtId="2" fontId="4" fillId="24" borderId="0" xfId="0" applyNumberFormat="1" applyFont="1" applyFill="1" applyAlignment="1">
      <alignment horizontal="center"/>
    </xf>
    <xf numFmtId="2" fontId="4" fillId="25" borderId="0" xfId="0" applyNumberFormat="1" applyFont="1" applyFill="1" applyAlignment="1">
      <alignment horizontal="center"/>
    </xf>
    <xf numFmtId="2" fontId="4" fillId="26" borderId="0" xfId="0" applyNumberFormat="1" applyFont="1" applyFill="1" applyAlignment="1">
      <alignment horizontal="center"/>
    </xf>
    <xf numFmtId="2" fontId="4" fillId="27" borderId="0" xfId="0" applyNumberFormat="1" applyFont="1" applyFill="1" applyAlignment="1">
      <alignment horizontal="center"/>
    </xf>
    <xf numFmtId="2" fontId="4" fillId="28" borderId="0" xfId="0" applyNumberFormat="1" applyFont="1" applyFill="1" applyAlignment="1">
      <alignment horizontal="center"/>
    </xf>
    <xf numFmtId="0" fontId="4" fillId="28" borderId="0" xfId="0" applyFont="1" applyFill="1"/>
    <xf numFmtId="2" fontId="4" fillId="29" borderId="0" xfId="0" applyNumberFormat="1" applyFont="1" applyFill="1" applyAlignment="1">
      <alignment horizontal="center"/>
    </xf>
    <xf numFmtId="2" fontId="3" fillId="11" borderId="0" xfId="0" applyNumberFormat="1" applyFont="1" applyFill="1"/>
    <xf numFmtId="0" fontId="3" fillId="11" borderId="0" xfId="0" applyFont="1" applyFill="1"/>
    <xf numFmtId="2" fontId="4" fillId="30" borderId="0" xfId="0" applyNumberFormat="1" applyFont="1" applyFill="1" applyAlignment="1">
      <alignment horizontal="center"/>
    </xf>
    <xf numFmtId="2" fontId="4" fillId="31" borderId="0" xfId="0" applyNumberFormat="1" applyFont="1" applyFill="1" applyAlignment="1">
      <alignment horizontal="center"/>
    </xf>
    <xf numFmtId="2" fontId="4" fillId="32" borderId="0" xfId="0" applyNumberFormat="1" applyFont="1" applyFill="1" applyAlignment="1">
      <alignment horizontal="center"/>
    </xf>
    <xf numFmtId="2" fontId="4" fillId="33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2" fontId="4" fillId="34" borderId="0" xfId="0" applyNumberFormat="1" applyFont="1" applyFill="1" applyAlignment="1">
      <alignment horizontal="center"/>
    </xf>
    <xf numFmtId="2" fontId="4" fillId="35" borderId="0" xfId="0" applyNumberFormat="1" applyFont="1" applyFill="1" applyAlignment="1">
      <alignment horizontal="center"/>
    </xf>
    <xf numFmtId="2" fontId="4" fillId="36" borderId="0" xfId="0" applyNumberFormat="1" applyFont="1" applyFill="1" applyAlignment="1">
      <alignment horizontal="center"/>
    </xf>
    <xf numFmtId="2" fontId="4" fillId="37" borderId="0" xfId="0" applyNumberFormat="1" applyFont="1" applyFill="1" applyAlignment="1">
      <alignment horizontal="center"/>
    </xf>
    <xf numFmtId="2" fontId="4" fillId="11" borderId="0" xfId="0" applyNumberFormat="1" applyFont="1" applyFill="1"/>
    <xf numFmtId="2" fontId="4" fillId="38" borderId="0" xfId="0" applyNumberFormat="1" applyFont="1" applyFill="1" applyAlignment="1">
      <alignment horizontal="center"/>
    </xf>
    <xf numFmtId="4" fontId="4" fillId="14" borderId="0" xfId="0" applyNumberFormat="1" applyFont="1" applyFill="1" applyAlignment="1">
      <alignment horizontal="center"/>
    </xf>
    <xf numFmtId="4" fontId="4" fillId="14" borderId="0" xfId="0" applyNumberFormat="1" applyFont="1" applyFill="1"/>
    <xf numFmtId="2" fontId="4" fillId="39" borderId="0" xfId="0" applyNumberFormat="1" applyFont="1" applyFill="1" applyAlignment="1">
      <alignment horizontal="center"/>
    </xf>
    <xf numFmtId="4" fontId="4" fillId="11" borderId="0" xfId="0" applyNumberFormat="1" applyFont="1" applyFill="1" applyAlignment="1">
      <alignment horizontal="center"/>
    </xf>
    <xf numFmtId="4" fontId="4" fillId="11" borderId="0" xfId="0" applyNumberFormat="1" applyFont="1" applyFill="1"/>
    <xf numFmtId="2" fontId="4" fillId="40" borderId="0" xfId="0" applyNumberFormat="1" applyFont="1" applyFill="1" applyAlignment="1">
      <alignment horizontal="center"/>
    </xf>
    <xf numFmtId="2" fontId="4" fillId="41" borderId="0" xfId="0" applyNumberFormat="1" applyFont="1" applyFill="1" applyAlignment="1">
      <alignment horizontal="center"/>
    </xf>
    <xf numFmtId="2" fontId="4" fillId="42" borderId="0" xfId="0" applyNumberFormat="1" applyFont="1" applyFill="1" applyAlignment="1">
      <alignment horizontal="center"/>
    </xf>
    <xf numFmtId="2" fontId="4" fillId="43" borderId="0" xfId="0" applyNumberFormat="1" applyFont="1" applyFill="1" applyAlignment="1">
      <alignment horizontal="center"/>
    </xf>
    <xf numFmtId="2" fontId="4" fillId="44" borderId="0" xfId="0" applyNumberFormat="1" applyFont="1" applyFill="1" applyAlignment="1">
      <alignment horizontal="center"/>
    </xf>
    <xf numFmtId="2" fontId="3" fillId="14" borderId="0" xfId="0" applyNumberFormat="1" applyFont="1" applyFill="1"/>
    <xf numFmtId="4" fontId="3" fillId="14" borderId="0" xfId="0" applyNumberFormat="1" applyFont="1" applyFill="1"/>
    <xf numFmtId="2" fontId="4" fillId="0" borderId="0" xfId="0" applyNumberFormat="1" applyFont="1" applyAlignment="1">
      <alignment horizontal="center"/>
    </xf>
    <xf numFmtId="2" fontId="4" fillId="45" borderId="0" xfId="0" applyNumberFormat="1" applyFont="1" applyFill="1" applyAlignment="1">
      <alignment horizontal="center"/>
    </xf>
    <xf numFmtId="2" fontId="4" fillId="0" borderId="0" xfId="0" applyNumberFormat="1" applyFont="1"/>
    <xf numFmtId="2" fontId="4" fillId="46" borderId="0" xfId="0" applyNumberFormat="1" applyFont="1" applyFill="1" applyAlignment="1">
      <alignment horizontal="center"/>
    </xf>
    <xf numFmtId="2" fontId="4" fillId="47" borderId="0" xfId="0" applyNumberFormat="1" applyFont="1" applyFill="1" applyAlignment="1">
      <alignment horizontal="center"/>
    </xf>
    <xf numFmtId="2" fontId="4" fillId="48" borderId="0" xfId="0" applyNumberFormat="1" applyFont="1" applyFill="1" applyAlignment="1">
      <alignment horizontal="center"/>
    </xf>
    <xf numFmtId="2" fontId="4" fillId="49" borderId="0" xfId="0" applyNumberFormat="1" applyFont="1" applyFill="1" applyAlignment="1">
      <alignment horizontal="center"/>
    </xf>
    <xf numFmtId="2" fontId="4" fillId="50" borderId="0" xfId="0" applyNumberFormat="1" applyFont="1" applyFill="1" applyAlignment="1">
      <alignment horizontal="center"/>
    </xf>
    <xf numFmtId="0" fontId="4" fillId="0" borderId="0" xfId="0" applyFont="1"/>
    <xf numFmtId="2" fontId="4" fillId="51" borderId="0" xfId="0" applyNumberFormat="1" applyFont="1" applyFill="1" applyAlignment="1">
      <alignment horizontal="center"/>
    </xf>
    <xf numFmtId="2" fontId="4" fillId="14" borderId="0" xfId="0" applyNumberFormat="1" applyFont="1" applyFill="1"/>
    <xf numFmtId="2" fontId="4" fillId="52" borderId="0" xfId="0" applyNumberFormat="1" applyFont="1" applyFill="1" applyAlignment="1">
      <alignment horizontal="center"/>
    </xf>
    <xf numFmtId="2" fontId="4" fillId="53" borderId="0" xfId="0" applyNumberFormat="1" applyFont="1" applyFill="1" applyAlignment="1">
      <alignment horizontal="center"/>
    </xf>
    <xf numFmtId="2" fontId="4" fillId="54" borderId="0" xfId="0" applyNumberFormat="1" applyFont="1" applyFill="1" applyAlignment="1">
      <alignment horizontal="center"/>
    </xf>
    <xf numFmtId="2" fontId="4" fillId="55" borderId="0" xfId="0" applyNumberFormat="1" applyFont="1" applyFill="1" applyAlignment="1">
      <alignment horizontal="center"/>
    </xf>
    <xf numFmtId="2" fontId="4" fillId="56" borderId="0" xfId="0" applyNumberFormat="1" applyFont="1" applyFill="1" applyAlignment="1">
      <alignment horizontal="center"/>
    </xf>
    <xf numFmtId="2" fontId="4" fillId="57" borderId="0" xfId="0" applyNumberFormat="1" applyFont="1" applyFill="1" applyAlignment="1">
      <alignment horizontal="center"/>
    </xf>
    <xf numFmtId="2" fontId="4" fillId="11" borderId="0" xfId="0" applyNumberFormat="1" applyFont="1" applyFill="1" applyAlignment="1">
      <alignment horizontal="right"/>
    </xf>
    <xf numFmtId="2" fontId="4" fillId="14" borderId="0" xfId="0" applyNumberFormat="1" applyFont="1" applyFill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165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58" borderId="0" xfId="0" applyNumberFormat="1" applyFont="1" applyFill="1" applyAlignment="1">
      <alignment horizontal="center"/>
    </xf>
    <xf numFmtId="164" fontId="4" fillId="59" borderId="0" xfId="0" applyNumberFormat="1" applyFont="1" applyFill="1" applyAlignment="1">
      <alignment horizontal="center"/>
    </xf>
    <xf numFmtId="2" fontId="4" fillId="59" borderId="0" xfId="0" applyNumberFormat="1" applyFont="1" applyFill="1" applyAlignment="1">
      <alignment horizontal="center"/>
    </xf>
    <xf numFmtId="2" fontId="4" fillId="60" borderId="0" xfId="0" applyNumberFormat="1" applyFont="1" applyFill="1" applyAlignment="1">
      <alignment horizontal="center"/>
    </xf>
    <xf numFmtId="2" fontId="4" fillId="61" borderId="0" xfId="0" applyNumberFormat="1" applyFont="1" applyFill="1" applyAlignment="1">
      <alignment horizontal="center"/>
    </xf>
    <xf numFmtId="2" fontId="4" fillId="62" borderId="0" xfId="0" applyNumberFormat="1" applyFont="1" applyFill="1" applyAlignment="1">
      <alignment horizontal="center"/>
    </xf>
    <xf numFmtId="2" fontId="4" fillId="63" borderId="0" xfId="0" applyNumberFormat="1" applyFont="1" applyFill="1" applyAlignment="1">
      <alignment horizontal="center"/>
    </xf>
    <xf numFmtId="2" fontId="4" fillId="64" borderId="0" xfId="0" applyNumberFormat="1" applyFont="1" applyFill="1" applyAlignment="1">
      <alignment horizontal="center"/>
    </xf>
    <xf numFmtId="2" fontId="4" fillId="65" borderId="0" xfId="0" applyNumberFormat="1" applyFont="1" applyFill="1" applyAlignment="1">
      <alignment horizontal="center"/>
    </xf>
    <xf numFmtId="2" fontId="4" fillId="66" borderId="0" xfId="0" applyNumberFormat="1" applyFont="1" applyFill="1" applyAlignment="1">
      <alignment horizontal="center"/>
    </xf>
    <xf numFmtId="2" fontId="4" fillId="67" borderId="0" xfId="0" applyNumberFormat="1" applyFont="1" applyFill="1" applyAlignment="1">
      <alignment horizontal="center"/>
    </xf>
    <xf numFmtId="2" fontId="4" fillId="68" borderId="0" xfId="0" applyNumberFormat="1" applyFont="1" applyFill="1" applyAlignment="1">
      <alignment horizontal="center"/>
    </xf>
    <xf numFmtId="2" fontId="4" fillId="69" borderId="0" xfId="0" applyNumberFormat="1" applyFont="1" applyFill="1" applyAlignment="1">
      <alignment horizontal="center"/>
    </xf>
    <xf numFmtId="2" fontId="4" fillId="70" borderId="0" xfId="0" applyNumberFormat="1" applyFont="1" applyFill="1" applyAlignment="1">
      <alignment horizontal="center"/>
    </xf>
    <xf numFmtId="2" fontId="4" fillId="71" borderId="0" xfId="0" applyNumberFormat="1" applyFont="1" applyFill="1" applyAlignment="1">
      <alignment horizontal="center"/>
    </xf>
    <xf numFmtId="2" fontId="4" fillId="72" borderId="0" xfId="0" applyNumberFormat="1" applyFont="1" applyFill="1" applyAlignment="1">
      <alignment horizontal="center"/>
    </xf>
    <xf numFmtId="2" fontId="4" fillId="73" borderId="0" xfId="0" applyNumberFormat="1" applyFont="1" applyFill="1" applyAlignment="1">
      <alignment horizontal="center"/>
    </xf>
    <xf numFmtId="2" fontId="4" fillId="74" borderId="0" xfId="0" applyNumberFormat="1" applyFont="1" applyFill="1" applyAlignment="1">
      <alignment horizontal="center"/>
    </xf>
    <xf numFmtId="2" fontId="4" fillId="75" borderId="0" xfId="0" applyNumberFormat="1" applyFont="1" applyFill="1" applyAlignment="1">
      <alignment horizontal="center"/>
    </xf>
    <xf numFmtId="2" fontId="4" fillId="76" borderId="0" xfId="0" applyNumberFormat="1" applyFont="1" applyFill="1" applyAlignment="1">
      <alignment horizontal="center"/>
    </xf>
    <xf numFmtId="2" fontId="4" fillId="77" borderId="0" xfId="0" applyNumberFormat="1" applyFont="1" applyFill="1" applyAlignment="1">
      <alignment horizontal="center"/>
    </xf>
    <xf numFmtId="2" fontId="4" fillId="78" borderId="0" xfId="0" applyNumberFormat="1" applyFont="1" applyFill="1" applyAlignment="1">
      <alignment horizontal="center"/>
    </xf>
    <xf numFmtId="2" fontId="4" fillId="79" borderId="0" xfId="0" applyNumberFormat="1" applyFont="1" applyFill="1" applyAlignment="1">
      <alignment horizontal="center"/>
    </xf>
    <xf numFmtId="2" fontId="4" fillId="80" borderId="0" xfId="0" applyNumberFormat="1" applyFont="1" applyFill="1" applyAlignment="1">
      <alignment horizontal="center"/>
    </xf>
    <xf numFmtId="2" fontId="4" fillId="81" borderId="0" xfId="0" applyNumberFormat="1" applyFont="1" applyFill="1" applyAlignment="1">
      <alignment horizontal="center"/>
    </xf>
    <xf numFmtId="2" fontId="4" fillId="82" borderId="0" xfId="0" applyNumberFormat="1" applyFont="1" applyFill="1" applyAlignment="1">
      <alignment horizontal="center"/>
    </xf>
    <xf numFmtId="2" fontId="4" fillId="83" borderId="0" xfId="0" applyNumberFormat="1" applyFont="1" applyFill="1" applyAlignment="1">
      <alignment horizontal="center"/>
    </xf>
    <xf numFmtId="2" fontId="4" fillId="84" borderId="0" xfId="0" applyNumberFormat="1" applyFont="1" applyFill="1" applyAlignment="1">
      <alignment horizontal="center"/>
    </xf>
    <xf numFmtId="2" fontId="4" fillId="85" borderId="0" xfId="0" applyNumberFormat="1" applyFont="1" applyFill="1" applyAlignment="1">
      <alignment horizontal="center"/>
    </xf>
    <xf numFmtId="2" fontId="4" fillId="86" borderId="0" xfId="0" applyNumberFormat="1" applyFont="1" applyFill="1" applyAlignment="1">
      <alignment horizontal="center"/>
    </xf>
    <xf numFmtId="2" fontId="4" fillId="87" borderId="0" xfId="0" applyNumberFormat="1" applyFont="1" applyFill="1" applyAlignment="1">
      <alignment horizontal="center"/>
    </xf>
    <xf numFmtId="2" fontId="4" fillId="88" borderId="0" xfId="0" applyNumberFormat="1" applyFont="1" applyFill="1" applyAlignment="1">
      <alignment horizontal="center"/>
    </xf>
    <xf numFmtId="2" fontId="4" fillId="89" borderId="0" xfId="0" applyNumberFormat="1" applyFont="1" applyFill="1" applyAlignment="1">
      <alignment horizontal="center"/>
    </xf>
    <xf numFmtId="2" fontId="4" fillId="90" borderId="0" xfId="0" applyNumberFormat="1" applyFont="1" applyFill="1" applyAlignment="1">
      <alignment horizontal="center"/>
    </xf>
    <xf numFmtId="2" fontId="4" fillId="91" borderId="0" xfId="0" applyNumberFormat="1" applyFont="1" applyFill="1" applyAlignment="1">
      <alignment horizontal="center"/>
    </xf>
    <xf numFmtId="2" fontId="4" fillId="92" borderId="0" xfId="0" applyNumberFormat="1" applyFont="1" applyFill="1" applyAlignment="1">
      <alignment horizontal="center"/>
    </xf>
    <xf numFmtId="2" fontId="4" fillId="93" borderId="0" xfId="0" applyNumberFormat="1" applyFont="1" applyFill="1" applyAlignment="1">
      <alignment horizontal="center"/>
    </xf>
    <xf numFmtId="2" fontId="4" fillId="94" borderId="0" xfId="0" applyNumberFormat="1" applyFont="1" applyFill="1" applyAlignment="1">
      <alignment horizontal="center"/>
    </xf>
    <xf numFmtId="2" fontId="4" fillId="95" borderId="0" xfId="0" applyNumberFormat="1" applyFont="1" applyFill="1" applyAlignment="1">
      <alignment horizontal="center"/>
    </xf>
    <xf numFmtId="2" fontId="4" fillId="96" borderId="0" xfId="0" applyNumberFormat="1" applyFont="1" applyFill="1" applyAlignment="1">
      <alignment horizontal="center"/>
    </xf>
    <xf numFmtId="2" fontId="4" fillId="97" borderId="0" xfId="0" applyNumberFormat="1" applyFont="1" applyFill="1" applyAlignment="1">
      <alignment horizontal="center"/>
    </xf>
    <xf numFmtId="2" fontId="4" fillId="98" borderId="0" xfId="0" applyNumberFormat="1" applyFont="1" applyFill="1" applyAlignment="1">
      <alignment horizontal="center"/>
    </xf>
    <xf numFmtId="2" fontId="4" fillId="99" borderId="0" xfId="0" applyNumberFormat="1" applyFont="1" applyFill="1" applyAlignment="1">
      <alignment horizontal="center"/>
    </xf>
    <xf numFmtId="2" fontId="4" fillId="100" borderId="0" xfId="0" applyNumberFormat="1" applyFont="1" applyFill="1" applyAlignment="1">
      <alignment horizontal="center"/>
    </xf>
    <xf numFmtId="2" fontId="4" fillId="101" borderId="0" xfId="0" applyNumberFormat="1" applyFont="1" applyFill="1" applyAlignment="1">
      <alignment horizontal="center"/>
    </xf>
    <xf numFmtId="2" fontId="4" fillId="102" borderId="0" xfId="0" applyNumberFormat="1" applyFont="1" applyFill="1" applyAlignment="1">
      <alignment horizontal="center"/>
    </xf>
    <xf numFmtId="164" fontId="4" fillId="103" borderId="0" xfId="0" applyNumberFormat="1" applyFont="1" applyFill="1" applyAlignment="1">
      <alignment horizontal="center"/>
    </xf>
    <xf numFmtId="2" fontId="4" fillId="103" borderId="0" xfId="0" applyNumberFormat="1" applyFont="1" applyFill="1" applyAlignment="1">
      <alignment horizontal="center"/>
    </xf>
    <xf numFmtId="2" fontId="4" fillId="104" borderId="0" xfId="0" applyNumberFormat="1" applyFont="1" applyFill="1" applyAlignment="1">
      <alignment horizontal="center"/>
    </xf>
    <xf numFmtId="2" fontId="4" fillId="105" borderId="0" xfId="0" applyNumberFormat="1" applyFont="1" applyFill="1" applyAlignment="1">
      <alignment horizontal="center"/>
    </xf>
    <xf numFmtId="2" fontId="4" fillId="106" borderId="0" xfId="0" applyNumberFormat="1" applyFont="1" applyFill="1" applyAlignment="1">
      <alignment horizontal="center"/>
    </xf>
    <xf numFmtId="2" fontId="4" fillId="107" borderId="0" xfId="0" applyNumberFormat="1" applyFont="1" applyFill="1" applyAlignment="1">
      <alignment horizontal="center"/>
    </xf>
    <xf numFmtId="2" fontId="4" fillId="108" borderId="0" xfId="0" applyNumberFormat="1" applyFont="1" applyFill="1" applyAlignment="1">
      <alignment horizontal="center"/>
    </xf>
    <xf numFmtId="2" fontId="4" fillId="109" borderId="0" xfId="0" applyNumberFormat="1" applyFont="1" applyFill="1" applyAlignment="1">
      <alignment horizontal="center"/>
    </xf>
    <xf numFmtId="2" fontId="4" fillId="110" borderId="0" xfId="0" applyNumberFormat="1" applyFont="1" applyFill="1" applyAlignment="1">
      <alignment horizontal="center"/>
    </xf>
    <xf numFmtId="2" fontId="4" fillId="111" borderId="0" xfId="0" applyNumberFormat="1" applyFont="1" applyFill="1" applyAlignment="1">
      <alignment horizontal="center"/>
    </xf>
    <xf numFmtId="2" fontId="4" fillId="112" borderId="0" xfId="0" applyNumberFormat="1" applyFont="1" applyFill="1" applyAlignment="1">
      <alignment horizontal="center"/>
    </xf>
    <xf numFmtId="2" fontId="4" fillId="113" borderId="0" xfId="0" applyNumberFormat="1" applyFont="1" applyFill="1" applyAlignment="1">
      <alignment horizontal="center"/>
    </xf>
    <xf numFmtId="2" fontId="4" fillId="114" borderId="0" xfId="0" applyNumberFormat="1" applyFont="1" applyFill="1" applyAlignment="1">
      <alignment horizontal="center"/>
    </xf>
    <xf numFmtId="2" fontId="4" fillId="115" borderId="0" xfId="0" applyNumberFormat="1" applyFont="1" applyFill="1" applyAlignment="1">
      <alignment horizontal="center"/>
    </xf>
    <xf numFmtId="2" fontId="4" fillId="116" borderId="0" xfId="0" applyNumberFormat="1" applyFont="1" applyFill="1" applyAlignment="1">
      <alignment horizontal="center"/>
    </xf>
    <xf numFmtId="2" fontId="4" fillId="117" borderId="0" xfId="0" applyNumberFormat="1" applyFont="1" applyFill="1" applyAlignment="1">
      <alignment horizontal="center"/>
    </xf>
    <xf numFmtId="2" fontId="4" fillId="118" borderId="0" xfId="0" applyNumberFormat="1" applyFont="1" applyFill="1" applyAlignment="1">
      <alignment horizontal="center"/>
    </xf>
    <xf numFmtId="2" fontId="4" fillId="119" borderId="0" xfId="0" applyNumberFormat="1" applyFont="1" applyFill="1" applyAlignment="1">
      <alignment horizontal="center"/>
    </xf>
    <xf numFmtId="2" fontId="4" fillId="120" borderId="0" xfId="0" applyNumberFormat="1" applyFont="1" applyFill="1" applyAlignment="1">
      <alignment horizontal="center"/>
    </xf>
    <xf numFmtId="2" fontId="4" fillId="121" borderId="0" xfId="0" applyNumberFormat="1" applyFont="1" applyFill="1" applyAlignment="1">
      <alignment horizontal="center"/>
    </xf>
    <xf numFmtId="2" fontId="4" fillId="122" borderId="0" xfId="0" applyNumberFormat="1" applyFont="1" applyFill="1" applyAlignment="1">
      <alignment horizontal="center"/>
    </xf>
    <xf numFmtId="2" fontId="4" fillId="123" borderId="0" xfId="0" applyNumberFormat="1" applyFont="1" applyFill="1" applyAlignment="1">
      <alignment horizontal="center"/>
    </xf>
    <xf numFmtId="2" fontId="4" fillId="124" borderId="0" xfId="0" applyNumberFormat="1" applyFont="1" applyFill="1" applyAlignment="1">
      <alignment horizontal="center"/>
    </xf>
    <xf numFmtId="2" fontId="4" fillId="125" borderId="0" xfId="0" applyNumberFormat="1" applyFont="1" applyFill="1" applyAlignment="1">
      <alignment horizontal="center"/>
    </xf>
    <xf numFmtId="2" fontId="4" fillId="126" borderId="0" xfId="0" applyNumberFormat="1" applyFont="1" applyFill="1" applyAlignment="1">
      <alignment horizontal="center"/>
    </xf>
    <xf numFmtId="2" fontId="4" fillId="127" borderId="0" xfId="0" applyNumberFormat="1" applyFont="1" applyFill="1" applyAlignment="1">
      <alignment horizontal="center"/>
    </xf>
    <xf numFmtId="2" fontId="4" fillId="128" borderId="0" xfId="0" applyNumberFormat="1" applyFont="1" applyFill="1" applyAlignment="1">
      <alignment horizontal="center"/>
    </xf>
    <xf numFmtId="2" fontId="4" fillId="129" borderId="0" xfId="0" applyNumberFormat="1" applyFont="1" applyFill="1" applyAlignment="1">
      <alignment horizontal="center"/>
    </xf>
    <xf numFmtId="2" fontId="4" fillId="11" borderId="2" xfId="0" applyNumberFormat="1" applyFont="1" applyFill="1" applyBorder="1" applyAlignment="1">
      <alignment horizontal="center"/>
    </xf>
    <xf numFmtId="2" fontId="4" fillId="130" borderId="0" xfId="0" applyNumberFormat="1" applyFont="1" applyFill="1" applyAlignment="1">
      <alignment horizontal="center"/>
    </xf>
    <xf numFmtId="2" fontId="4" fillId="131" borderId="0" xfId="0" applyNumberFormat="1" applyFont="1" applyFill="1" applyAlignment="1">
      <alignment horizontal="center"/>
    </xf>
    <xf numFmtId="2" fontId="4" fillId="132" borderId="0" xfId="0" applyNumberFormat="1" applyFont="1" applyFill="1" applyAlignment="1">
      <alignment horizontal="center"/>
    </xf>
    <xf numFmtId="2" fontId="4" fillId="133" borderId="0" xfId="0" applyNumberFormat="1" applyFont="1" applyFill="1" applyAlignment="1">
      <alignment horizontal="center"/>
    </xf>
    <xf numFmtId="2" fontId="4" fillId="134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4" fillId="135" borderId="0" xfId="0" applyNumberFormat="1" applyFont="1" applyFill="1" applyAlignment="1">
      <alignment horizontal="center"/>
    </xf>
    <xf numFmtId="164" fontId="4" fillId="136" borderId="0" xfId="0" applyNumberFormat="1" applyFont="1" applyFill="1" applyAlignment="1">
      <alignment horizontal="center"/>
    </xf>
    <xf numFmtId="2" fontId="4" fillId="136" borderId="0" xfId="0" applyNumberFormat="1" applyFont="1" applyFill="1" applyAlignment="1">
      <alignment horizontal="center"/>
    </xf>
    <xf numFmtId="2" fontId="4" fillId="137" borderId="0" xfId="0" applyNumberFormat="1" applyFont="1" applyFill="1" applyAlignment="1">
      <alignment horizontal="center"/>
    </xf>
    <xf numFmtId="2" fontId="4" fillId="138" borderId="0" xfId="0" applyNumberFormat="1" applyFont="1" applyFill="1" applyAlignment="1">
      <alignment horizontal="center"/>
    </xf>
    <xf numFmtId="2" fontId="4" fillId="139" borderId="0" xfId="0" applyNumberFormat="1" applyFont="1" applyFill="1" applyAlignment="1">
      <alignment horizontal="center"/>
    </xf>
    <xf numFmtId="2" fontId="4" fillId="140" borderId="0" xfId="0" applyNumberFormat="1" applyFont="1" applyFill="1" applyAlignment="1">
      <alignment horizontal="center"/>
    </xf>
    <xf numFmtId="2" fontId="4" fillId="141" borderId="0" xfId="0" applyNumberFormat="1" applyFont="1" applyFill="1" applyAlignment="1">
      <alignment horizontal="center"/>
    </xf>
    <xf numFmtId="2" fontId="4" fillId="142" borderId="0" xfId="0" applyNumberFormat="1" applyFont="1" applyFill="1" applyAlignment="1">
      <alignment horizontal="center"/>
    </xf>
    <xf numFmtId="2" fontId="4" fillId="143" borderId="0" xfId="0" applyNumberFormat="1" applyFont="1" applyFill="1" applyAlignment="1">
      <alignment horizontal="center"/>
    </xf>
    <xf numFmtId="2" fontId="4" fillId="144" borderId="0" xfId="0" applyNumberFormat="1" applyFont="1" applyFill="1" applyAlignment="1">
      <alignment horizontal="center"/>
    </xf>
    <xf numFmtId="2" fontId="4" fillId="145" borderId="0" xfId="0" applyNumberFormat="1" applyFont="1" applyFill="1" applyAlignment="1">
      <alignment horizontal="center"/>
    </xf>
    <xf numFmtId="2" fontId="4" fillId="146" borderId="0" xfId="0" applyNumberFormat="1" applyFont="1" applyFill="1" applyAlignment="1">
      <alignment horizontal="center"/>
    </xf>
    <xf numFmtId="2" fontId="4" fillId="147" borderId="0" xfId="0" applyNumberFormat="1" applyFont="1" applyFill="1" applyAlignment="1">
      <alignment horizontal="center"/>
    </xf>
    <xf numFmtId="2" fontId="4" fillId="148" borderId="0" xfId="0" applyNumberFormat="1" applyFont="1" applyFill="1" applyAlignment="1">
      <alignment horizontal="center"/>
    </xf>
    <xf numFmtId="2" fontId="4" fillId="149" borderId="0" xfId="0" applyNumberFormat="1" applyFont="1" applyFill="1" applyAlignment="1">
      <alignment horizontal="center"/>
    </xf>
    <xf numFmtId="2" fontId="4" fillId="150" borderId="0" xfId="0" applyNumberFormat="1" applyFont="1" applyFill="1" applyAlignment="1">
      <alignment horizontal="center"/>
    </xf>
    <xf numFmtId="2" fontId="4" fillId="151" borderId="0" xfId="0" applyNumberFormat="1" applyFont="1" applyFill="1" applyAlignment="1">
      <alignment horizontal="center"/>
    </xf>
    <xf numFmtId="2" fontId="4" fillId="152" borderId="0" xfId="0" applyNumberFormat="1" applyFont="1" applyFill="1" applyAlignment="1">
      <alignment horizontal="center"/>
    </xf>
    <xf numFmtId="2" fontId="4" fillId="153" borderId="0" xfId="0" applyNumberFormat="1" applyFont="1" applyFill="1" applyAlignment="1">
      <alignment horizontal="center"/>
    </xf>
    <xf numFmtId="2" fontId="4" fillId="154" borderId="0" xfId="0" applyNumberFormat="1" applyFont="1" applyFill="1" applyAlignment="1">
      <alignment horizontal="center"/>
    </xf>
    <xf numFmtId="2" fontId="4" fillId="155" borderId="0" xfId="0" applyNumberFormat="1" applyFont="1" applyFill="1" applyAlignment="1">
      <alignment horizontal="center"/>
    </xf>
    <xf numFmtId="2" fontId="4" fillId="156" borderId="0" xfId="0" applyNumberFormat="1" applyFont="1" applyFill="1" applyAlignment="1">
      <alignment horizontal="center"/>
    </xf>
    <xf numFmtId="2" fontId="4" fillId="157" borderId="0" xfId="0" applyNumberFormat="1" applyFont="1" applyFill="1" applyAlignment="1">
      <alignment horizontal="center"/>
    </xf>
    <xf numFmtId="2" fontId="4" fillId="158" borderId="0" xfId="0" applyNumberFormat="1" applyFont="1" applyFill="1" applyAlignment="1">
      <alignment horizontal="center"/>
    </xf>
    <xf numFmtId="2" fontId="4" fillId="159" borderId="0" xfId="0" applyNumberFormat="1" applyFont="1" applyFill="1" applyAlignment="1">
      <alignment horizontal="center"/>
    </xf>
    <xf numFmtId="2" fontId="4" fillId="160" borderId="0" xfId="0" applyNumberFormat="1" applyFont="1" applyFill="1" applyAlignment="1">
      <alignment horizontal="center"/>
    </xf>
    <xf numFmtId="2" fontId="4" fillId="161" borderId="0" xfId="0" applyNumberFormat="1" applyFont="1" applyFill="1" applyAlignment="1">
      <alignment horizontal="center"/>
    </xf>
    <xf numFmtId="2" fontId="4" fillId="162" borderId="0" xfId="0" applyNumberFormat="1" applyFont="1" applyFill="1" applyAlignment="1">
      <alignment horizontal="center"/>
    </xf>
    <xf numFmtId="2" fontId="4" fillId="163" borderId="0" xfId="0" applyNumberFormat="1" applyFont="1" applyFill="1" applyAlignment="1">
      <alignment horizontal="center"/>
    </xf>
    <xf numFmtId="2" fontId="4" fillId="12" borderId="0" xfId="0" applyNumberFormat="1" applyFont="1" applyFill="1" applyAlignment="1">
      <alignment horizontal="center"/>
    </xf>
    <xf numFmtId="2" fontId="4" fillId="164" borderId="0" xfId="0" applyNumberFormat="1" applyFont="1" applyFill="1" applyAlignment="1">
      <alignment horizontal="center"/>
    </xf>
    <xf numFmtId="2" fontId="4" fillId="11" borderId="3" xfId="0" applyNumberFormat="1" applyFont="1" applyFill="1" applyBorder="1" applyAlignment="1">
      <alignment horizontal="center"/>
    </xf>
    <xf numFmtId="2" fontId="4" fillId="165" borderId="0" xfId="0" applyNumberFormat="1" applyFont="1" applyFill="1" applyAlignment="1">
      <alignment horizontal="center"/>
    </xf>
    <xf numFmtId="2" fontId="4" fillId="166" borderId="0" xfId="0" applyNumberFormat="1" applyFont="1" applyFill="1" applyAlignment="1">
      <alignment horizontal="center"/>
    </xf>
    <xf numFmtId="2" fontId="4" fillId="167" borderId="0" xfId="0" applyNumberFormat="1" applyFont="1" applyFill="1" applyAlignment="1">
      <alignment horizontal="center"/>
    </xf>
    <xf numFmtId="2" fontId="4" fillId="168" borderId="0" xfId="0" applyNumberFormat="1" applyFont="1" applyFill="1" applyAlignment="1">
      <alignment horizontal="center"/>
    </xf>
    <xf numFmtId="2" fontId="4" fillId="169" borderId="0" xfId="0" applyNumberFormat="1" applyFont="1" applyFill="1" applyAlignment="1">
      <alignment horizontal="center"/>
    </xf>
    <xf numFmtId="2" fontId="4" fillId="170" borderId="0" xfId="0" applyNumberFormat="1" applyFont="1" applyFill="1" applyAlignment="1">
      <alignment horizontal="center"/>
    </xf>
    <xf numFmtId="2" fontId="4" fillId="171" borderId="0" xfId="0" applyNumberFormat="1" applyFont="1" applyFill="1" applyAlignment="1">
      <alignment horizontal="center"/>
    </xf>
    <xf numFmtId="164" fontId="4" fillId="172" borderId="0" xfId="0" applyNumberFormat="1" applyFont="1" applyFill="1" applyAlignment="1">
      <alignment horizontal="center"/>
    </xf>
    <xf numFmtId="2" fontId="4" fillId="173" borderId="0" xfId="0" applyNumberFormat="1" applyFont="1" applyFill="1" applyAlignment="1">
      <alignment horizontal="center"/>
    </xf>
    <xf numFmtId="2" fontId="4" fillId="174" borderId="0" xfId="0" applyNumberFormat="1" applyFont="1" applyFill="1" applyAlignment="1">
      <alignment horizontal="center"/>
    </xf>
    <xf numFmtId="2" fontId="4" fillId="175" borderId="0" xfId="0" applyNumberFormat="1" applyFont="1" applyFill="1" applyAlignment="1">
      <alignment horizontal="center"/>
    </xf>
    <xf numFmtId="2" fontId="4" fillId="176" borderId="0" xfId="0" applyNumberFormat="1" applyFont="1" applyFill="1" applyAlignment="1">
      <alignment horizontal="center"/>
    </xf>
    <xf numFmtId="2" fontId="4" fillId="177" borderId="0" xfId="0" applyNumberFormat="1" applyFont="1" applyFill="1" applyAlignment="1">
      <alignment horizontal="center"/>
    </xf>
    <xf numFmtId="2" fontId="4" fillId="178" borderId="0" xfId="0" applyNumberFormat="1" applyFont="1" applyFill="1" applyAlignment="1">
      <alignment horizontal="center"/>
    </xf>
    <xf numFmtId="2" fontId="4" fillId="179" borderId="0" xfId="0" applyNumberFormat="1" applyFont="1" applyFill="1" applyAlignment="1">
      <alignment horizontal="center"/>
    </xf>
    <xf numFmtId="2" fontId="4" fillId="180" borderId="0" xfId="0" applyNumberFormat="1" applyFont="1" applyFill="1" applyAlignment="1">
      <alignment horizontal="center"/>
    </xf>
    <xf numFmtId="2" fontId="4" fillId="181" borderId="0" xfId="0" applyNumberFormat="1" applyFont="1" applyFill="1" applyAlignment="1">
      <alignment horizontal="center"/>
    </xf>
    <xf numFmtId="2" fontId="4" fillId="182" borderId="0" xfId="0" applyNumberFormat="1" applyFont="1" applyFill="1" applyAlignment="1">
      <alignment horizontal="center"/>
    </xf>
    <xf numFmtId="2" fontId="4" fillId="183" borderId="0" xfId="0" applyNumberFormat="1" applyFont="1" applyFill="1" applyAlignment="1">
      <alignment horizontal="center"/>
    </xf>
    <xf numFmtId="2" fontId="4" fillId="184" borderId="0" xfId="0" applyNumberFormat="1" applyFont="1" applyFill="1" applyAlignment="1">
      <alignment horizontal="center"/>
    </xf>
    <xf numFmtId="2" fontId="4" fillId="185" borderId="0" xfId="0" applyNumberFormat="1" applyFont="1" applyFill="1" applyAlignment="1">
      <alignment horizontal="center"/>
    </xf>
    <xf numFmtId="2" fontId="4" fillId="186" borderId="0" xfId="0" applyNumberFormat="1" applyFont="1" applyFill="1" applyAlignment="1">
      <alignment horizontal="center"/>
    </xf>
    <xf numFmtId="2" fontId="4" fillId="187" borderId="0" xfId="0" applyNumberFormat="1" applyFont="1" applyFill="1" applyAlignment="1">
      <alignment horizontal="center"/>
    </xf>
    <xf numFmtId="2" fontId="4" fillId="188" borderId="0" xfId="0" applyNumberFormat="1" applyFont="1" applyFill="1" applyAlignment="1">
      <alignment horizontal="center"/>
    </xf>
    <xf numFmtId="2" fontId="4" fillId="189" borderId="0" xfId="0" applyNumberFormat="1" applyFont="1" applyFill="1" applyAlignment="1">
      <alignment horizontal="center"/>
    </xf>
    <xf numFmtId="2" fontId="4" fillId="190" borderId="0" xfId="0" applyNumberFormat="1" applyFont="1" applyFill="1" applyAlignment="1">
      <alignment horizontal="center"/>
    </xf>
    <xf numFmtId="2" fontId="4" fillId="191" borderId="0" xfId="0" applyNumberFormat="1" applyFont="1" applyFill="1" applyAlignment="1">
      <alignment horizontal="center"/>
    </xf>
    <xf numFmtId="2" fontId="4" fillId="192" borderId="0" xfId="0" applyNumberFormat="1" applyFont="1" applyFill="1" applyAlignment="1">
      <alignment horizontal="center"/>
    </xf>
    <xf numFmtId="2" fontId="4" fillId="193" borderId="0" xfId="0" applyNumberFormat="1" applyFont="1" applyFill="1" applyAlignment="1">
      <alignment horizontal="center"/>
    </xf>
    <xf numFmtId="2" fontId="4" fillId="194" borderId="0" xfId="0" applyNumberFormat="1" applyFont="1" applyFill="1" applyAlignment="1">
      <alignment horizontal="center"/>
    </xf>
    <xf numFmtId="2" fontId="4" fillId="195" borderId="0" xfId="0" applyNumberFormat="1" applyFont="1" applyFill="1" applyAlignment="1">
      <alignment horizontal="center"/>
    </xf>
    <xf numFmtId="2" fontId="4" fillId="11" borderId="4" xfId="0" applyNumberFormat="1" applyFont="1" applyFill="1" applyBorder="1" applyAlignment="1">
      <alignment horizontal="center"/>
    </xf>
    <xf numFmtId="2" fontId="4" fillId="196" borderId="0" xfId="0" applyNumberFormat="1" applyFont="1" applyFill="1" applyAlignment="1">
      <alignment horizontal="center"/>
    </xf>
    <xf numFmtId="2" fontId="4" fillId="197" borderId="0" xfId="0" applyNumberFormat="1" applyFont="1" applyFill="1" applyAlignment="1">
      <alignment horizontal="center"/>
    </xf>
    <xf numFmtId="2" fontId="4" fillId="198" borderId="0" xfId="0" applyNumberFormat="1" applyFont="1" applyFill="1" applyAlignment="1">
      <alignment horizontal="center"/>
    </xf>
    <xf numFmtId="2" fontId="4" fillId="199" borderId="0" xfId="0" applyNumberFormat="1" applyFont="1" applyFill="1" applyAlignment="1">
      <alignment horizontal="center"/>
    </xf>
    <xf numFmtId="2" fontId="4" fillId="200" borderId="0" xfId="0" applyNumberFormat="1" applyFont="1" applyFill="1" applyAlignment="1">
      <alignment horizontal="center"/>
    </xf>
    <xf numFmtId="2" fontId="4" fillId="201" borderId="0" xfId="0" applyNumberFormat="1" applyFont="1" applyFill="1" applyAlignment="1">
      <alignment horizontal="center"/>
    </xf>
    <xf numFmtId="2" fontId="4" fillId="202" borderId="0" xfId="0" applyNumberFormat="1" applyFont="1" applyFill="1" applyAlignment="1">
      <alignment horizontal="center"/>
    </xf>
    <xf numFmtId="2" fontId="4" fillId="203" borderId="0" xfId="0" applyNumberFormat="1" applyFont="1" applyFill="1" applyAlignment="1">
      <alignment horizontal="center"/>
    </xf>
    <xf numFmtId="164" fontId="4" fillId="204" borderId="0" xfId="0" applyNumberFormat="1" applyFont="1" applyFill="1" applyAlignment="1">
      <alignment horizontal="center"/>
    </xf>
    <xf numFmtId="2" fontId="4" fillId="205" borderId="0" xfId="0" applyNumberFormat="1" applyFont="1" applyFill="1" applyAlignment="1">
      <alignment horizontal="center"/>
    </xf>
    <xf numFmtId="2" fontId="4" fillId="206" borderId="0" xfId="0" applyNumberFormat="1" applyFont="1" applyFill="1" applyAlignment="1">
      <alignment horizontal="center"/>
    </xf>
    <xf numFmtId="2" fontId="4" fillId="207" borderId="0" xfId="0" applyNumberFormat="1" applyFont="1" applyFill="1" applyAlignment="1">
      <alignment horizontal="center"/>
    </xf>
    <xf numFmtId="2" fontId="4" fillId="208" borderId="0" xfId="0" applyNumberFormat="1" applyFont="1" applyFill="1" applyAlignment="1">
      <alignment horizontal="center"/>
    </xf>
    <xf numFmtId="2" fontId="4" fillId="209" borderId="0" xfId="0" applyNumberFormat="1" applyFont="1" applyFill="1" applyAlignment="1">
      <alignment horizontal="center"/>
    </xf>
    <xf numFmtId="2" fontId="4" fillId="210" borderId="0" xfId="0" applyNumberFormat="1" applyFont="1" applyFill="1" applyAlignment="1">
      <alignment horizontal="center"/>
    </xf>
    <xf numFmtId="2" fontId="4" fillId="211" borderId="0" xfId="0" applyNumberFormat="1" applyFont="1" applyFill="1" applyAlignment="1">
      <alignment horizontal="center"/>
    </xf>
    <xf numFmtId="2" fontId="4" fillId="212" borderId="0" xfId="0" applyNumberFormat="1" applyFont="1" applyFill="1" applyAlignment="1">
      <alignment horizontal="center"/>
    </xf>
    <xf numFmtId="2" fontId="4" fillId="213" borderId="0" xfId="0" applyNumberFormat="1" applyFont="1" applyFill="1" applyAlignment="1">
      <alignment horizontal="center"/>
    </xf>
    <xf numFmtId="2" fontId="4" fillId="214" borderId="0" xfId="0" applyNumberFormat="1" applyFont="1" applyFill="1" applyAlignment="1">
      <alignment horizontal="center"/>
    </xf>
    <xf numFmtId="2" fontId="4" fillId="215" borderId="0" xfId="0" applyNumberFormat="1" applyFont="1" applyFill="1" applyAlignment="1">
      <alignment horizontal="center"/>
    </xf>
    <xf numFmtId="2" fontId="4" fillId="216" borderId="0" xfId="0" applyNumberFormat="1" applyFont="1" applyFill="1" applyAlignment="1">
      <alignment horizontal="center"/>
    </xf>
    <xf numFmtId="2" fontId="4" fillId="217" borderId="0" xfId="0" applyNumberFormat="1" applyFont="1" applyFill="1" applyAlignment="1">
      <alignment horizontal="center"/>
    </xf>
    <xf numFmtId="2" fontId="4" fillId="218" borderId="0" xfId="0" applyNumberFormat="1" applyFont="1" applyFill="1" applyAlignment="1">
      <alignment horizontal="center"/>
    </xf>
    <xf numFmtId="2" fontId="4" fillId="219" borderId="0" xfId="0" applyNumberFormat="1" applyFont="1" applyFill="1" applyAlignment="1">
      <alignment horizontal="center"/>
    </xf>
    <xf numFmtId="2" fontId="4" fillId="220" borderId="0" xfId="0" applyNumberFormat="1" applyFont="1" applyFill="1" applyAlignment="1">
      <alignment horizontal="center"/>
    </xf>
    <xf numFmtId="2" fontId="4" fillId="221" borderId="0" xfId="0" applyNumberFormat="1" applyFont="1" applyFill="1" applyAlignment="1">
      <alignment horizontal="center"/>
    </xf>
    <xf numFmtId="2" fontId="4" fillId="222" borderId="0" xfId="0" applyNumberFormat="1" applyFont="1" applyFill="1" applyAlignment="1">
      <alignment horizontal="center"/>
    </xf>
    <xf numFmtId="2" fontId="4" fillId="223" borderId="0" xfId="0" applyNumberFormat="1" applyFont="1" applyFill="1" applyAlignment="1">
      <alignment horizontal="center"/>
    </xf>
    <xf numFmtId="2" fontId="4" fillId="224" borderId="0" xfId="0" applyNumberFormat="1" applyFont="1" applyFill="1" applyAlignment="1">
      <alignment horizontal="center"/>
    </xf>
    <xf numFmtId="2" fontId="4" fillId="225" borderId="0" xfId="0" applyNumberFormat="1" applyFont="1" applyFill="1" applyAlignment="1">
      <alignment horizontal="center"/>
    </xf>
    <xf numFmtId="2" fontId="4" fillId="226" borderId="0" xfId="0" applyNumberFormat="1" applyFont="1" applyFill="1" applyAlignment="1">
      <alignment horizontal="center"/>
    </xf>
    <xf numFmtId="2" fontId="4" fillId="227" borderId="0" xfId="0" applyNumberFormat="1" applyFont="1" applyFill="1" applyAlignment="1">
      <alignment horizontal="center"/>
    </xf>
    <xf numFmtId="2" fontId="4" fillId="228" borderId="0" xfId="0" applyNumberFormat="1" applyFont="1" applyFill="1" applyAlignment="1">
      <alignment horizontal="center"/>
    </xf>
    <xf numFmtId="2" fontId="4" fillId="229" borderId="0" xfId="0" applyNumberFormat="1" applyFont="1" applyFill="1" applyAlignment="1">
      <alignment horizontal="center"/>
    </xf>
    <xf numFmtId="2" fontId="4" fillId="230" borderId="0" xfId="0" applyNumberFormat="1" applyFont="1" applyFill="1" applyAlignment="1">
      <alignment horizontal="center"/>
    </xf>
    <xf numFmtId="2" fontId="4" fillId="231" borderId="0" xfId="0" applyNumberFormat="1" applyFont="1" applyFill="1" applyAlignment="1">
      <alignment horizontal="center"/>
    </xf>
    <xf numFmtId="2" fontId="4" fillId="232" borderId="0" xfId="0" applyNumberFormat="1" applyFont="1" applyFill="1" applyAlignment="1">
      <alignment horizontal="center"/>
    </xf>
    <xf numFmtId="2" fontId="3" fillId="0" borderId="0" xfId="0" applyNumberFormat="1" applyFont="1"/>
    <xf numFmtId="2" fontId="4" fillId="233" borderId="0" xfId="0" applyNumberFormat="1" applyFont="1" applyFill="1" applyAlignment="1">
      <alignment horizontal="center"/>
    </xf>
    <xf numFmtId="2" fontId="4" fillId="234" borderId="0" xfId="0" applyNumberFormat="1" applyFont="1" applyFill="1" applyAlignment="1">
      <alignment horizontal="center"/>
    </xf>
    <xf numFmtId="2" fontId="4" fillId="235" borderId="0" xfId="0" applyNumberFormat="1" applyFont="1" applyFill="1" applyAlignment="1">
      <alignment horizontal="center"/>
    </xf>
    <xf numFmtId="2" fontId="4" fillId="236" borderId="0" xfId="0" applyNumberFormat="1" applyFont="1" applyFill="1" applyAlignment="1">
      <alignment horizontal="center"/>
    </xf>
    <xf numFmtId="164" fontId="4" fillId="237" borderId="0" xfId="0" applyNumberFormat="1" applyFont="1" applyFill="1" applyAlignment="1">
      <alignment horizontal="center"/>
    </xf>
    <xf numFmtId="2" fontId="4" fillId="238" borderId="0" xfId="0" applyNumberFormat="1" applyFont="1" applyFill="1" applyAlignment="1">
      <alignment horizontal="center"/>
    </xf>
    <xf numFmtId="2" fontId="4" fillId="239" borderId="0" xfId="0" applyNumberFormat="1" applyFont="1" applyFill="1" applyAlignment="1">
      <alignment horizontal="center"/>
    </xf>
    <xf numFmtId="2" fontId="4" fillId="240" borderId="0" xfId="0" applyNumberFormat="1" applyFont="1" applyFill="1" applyAlignment="1">
      <alignment horizontal="center"/>
    </xf>
    <xf numFmtId="2" fontId="4" fillId="241" borderId="0" xfId="0" applyNumberFormat="1" applyFont="1" applyFill="1" applyAlignment="1">
      <alignment horizontal="center"/>
    </xf>
    <xf numFmtId="2" fontId="4" fillId="242" borderId="0" xfId="0" applyNumberFormat="1" applyFont="1" applyFill="1" applyAlignment="1">
      <alignment horizontal="center"/>
    </xf>
    <xf numFmtId="2" fontId="4" fillId="243" borderId="0" xfId="0" applyNumberFormat="1" applyFont="1" applyFill="1" applyAlignment="1">
      <alignment horizontal="center"/>
    </xf>
    <xf numFmtId="2" fontId="4" fillId="244" borderId="0" xfId="0" applyNumberFormat="1" applyFont="1" applyFill="1" applyAlignment="1">
      <alignment horizontal="center"/>
    </xf>
    <xf numFmtId="2" fontId="4" fillId="245" borderId="0" xfId="0" applyNumberFormat="1" applyFont="1" applyFill="1" applyAlignment="1">
      <alignment horizontal="center"/>
    </xf>
    <xf numFmtId="2" fontId="4" fillId="246" borderId="0" xfId="0" applyNumberFormat="1" applyFont="1" applyFill="1" applyAlignment="1">
      <alignment horizontal="center"/>
    </xf>
    <xf numFmtId="2" fontId="4" fillId="247" borderId="0" xfId="0" applyNumberFormat="1" applyFont="1" applyFill="1" applyAlignment="1">
      <alignment horizontal="center"/>
    </xf>
    <xf numFmtId="2" fontId="4" fillId="248" borderId="0" xfId="0" applyNumberFormat="1" applyFont="1" applyFill="1" applyAlignment="1">
      <alignment horizontal="center"/>
    </xf>
    <xf numFmtId="2" fontId="4" fillId="249" borderId="0" xfId="0" applyNumberFormat="1" applyFont="1" applyFill="1" applyAlignment="1">
      <alignment horizontal="center"/>
    </xf>
    <xf numFmtId="2" fontId="4" fillId="250" borderId="0" xfId="0" applyNumberFormat="1" applyFont="1" applyFill="1" applyAlignment="1">
      <alignment horizontal="center"/>
    </xf>
    <xf numFmtId="2" fontId="4" fillId="251" borderId="0" xfId="0" applyNumberFormat="1" applyFont="1" applyFill="1" applyAlignment="1">
      <alignment horizontal="center"/>
    </xf>
    <xf numFmtId="2" fontId="4" fillId="252" borderId="0" xfId="0" applyNumberFormat="1" applyFont="1" applyFill="1" applyAlignment="1">
      <alignment horizontal="center"/>
    </xf>
    <xf numFmtId="2" fontId="4" fillId="253" borderId="0" xfId="0" applyNumberFormat="1" applyFont="1" applyFill="1" applyAlignment="1">
      <alignment horizontal="center"/>
    </xf>
    <xf numFmtId="2" fontId="4" fillId="254" borderId="0" xfId="0" applyNumberFormat="1" applyFont="1" applyFill="1" applyAlignment="1">
      <alignment horizontal="center"/>
    </xf>
    <xf numFmtId="2" fontId="4" fillId="255" borderId="0" xfId="0" applyNumberFormat="1" applyFont="1" applyFill="1" applyAlignment="1">
      <alignment horizontal="center"/>
    </xf>
    <xf numFmtId="2" fontId="4" fillId="256" borderId="0" xfId="0" applyNumberFormat="1" applyFont="1" applyFill="1" applyAlignment="1">
      <alignment horizontal="center"/>
    </xf>
    <xf numFmtId="2" fontId="4" fillId="257" borderId="0" xfId="0" applyNumberFormat="1" applyFont="1" applyFill="1" applyAlignment="1">
      <alignment horizontal="center"/>
    </xf>
    <xf numFmtId="2" fontId="4" fillId="258" borderId="0" xfId="0" applyNumberFormat="1" applyFont="1" applyFill="1" applyAlignment="1">
      <alignment horizontal="center"/>
    </xf>
    <xf numFmtId="2" fontId="4" fillId="259" borderId="0" xfId="0" applyNumberFormat="1" applyFont="1" applyFill="1" applyAlignment="1">
      <alignment horizontal="center"/>
    </xf>
    <xf numFmtId="2" fontId="4" fillId="260" borderId="0" xfId="0" applyNumberFormat="1" applyFont="1" applyFill="1" applyAlignment="1">
      <alignment horizontal="center"/>
    </xf>
    <xf numFmtId="2" fontId="4" fillId="261" borderId="0" xfId="0" applyNumberFormat="1" applyFont="1" applyFill="1" applyAlignment="1">
      <alignment horizontal="center"/>
    </xf>
    <xf numFmtId="2" fontId="4" fillId="262" borderId="0" xfId="0" applyNumberFormat="1" applyFont="1" applyFill="1" applyAlignment="1">
      <alignment horizontal="center"/>
    </xf>
    <xf numFmtId="2" fontId="4" fillId="263" borderId="0" xfId="0" applyNumberFormat="1" applyFont="1" applyFill="1" applyAlignment="1">
      <alignment horizontal="center"/>
    </xf>
    <xf numFmtId="164" fontId="4" fillId="264" borderId="0" xfId="0" applyNumberFormat="1" applyFont="1" applyFill="1" applyAlignment="1">
      <alignment horizontal="center"/>
    </xf>
    <xf numFmtId="2" fontId="4" fillId="265" borderId="0" xfId="0" applyNumberFormat="1" applyFont="1" applyFill="1" applyAlignment="1">
      <alignment horizontal="center"/>
    </xf>
    <xf numFmtId="2" fontId="4" fillId="266" borderId="0" xfId="0" applyNumberFormat="1" applyFont="1" applyFill="1" applyAlignment="1">
      <alignment horizontal="center"/>
    </xf>
    <xf numFmtId="2" fontId="4" fillId="267" borderId="0" xfId="0" applyNumberFormat="1" applyFont="1" applyFill="1" applyAlignment="1">
      <alignment horizontal="center"/>
    </xf>
    <xf numFmtId="2" fontId="4" fillId="268" borderId="0" xfId="0" applyNumberFormat="1" applyFont="1" applyFill="1" applyAlignment="1">
      <alignment horizontal="center"/>
    </xf>
    <xf numFmtId="2" fontId="4" fillId="269" borderId="0" xfId="0" applyNumberFormat="1" applyFont="1" applyFill="1" applyAlignment="1">
      <alignment horizontal="center"/>
    </xf>
    <xf numFmtId="2" fontId="4" fillId="270" borderId="0" xfId="0" applyNumberFormat="1" applyFont="1" applyFill="1" applyAlignment="1">
      <alignment horizontal="center"/>
    </xf>
    <xf numFmtId="2" fontId="4" fillId="271" borderId="0" xfId="0" applyNumberFormat="1" applyFont="1" applyFill="1" applyAlignment="1">
      <alignment horizontal="center"/>
    </xf>
    <xf numFmtId="2" fontId="4" fillId="272" borderId="0" xfId="0" applyNumberFormat="1" applyFont="1" applyFill="1" applyAlignment="1">
      <alignment horizontal="center"/>
    </xf>
    <xf numFmtId="2" fontId="4" fillId="273" borderId="0" xfId="0" applyNumberFormat="1" applyFont="1" applyFill="1" applyAlignment="1">
      <alignment horizontal="center"/>
    </xf>
    <xf numFmtId="2" fontId="4" fillId="274" borderId="0" xfId="0" applyNumberFormat="1" applyFont="1" applyFill="1" applyAlignment="1">
      <alignment horizontal="center"/>
    </xf>
    <xf numFmtId="2" fontId="4" fillId="275" borderId="0" xfId="0" applyNumberFormat="1" applyFont="1" applyFill="1" applyAlignment="1">
      <alignment horizontal="center"/>
    </xf>
    <xf numFmtId="2" fontId="4" fillId="276" borderId="0" xfId="0" applyNumberFormat="1" applyFont="1" applyFill="1" applyAlignment="1">
      <alignment horizontal="center"/>
    </xf>
    <xf numFmtId="2" fontId="4" fillId="277" borderId="0" xfId="0" applyNumberFormat="1" applyFont="1" applyFill="1" applyAlignment="1">
      <alignment horizontal="center"/>
    </xf>
    <xf numFmtId="2" fontId="4" fillId="278" borderId="0" xfId="0" applyNumberFormat="1" applyFont="1" applyFill="1" applyAlignment="1">
      <alignment horizontal="center"/>
    </xf>
    <xf numFmtId="2" fontId="4" fillId="279" borderId="0" xfId="0" applyNumberFormat="1" applyFont="1" applyFill="1" applyAlignment="1">
      <alignment horizontal="center"/>
    </xf>
    <xf numFmtId="2" fontId="4" fillId="280" borderId="0" xfId="0" applyNumberFormat="1" applyFont="1" applyFill="1" applyAlignment="1">
      <alignment horizontal="center"/>
    </xf>
    <xf numFmtId="2" fontId="4" fillId="281" borderId="0" xfId="0" applyNumberFormat="1" applyFont="1" applyFill="1" applyAlignment="1">
      <alignment horizontal="center"/>
    </xf>
    <xf numFmtId="2" fontId="4" fillId="282" borderId="0" xfId="0" applyNumberFormat="1" applyFont="1" applyFill="1" applyAlignment="1">
      <alignment horizontal="center"/>
    </xf>
    <xf numFmtId="2" fontId="4" fillId="283" borderId="0" xfId="0" applyNumberFormat="1" applyFont="1" applyFill="1" applyAlignment="1">
      <alignment horizontal="center"/>
    </xf>
    <xf numFmtId="2" fontId="4" fillId="284" borderId="0" xfId="0" applyNumberFormat="1" applyFont="1" applyFill="1" applyAlignment="1">
      <alignment horizontal="center"/>
    </xf>
    <xf numFmtId="2" fontId="4" fillId="285" borderId="0" xfId="0" applyNumberFormat="1" applyFont="1" applyFill="1" applyAlignment="1">
      <alignment horizontal="center"/>
    </xf>
    <xf numFmtId="2" fontId="4" fillId="286" borderId="0" xfId="0" applyNumberFormat="1" applyFont="1" applyFill="1" applyAlignment="1">
      <alignment horizontal="center"/>
    </xf>
    <xf numFmtId="164" fontId="4" fillId="287" borderId="0" xfId="0" applyNumberFormat="1" applyFont="1" applyFill="1" applyAlignment="1">
      <alignment horizontal="center"/>
    </xf>
    <xf numFmtId="2" fontId="4" fillId="288" borderId="0" xfId="0" applyNumberFormat="1" applyFont="1" applyFill="1" applyAlignment="1">
      <alignment horizontal="center"/>
    </xf>
    <xf numFmtId="2" fontId="4" fillId="289" borderId="0" xfId="0" applyNumberFormat="1" applyFont="1" applyFill="1" applyAlignment="1">
      <alignment horizontal="center"/>
    </xf>
    <xf numFmtId="2" fontId="4" fillId="290" borderId="0" xfId="0" applyNumberFormat="1" applyFont="1" applyFill="1" applyAlignment="1">
      <alignment horizontal="center"/>
    </xf>
    <xf numFmtId="2" fontId="4" fillId="291" borderId="0" xfId="0" applyNumberFormat="1" applyFont="1" applyFill="1" applyAlignment="1">
      <alignment horizontal="center"/>
    </xf>
    <xf numFmtId="2" fontId="4" fillId="292" borderId="0" xfId="0" applyNumberFormat="1" applyFont="1" applyFill="1" applyAlignment="1">
      <alignment horizontal="center"/>
    </xf>
    <xf numFmtId="2" fontId="4" fillId="293" borderId="0" xfId="0" applyNumberFormat="1" applyFont="1" applyFill="1" applyAlignment="1">
      <alignment horizontal="center"/>
    </xf>
    <xf numFmtId="2" fontId="4" fillId="294" borderId="0" xfId="0" applyNumberFormat="1" applyFont="1" applyFill="1" applyAlignment="1">
      <alignment horizontal="center"/>
    </xf>
    <xf numFmtId="2" fontId="4" fillId="295" borderId="0" xfId="0" applyNumberFormat="1" applyFont="1" applyFill="1" applyAlignment="1">
      <alignment horizontal="center"/>
    </xf>
    <xf numFmtId="2" fontId="4" fillId="296" borderId="0" xfId="0" applyNumberFormat="1" applyFont="1" applyFill="1" applyAlignment="1">
      <alignment horizontal="center"/>
    </xf>
    <xf numFmtId="2" fontId="4" fillId="297" borderId="0" xfId="0" applyNumberFormat="1" applyFont="1" applyFill="1" applyAlignment="1">
      <alignment horizontal="center"/>
    </xf>
    <xf numFmtId="2" fontId="4" fillId="298" borderId="0" xfId="0" applyNumberFormat="1" applyFont="1" applyFill="1" applyAlignment="1">
      <alignment horizontal="center"/>
    </xf>
    <xf numFmtId="2" fontId="4" fillId="299" borderId="0" xfId="0" applyNumberFormat="1" applyFont="1" applyFill="1" applyAlignment="1">
      <alignment horizontal="center"/>
    </xf>
    <xf numFmtId="2" fontId="4" fillId="300" borderId="0" xfId="0" applyNumberFormat="1" applyFont="1" applyFill="1" applyAlignment="1">
      <alignment horizontal="center"/>
    </xf>
    <xf numFmtId="2" fontId="4" fillId="301" borderId="0" xfId="0" applyNumberFormat="1" applyFont="1" applyFill="1" applyAlignment="1">
      <alignment horizontal="center"/>
    </xf>
    <xf numFmtId="2" fontId="4" fillId="302" borderId="0" xfId="0" applyNumberFormat="1" applyFont="1" applyFill="1" applyAlignment="1">
      <alignment horizontal="center"/>
    </xf>
    <xf numFmtId="2" fontId="4" fillId="303" borderId="0" xfId="0" applyNumberFormat="1" applyFont="1" applyFill="1" applyAlignment="1">
      <alignment horizontal="center"/>
    </xf>
    <xf numFmtId="2" fontId="4" fillId="304" borderId="0" xfId="0" applyNumberFormat="1" applyFont="1" applyFill="1" applyAlignment="1">
      <alignment horizontal="center"/>
    </xf>
    <xf numFmtId="2" fontId="4" fillId="305" borderId="0" xfId="0" applyNumberFormat="1" applyFont="1" applyFill="1" applyAlignment="1">
      <alignment horizontal="center"/>
    </xf>
    <xf numFmtId="2" fontId="4" fillId="306" borderId="0" xfId="0" applyNumberFormat="1" applyFont="1" applyFill="1" applyAlignment="1">
      <alignment horizontal="center"/>
    </xf>
    <xf numFmtId="2" fontId="4" fillId="307" borderId="0" xfId="0" applyNumberFormat="1" applyFont="1" applyFill="1" applyAlignment="1">
      <alignment horizontal="center"/>
    </xf>
    <xf numFmtId="2" fontId="4" fillId="308" borderId="0" xfId="0" applyNumberFormat="1" applyFont="1" applyFill="1" applyAlignment="1">
      <alignment horizontal="center"/>
    </xf>
    <xf numFmtId="2" fontId="4" fillId="309" borderId="0" xfId="0" applyNumberFormat="1" applyFont="1" applyFill="1" applyAlignment="1">
      <alignment horizontal="center"/>
    </xf>
    <xf numFmtId="2" fontId="4" fillId="310" borderId="0" xfId="0" applyNumberFormat="1" applyFont="1" applyFill="1" applyAlignment="1">
      <alignment horizontal="center"/>
    </xf>
    <xf numFmtId="2" fontId="4" fillId="311" borderId="0" xfId="0" applyNumberFormat="1" applyFont="1" applyFill="1" applyAlignment="1">
      <alignment horizontal="center"/>
    </xf>
    <xf numFmtId="2" fontId="4" fillId="312" borderId="0" xfId="0" applyNumberFormat="1" applyFont="1" applyFill="1" applyAlignment="1">
      <alignment horizontal="center"/>
    </xf>
    <xf numFmtId="2" fontId="4" fillId="313" borderId="0" xfId="0" applyNumberFormat="1" applyFont="1" applyFill="1" applyAlignment="1">
      <alignment horizontal="center"/>
    </xf>
    <xf numFmtId="2" fontId="4" fillId="314" borderId="0" xfId="0" applyNumberFormat="1" applyFont="1" applyFill="1" applyAlignment="1">
      <alignment horizontal="center"/>
    </xf>
    <xf numFmtId="2" fontId="4" fillId="315" borderId="0" xfId="0" applyNumberFormat="1" applyFont="1" applyFill="1" applyAlignment="1">
      <alignment horizontal="center"/>
    </xf>
    <xf numFmtId="164" fontId="4" fillId="316" borderId="0" xfId="0" applyNumberFormat="1" applyFont="1" applyFill="1" applyAlignment="1">
      <alignment horizontal="center"/>
    </xf>
    <xf numFmtId="2" fontId="4" fillId="317" borderId="0" xfId="0" applyNumberFormat="1" applyFont="1" applyFill="1" applyAlignment="1">
      <alignment horizontal="center"/>
    </xf>
    <xf numFmtId="2" fontId="4" fillId="318" borderId="0" xfId="0" applyNumberFormat="1" applyFont="1" applyFill="1" applyAlignment="1">
      <alignment horizontal="center"/>
    </xf>
    <xf numFmtId="2" fontId="4" fillId="319" borderId="0" xfId="0" applyNumberFormat="1" applyFont="1" applyFill="1" applyAlignment="1">
      <alignment horizontal="center"/>
    </xf>
    <xf numFmtId="2" fontId="4" fillId="320" borderId="0" xfId="0" applyNumberFormat="1" applyFont="1" applyFill="1" applyAlignment="1">
      <alignment horizontal="center"/>
    </xf>
    <xf numFmtId="2" fontId="4" fillId="321" borderId="0" xfId="0" applyNumberFormat="1" applyFont="1" applyFill="1" applyAlignment="1">
      <alignment horizontal="center"/>
    </xf>
    <xf numFmtId="2" fontId="4" fillId="322" borderId="0" xfId="0" applyNumberFormat="1" applyFont="1" applyFill="1" applyAlignment="1">
      <alignment horizontal="center"/>
    </xf>
    <xf numFmtId="2" fontId="4" fillId="323" borderId="0" xfId="0" applyNumberFormat="1" applyFont="1" applyFill="1" applyAlignment="1">
      <alignment horizontal="center"/>
    </xf>
    <xf numFmtId="2" fontId="4" fillId="324" borderId="0" xfId="0" applyNumberFormat="1" applyFont="1" applyFill="1" applyAlignment="1">
      <alignment horizontal="center"/>
    </xf>
    <xf numFmtId="2" fontId="4" fillId="325" borderId="0" xfId="0" applyNumberFormat="1" applyFont="1" applyFill="1" applyAlignment="1">
      <alignment horizontal="center"/>
    </xf>
    <xf numFmtId="2" fontId="4" fillId="326" borderId="0" xfId="0" applyNumberFormat="1" applyFont="1" applyFill="1" applyAlignment="1">
      <alignment horizontal="center"/>
    </xf>
    <xf numFmtId="2" fontId="4" fillId="327" borderId="0" xfId="0" applyNumberFormat="1" applyFont="1" applyFill="1" applyAlignment="1">
      <alignment horizontal="center"/>
    </xf>
    <xf numFmtId="2" fontId="4" fillId="328" borderId="0" xfId="0" applyNumberFormat="1" applyFont="1" applyFill="1" applyAlignment="1">
      <alignment horizontal="center"/>
    </xf>
    <xf numFmtId="2" fontId="4" fillId="329" borderId="0" xfId="0" applyNumberFormat="1" applyFont="1" applyFill="1" applyAlignment="1">
      <alignment horizontal="center"/>
    </xf>
    <xf numFmtId="2" fontId="4" fillId="330" borderId="0" xfId="0" applyNumberFormat="1" applyFont="1" applyFill="1" applyAlignment="1">
      <alignment horizontal="center"/>
    </xf>
    <xf numFmtId="2" fontId="4" fillId="331" borderId="0" xfId="0" applyNumberFormat="1" applyFont="1" applyFill="1" applyAlignment="1">
      <alignment horizontal="center"/>
    </xf>
    <xf numFmtId="2" fontId="4" fillId="332" borderId="0" xfId="0" applyNumberFormat="1" applyFont="1" applyFill="1" applyAlignment="1">
      <alignment horizontal="center"/>
    </xf>
    <xf numFmtId="2" fontId="4" fillId="333" borderId="0" xfId="0" applyNumberFormat="1" applyFont="1" applyFill="1" applyAlignment="1">
      <alignment horizontal="center"/>
    </xf>
    <xf numFmtId="2" fontId="4" fillId="334" borderId="0" xfId="0" applyNumberFormat="1" applyFont="1" applyFill="1" applyAlignment="1">
      <alignment horizontal="center"/>
    </xf>
    <xf numFmtId="2" fontId="4" fillId="335" borderId="0" xfId="0" applyNumberFormat="1" applyFont="1" applyFill="1" applyAlignment="1">
      <alignment horizontal="center"/>
    </xf>
    <xf numFmtId="2" fontId="4" fillId="336" borderId="0" xfId="0" applyNumberFormat="1" applyFont="1" applyFill="1" applyAlignment="1">
      <alignment horizontal="center"/>
    </xf>
    <xf numFmtId="2" fontId="4" fillId="337" borderId="0" xfId="0" applyNumberFormat="1" applyFont="1" applyFill="1" applyAlignment="1">
      <alignment horizontal="center"/>
    </xf>
    <xf numFmtId="2" fontId="4" fillId="338" borderId="0" xfId="0" applyNumberFormat="1" applyFont="1" applyFill="1" applyAlignment="1">
      <alignment horizontal="center"/>
    </xf>
    <xf numFmtId="2" fontId="4" fillId="339" borderId="0" xfId="0" applyNumberFormat="1" applyFont="1" applyFill="1" applyAlignment="1">
      <alignment horizontal="center"/>
    </xf>
    <xf numFmtId="2" fontId="4" fillId="340" borderId="0" xfId="0" applyNumberFormat="1" applyFont="1" applyFill="1" applyAlignment="1">
      <alignment horizontal="center"/>
    </xf>
    <xf numFmtId="2" fontId="4" fillId="341" borderId="0" xfId="0" applyNumberFormat="1" applyFont="1" applyFill="1" applyAlignment="1">
      <alignment horizontal="center"/>
    </xf>
    <xf numFmtId="164" fontId="4" fillId="342" borderId="0" xfId="0" applyNumberFormat="1" applyFont="1" applyFill="1" applyAlignment="1">
      <alignment horizontal="center"/>
    </xf>
    <xf numFmtId="2" fontId="4" fillId="343" borderId="0" xfId="0" applyNumberFormat="1" applyFont="1" applyFill="1" applyAlignment="1">
      <alignment horizontal="center"/>
    </xf>
    <xf numFmtId="2" fontId="4" fillId="344" borderId="0" xfId="0" applyNumberFormat="1" applyFont="1" applyFill="1" applyAlignment="1">
      <alignment horizontal="center"/>
    </xf>
    <xf numFmtId="2" fontId="4" fillId="345" borderId="0" xfId="0" applyNumberFormat="1" applyFont="1" applyFill="1" applyAlignment="1">
      <alignment horizontal="center"/>
    </xf>
    <xf numFmtId="2" fontId="4" fillId="346" borderId="0" xfId="0" applyNumberFormat="1" applyFont="1" applyFill="1" applyAlignment="1">
      <alignment horizontal="center"/>
    </xf>
    <xf numFmtId="2" fontId="4" fillId="347" borderId="0" xfId="0" applyNumberFormat="1" applyFont="1" applyFill="1" applyAlignment="1">
      <alignment horizontal="center"/>
    </xf>
    <xf numFmtId="2" fontId="4" fillId="348" borderId="0" xfId="0" applyNumberFormat="1" applyFont="1" applyFill="1" applyAlignment="1">
      <alignment horizontal="center"/>
    </xf>
    <xf numFmtId="2" fontId="4" fillId="349" borderId="0" xfId="0" applyNumberFormat="1" applyFont="1" applyFill="1" applyAlignment="1">
      <alignment horizontal="center"/>
    </xf>
    <xf numFmtId="2" fontId="4" fillId="350" borderId="0" xfId="0" applyNumberFormat="1" applyFont="1" applyFill="1" applyAlignment="1">
      <alignment horizontal="center"/>
    </xf>
    <xf numFmtId="2" fontId="4" fillId="351" borderId="0" xfId="0" applyNumberFormat="1" applyFont="1" applyFill="1" applyAlignment="1">
      <alignment horizontal="center"/>
    </xf>
    <xf numFmtId="2" fontId="4" fillId="352" borderId="0" xfId="0" applyNumberFormat="1" applyFont="1" applyFill="1" applyAlignment="1">
      <alignment horizontal="center"/>
    </xf>
    <xf numFmtId="2" fontId="4" fillId="353" borderId="0" xfId="0" applyNumberFormat="1" applyFont="1" applyFill="1" applyAlignment="1">
      <alignment horizontal="center"/>
    </xf>
    <xf numFmtId="2" fontId="4" fillId="354" borderId="0" xfId="0" applyNumberFormat="1" applyFont="1" applyFill="1" applyAlignment="1">
      <alignment horizontal="center"/>
    </xf>
    <xf numFmtId="2" fontId="4" fillId="355" borderId="0" xfId="0" applyNumberFormat="1" applyFont="1" applyFill="1" applyAlignment="1">
      <alignment horizontal="center"/>
    </xf>
    <xf numFmtId="2" fontId="4" fillId="356" borderId="0" xfId="0" applyNumberFormat="1" applyFont="1" applyFill="1" applyAlignment="1">
      <alignment horizontal="center"/>
    </xf>
    <xf numFmtId="2" fontId="4" fillId="357" borderId="0" xfId="0" applyNumberFormat="1" applyFont="1" applyFill="1" applyAlignment="1">
      <alignment horizontal="center"/>
    </xf>
    <xf numFmtId="164" fontId="4" fillId="358" borderId="0" xfId="0" applyNumberFormat="1" applyFont="1" applyFill="1" applyAlignment="1">
      <alignment horizontal="center"/>
    </xf>
    <xf numFmtId="2" fontId="4" fillId="359" borderId="0" xfId="0" applyNumberFormat="1" applyFont="1" applyFill="1" applyAlignment="1">
      <alignment horizontal="center"/>
    </xf>
    <xf numFmtId="2" fontId="4" fillId="360" borderId="0" xfId="0" applyNumberFormat="1" applyFont="1" applyFill="1" applyAlignment="1">
      <alignment horizontal="center"/>
    </xf>
    <xf numFmtId="2" fontId="4" fillId="361" borderId="0" xfId="0" applyNumberFormat="1" applyFont="1" applyFill="1" applyAlignment="1">
      <alignment horizontal="center"/>
    </xf>
    <xf numFmtId="2" fontId="4" fillId="362" borderId="0" xfId="0" applyNumberFormat="1" applyFont="1" applyFill="1" applyAlignment="1">
      <alignment horizontal="center"/>
    </xf>
    <xf numFmtId="2" fontId="4" fillId="363" borderId="0" xfId="0" applyNumberFormat="1" applyFont="1" applyFill="1" applyAlignment="1">
      <alignment horizontal="center"/>
    </xf>
    <xf numFmtId="2" fontId="4" fillId="364" borderId="0" xfId="0" applyNumberFormat="1" applyFont="1" applyFill="1" applyAlignment="1">
      <alignment horizontal="center"/>
    </xf>
    <xf numFmtId="2" fontId="4" fillId="365" borderId="0" xfId="0" applyNumberFormat="1" applyFont="1" applyFill="1" applyAlignment="1">
      <alignment horizontal="center"/>
    </xf>
    <xf numFmtId="2" fontId="4" fillId="366" borderId="0" xfId="0" applyNumberFormat="1" applyFont="1" applyFill="1" applyAlignment="1">
      <alignment horizontal="center"/>
    </xf>
    <xf numFmtId="2" fontId="4" fillId="367" borderId="0" xfId="0" applyNumberFormat="1" applyFont="1" applyFill="1" applyAlignment="1">
      <alignment horizontal="center"/>
    </xf>
    <xf numFmtId="2" fontId="4" fillId="368" borderId="0" xfId="0" applyNumberFormat="1" applyFont="1" applyFill="1" applyAlignment="1">
      <alignment horizontal="center"/>
    </xf>
    <xf numFmtId="2" fontId="4" fillId="369" borderId="0" xfId="0" applyNumberFormat="1" applyFont="1" applyFill="1" applyAlignment="1">
      <alignment horizontal="center"/>
    </xf>
    <xf numFmtId="2" fontId="4" fillId="370" borderId="0" xfId="0" applyNumberFormat="1" applyFont="1" applyFill="1" applyAlignment="1">
      <alignment horizontal="center"/>
    </xf>
    <xf numFmtId="2" fontId="4" fillId="371" borderId="0" xfId="0" applyNumberFormat="1" applyFont="1" applyFill="1" applyAlignment="1">
      <alignment horizontal="center"/>
    </xf>
    <xf numFmtId="2" fontId="4" fillId="372" borderId="0" xfId="0" applyNumberFormat="1" applyFont="1" applyFill="1" applyAlignment="1">
      <alignment horizontal="center"/>
    </xf>
    <xf numFmtId="2" fontId="4" fillId="373" borderId="0" xfId="0" applyNumberFormat="1" applyFont="1" applyFill="1" applyAlignment="1">
      <alignment horizontal="center"/>
    </xf>
    <xf numFmtId="2" fontId="4" fillId="374" borderId="0" xfId="0" applyNumberFormat="1" applyFont="1" applyFill="1" applyAlignment="1">
      <alignment horizontal="center"/>
    </xf>
    <xf numFmtId="2" fontId="4" fillId="375" borderId="0" xfId="0" applyNumberFormat="1" applyFont="1" applyFill="1" applyAlignment="1">
      <alignment horizontal="center"/>
    </xf>
    <xf numFmtId="2" fontId="4" fillId="376" borderId="0" xfId="0" applyNumberFormat="1" applyFont="1" applyFill="1" applyAlignment="1">
      <alignment horizontal="center"/>
    </xf>
    <xf numFmtId="164" fontId="4" fillId="191" borderId="0" xfId="0" applyNumberFormat="1" applyFont="1" applyFill="1" applyAlignment="1">
      <alignment horizontal="center"/>
    </xf>
    <xf numFmtId="2" fontId="4" fillId="377" borderId="0" xfId="0" applyNumberFormat="1" applyFont="1" applyFill="1" applyAlignment="1">
      <alignment horizontal="center"/>
    </xf>
    <xf numFmtId="2" fontId="4" fillId="378" borderId="0" xfId="0" applyNumberFormat="1" applyFont="1" applyFill="1" applyAlignment="1">
      <alignment horizontal="center"/>
    </xf>
    <xf numFmtId="2" fontId="4" fillId="379" borderId="0" xfId="0" applyNumberFormat="1" applyFont="1" applyFill="1" applyAlignment="1">
      <alignment horizontal="center"/>
    </xf>
    <xf numFmtId="2" fontId="4" fillId="380" borderId="0" xfId="0" applyNumberFormat="1" applyFont="1" applyFill="1" applyAlignment="1">
      <alignment horizontal="center"/>
    </xf>
    <xf numFmtId="2" fontId="4" fillId="381" borderId="0" xfId="0" applyNumberFormat="1" applyFont="1" applyFill="1" applyAlignment="1">
      <alignment horizontal="center"/>
    </xf>
    <xf numFmtId="2" fontId="4" fillId="382" borderId="0" xfId="0" applyNumberFormat="1" applyFont="1" applyFill="1" applyAlignment="1">
      <alignment horizontal="center"/>
    </xf>
    <xf numFmtId="2" fontId="4" fillId="383" borderId="0" xfId="0" applyNumberFormat="1" applyFont="1" applyFill="1" applyAlignment="1">
      <alignment horizontal="center"/>
    </xf>
    <xf numFmtId="2" fontId="4" fillId="384" borderId="0" xfId="0" applyNumberFormat="1" applyFont="1" applyFill="1" applyAlignment="1">
      <alignment horizontal="center"/>
    </xf>
    <xf numFmtId="2" fontId="4" fillId="385" borderId="0" xfId="0" applyNumberFormat="1" applyFont="1" applyFill="1" applyAlignment="1">
      <alignment horizontal="center"/>
    </xf>
    <xf numFmtId="2" fontId="4" fillId="386" borderId="0" xfId="0" applyNumberFormat="1" applyFont="1" applyFill="1" applyAlignment="1">
      <alignment horizontal="center"/>
    </xf>
    <xf numFmtId="2" fontId="4" fillId="387" borderId="0" xfId="0" applyNumberFormat="1" applyFont="1" applyFill="1" applyAlignment="1">
      <alignment horizontal="center"/>
    </xf>
    <xf numFmtId="2" fontId="4" fillId="388" borderId="0" xfId="0" applyNumberFormat="1" applyFont="1" applyFill="1" applyAlignment="1">
      <alignment horizontal="center"/>
    </xf>
    <xf numFmtId="2" fontId="4" fillId="389" borderId="0" xfId="0" applyNumberFormat="1" applyFont="1" applyFill="1" applyAlignment="1">
      <alignment horizontal="center"/>
    </xf>
    <xf numFmtId="2" fontId="4" fillId="390" borderId="0" xfId="0" applyNumberFormat="1" applyFont="1" applyFill="1" applyAlignment="1">
      <alignment horizontal="center"/>
    </xf>
    <xf numFmtId="2" fontId="4" fillId="391" borderId="0" xfId="0" applyNumberFormat="1" applyFont="1" applyFill="1" applyAlignment="1">
      <alignment horizontal="center"/>
    </xf>
    <xf numFmtId="2" fontId="4" fillId="392" borderId="0" xfId="0" applyNumberFormat="1" applyFont="1" applyFill="1" applyAlignment="1">
      <alignment horizontal="center"/>
    </xf>
    <xf numFmtId="2" fontId="4" fillId="393" borderId="0" xfId="0" applyNumberFormat="1" applyFont="1" applyFill="1" applyAlignment="1">
      <alignment horizontal="center"/>
    </xf>
    <xf numFmtId="2" fontId="4" fillId="394" borderId="0" xfId="0" applyNumberFormat="1" applyFont="1" applyFill="1" applyAlignment="1">
      <alignment horizontal="center"/>
    </xf>
    <xf numFmtId="2" fontId="4" fillId="395" borderId="0" xfId="0" applyNumberFormat="1" applyFont="1" applyFill="1" applyAlignment="1">
      <alignment horizontal="center"/>
    </xf>
    <xf numFmtId="2" fontId="4" fillId="396" borderId="0" xfId="0" applyNumberFormat="1" applyFont="1" applyFill="1" applyAlignment="1">
      <alignment horizontal="center"/>
    </xf>
    <xf numFmtId="2" fontId="4" fillId="397" borderId="0" xfId="0" applyNumberFormat="1" applyFont="1" applyFill="1" applyAlignment="1">
      <alignment horizontal="center"/>
    </xf>
    <xf numFmtId="2" fontId="4" fillId="398" borderId="0" xfId="0" applyNumberFormat="1" applyFont="1" applyFill="1" applyAlignment="1">
      <alignment horizontal="center"/>
    </xf>
    <xf numFmtId="164" fontId="4" fillId="399" borderId="0" xfId="0" applyNumberFormat="1" applyFont="1" applyFill="1" applyAlignment="1">
      <alignment horizontal="center"/>
    </xf>
    <xf numFmtId="2" fontId="4" fillId="400" borderId="0" xfId="0" applyNumberFormat="1" applyFont="1" applyFill="1" applyAlignment="1">
      <alignment horizontal="center"/>
    </xf>
    <xf numFmtId="2" fontId="4" fillId="401" borderId="0" xfId="0" applyNumberFormat="1" applyFont="1" applyFill="1" applyAlignment="1">
      <alignment horizontal="center"/>
    </xf>
    <xf numFmtId="2" fontId="4" fillId="402" borderId="0" xfId="0" applyNumberFormat="1" applyFont="1" applyFill="1" applyAlignment="1">
      <alignment horizontal="center"/>
    </xf>
    <xf numFmtId="2" fontId="4" fillId="403" borderId="0" xfId="0" applyNumberFormat="1" applyFont="1" applyFill="1" applyAlignment="1">
      <alignment horizontal="center"/>
    </xf>
    <xf numFmtId="2" fontId="4" fillId="404" borderId="0" xfId="0" applyNumberFormat="1" applyFont="1" applyFill="1" applyAlignment="1">
      <alignment horizontal="center"/>
    </xf>
    <xf numFmtId="2" fontId="4" fillId="405" borderId="0" xfId="0" applyNumberFormat="1" applyFont="1" applyFill="1" applyAlignment="1">
      <alignment horizontal="center"/>
    </xf>
    <xf numFmtId="2" fontId="4" fillId="406" borderId="0" xfId="0" applyNumberFormat="1" applyFont="1" applyFill="1" applyAlignment="1">
      <alignment horizontal="center"/>
    </xf>
    <xf numFmtId="2" fontId="4" fillId="407" borderId="0" xfId="0" applyNumberFormat="1" applyFont="1" applyFill="1" applyAlignment="1">
      <alignment horizontal="center"/>
    </xf>
    <xf numFmtId="2" fontId="4" fillId="408" borderId="0" xfId="0" applyNumberFormat="1" applyFont="1" applyFill="1" applyAlignment="1">
      <alignment horizontal="center"/>
    </xf>
    <xf numFmtId="2" fontId="4" fillId="409" borderId="0" xfId="0" applyNumberFormat="1" applyFont="1" applyFill="1" applyAlignment="1">
      <alignment horizontal="center"/>
    </xf>
    <xf numFmtId="2" fontId="4" fillId="410" borderId="0" xfId="0" applyNumberFormat="1" applyFont="1" applyFill="1" applyAlignment="1">
      <alignment horizontal="center"/>
    </xf>
    <xf numFmtId="2" fontId="4" fillId="411" borderId="0" xfId="0" applyNumberFormat="1" applyFont="1" applyFill="1" applyAlignment="1">
      <alignment horizontal="center"/>
    </xf>
    <xf numFmtId="2" fontId="4" fillId="412" borderId="0" xfId="0" applyNumberFormat="1" applyFont="1" applyFill="1" applyAlignment="1">
      <alignment horizontal="center"/>
    </xf>
    <xf numFmtId="2" fontId="4" fillId="413" borderId="0" xfId="0" applyNumberFormat="1" applyFont="1" applyFill="1" applyAlignment="1">
      <alignment horizontal="center"/>
    </xf>
    <xf numFmtId="2" fontId="4" fillId="414" borderId="0" xfId="0" applyNumberFormat="1" applyFont="1" applyFill="1" applyAlignment="1">
      <alignment horizontal="center"/>
    </xf>
    <xf numFmtId="2" fontId="4" fillId="415" borderId="0" xfId="0" applyNumberFormat="1" applyFont="1" applyFill="1" applyAlignment="1">
      <alignment horizontal="center"/>
    </xf>
    <xf numFmtId="2" fontId="4" fillId="416" borderId="0" xfId="0" applyNumberFormat="1" applyFont="1" applyFill="1" applyAlignment="1">
      <alignment horizontal="center"/>
    </xf>
    <xf numFmtId="2" fontId="4" fillId="417" borderId="0" xfId="0" applyNumberFormat="1" applyFont="1" applyFill="1" applyAlignment="1">
      <alignment horizontal="center"/>
    </xf>
    <xf numFmtId="2" fontId="4" fillId="418" borderId="0" xfId="0" applyNumberFormat="1" applyFont="1" applyFill="1" applyAlignment="1">
      <alignment horizontal="center"/>
    </xf>
    <xf numFmtId="2" fontId="4" fillId="419" borderId="0" xfId="0" applyNumberFormat="1" applyFont="1" applyFill="1" applyAlignment="1">
      <alignment horizontal="center"/>
    </xf>
    <xf numFmtId="2" fontId="4" fillId="420" borderId="0" xfId="0" applyNumberFormat="1" applyFont="1" applyFill="1" applyAlignment="1">
      <alignment horizontal="center"/>
    </xf>
    <xf numFmtId="164" fontId="4" fillId="421" borderId="0" xfId="0" applyNumberFormat="1" applyFont="1" applyFill="1" applyAlignment="1">
      <alignment horizontal="center"/>
    </xf>
    <xf numFmtId="2" fontId="4" fillId="422" borderId="0" xfId="0" applyNumberFormat="1" applyFont="1" applyFill="1" applyAlignment="1">
      <alignment horizontal="center"/>
    </xf>
    <xf numFmtId="2" fontId="4" fillId="423" borderId="0" xfId="0" applyNumberFormat="1" applyFont="1" applyFill="1" applyAlignment="1">
      <alignment horizontal="center"/>
    </xf>
    <xf numFmtId="2" fontId="4" fillId="424" borderId="0" xfId="0" applyNumberFormat="1" applyFont="1" applyFill="1" applyAlignment="1">
      <alignment horizontal="center"/>
    </xf>
    <xf numFmtId="2" fontId="4" fillId="425" borderId="0" xfId="0" applyNumberFormat="1" applyFont="1" applyFill="1" applyAlignment="1">
      <alignment horizontal="center"/>
    </xf>
    <xf numFmtId="2" fontId="4" fillId="426" borderId="0" xfId="0" applyNumberFormat="1" applyFont="1" applyFill="1" applyAlignment="1">
      <alignment horizontal="center"/>
    </xf>
    <xf numFmtId="2" fontId="4" fillId="427" borderId="0" xfId="0" applyNumberFormat="1" applyFont="1" applyFill="1" applyAlignment="1">
      <alignment horizontal="center"/>
    </xf>
    <xf numFmtId="2" fontId="4" fillId="428" borderId="0" xfId="0" applyNumberFormat="1" applyFont="1" applyFill="1" applyAlignment="1">
      <alignment horizontal="center"/>
    </xf>
    <xf numFmtId="2" fontId="4" fillId="429" borderId="0" xfId="0" applyNumberFormat="1" applyFont="1" applyFill="1" applyAlignment="1">
      <alignment horizontal="center"/>
    </xf>
    <xf numFmtId="2" fontId="4" fillId="430" borderId="0" xfId="0" applyNumberFormat="1" applyFont="1" applyFill="1" applyAlignment="1">
      <alignment horizontal="center"/>
    </xf>
    <xf numFmtId="2" fontId="4" fillId="431" borderId="0" xfId="0" applyNumberFormat="1" applyFont="1" applyFill="1" applyAlignment="1">
      <alignment horizontal="center"/>
    </xf>
    <xf numFmtId="2" fontId="4" fillId="432" borderId="0" xfId="0" applyNumberFormat="1" applyFont="1" applyFill="1" applyAlignment="1">
      <alignment horizontal="center"/>
    </xf>
    <xf numFmtId="2" fontId="4" fillId="433" borderId="0" xfId="0" applyNumberFormat="1" applyFont="1" applyFill="1" applyAlignment="1">
      <alignment horizontal="center"/>
    </xf>
    <xf numFmtId="2" fontId="4" fillId="434" borderId="0" xfId="0" applyNumberFormat="1" applyFont="1" applyFill="1" applyAlignment="1">
      <alignment horizontal="center"/>
    </xf>
    <xf numFmtId="2" fontId="4" fillId="435" borderId="0" xfId="0" applyNumberFormat="1" applyFont="1" applyFill="1" applyAlignment="1">
      <alignment horizontal="center"/>
    </xf>
    <xf numFmtId="2" fontId="4" fillId="436" borderId="0" xfId="0" applyNumberFormat="1" applyFont="1" applyFill="1" applyAlignment="1">
      <alignment horizontal="center"/>
    </xf>
    <xf numFmtId="2" fontId="4" fillId="437" borderId="0" xfId="0" applyNumberFormat="1" applyFont="1" applyFill="1" applyAlignment="1">
      <alignment horizontal="center"/>
    </xf>
    <xf numFmtId="2" fontId="4" fillId="438" borderId="0" xfId="0" applyNumberFormat="1" applyFont="1" applyFill="1" applyAlignment="1">
      <alignment horizontal="center"/>
    </xf>
    <xf numFmtId="2" fontId="4" fillId="439" borderId="0" xfId="0" applyNumberFormat="1" applyFont="1" applyFill="1" applyAlignment="1">
      <alignment horizontal="center"/>
    </xf>
    <xf numFmtId="2" fontId="4" fillId="440" borderId="0" xfId="0" applyNumberFormat="1" applyFont="1" applyFill="1" applyAlignment="1">
      <alignment horizontal="center"/>
    </xf>
    <xf numFmtId="2" fontId="4" fillId="441" borderId="0" xfId="0" applyNumberFormat="1" applyFont="1" applyFill="1" applyAlignment="1">
      <alignment horizontal="center"/>
    </xf>
    <xf numFmtId="164" fontId="4" fillId="442" borderId="0" xfId="0" applyNumberFormat="1" applyFont="1" applyFill="1" applyAlignment="1">
      <alignment horizontal="center"/>
    </xf>
    <xf numFmtId="2" fontId="4" fillId="443" borderId="0" xfId="0" applyNumberFormat="1" applyFont="1" applyFill="1" applyAlignment="1">
      <alignment horizontal="center"/>
    </xf>
    <xf numFmtId="2" fontId="4" fillId="444" borderId="0" xfId="0" applyNumberFormat="1" applyFont="1" applyFill="1" applyAlignment="1">
      <alignment horizontal="center"/>
    </xf>
    <xf numFmtId="2" fontId="4" fillId="445" borderId="0" xfId="0" applyNumberFormat="1" applyFont="1" applyFill="1" applyAlignment="1">
      <alignment horizontal="center"/>
    </xf>
    <xf numFmtId="2" fontId="4" fillId="446" borderId="0" xfId="0" applyNumberFormat="1" applyFont="1" applyFill="1" applyAlignment="1">
      <alignment horizontal="center"/>
    </xf>
    <xf numFmtId="2" fontId="4" fillId="447" borderId="0" xfId="0" applyNumberFormat="1" applyFont="1" applyFill="1" applyAlignment="1">
      <alignment horizontal="center"/>
    </xf>
    <xf numFmtId="2" fontId="4" fillId="448" borderId="0" xfId="0" applyNumberFormat="1" applyFont="1" applyFill="1" applyAlignment="1">
      <alignment horizontal="center"/>
    </xf>
    <xf numFmtId="2" fontId="4" fillId="449" borderId="0" xfId="0" applyNumberFormat="1" applyFont="1" applyFill="1" applyAlignment="1">
      <alignment horizontal="center"/>
    </xf>
    <xf numFmtId="2" fontId="4" fillId="450" borderId="0" xfId="0" applyNumberFormat="1" applyFont="1" applyFill="1" applyAlignment="1">
      <alignment horizontal="center"/>
    </xf>
    <xf numFmtId="2" fontId="4" fillId="451" borderId="0" xfId="0" applyNumberFormat="1" applyFont="1" applyFill="1" applyAlignment="1">
      <alignment horizontal="center"/>
    </xf>
    <xf numFmtId="2" fontId="4" fillId="452" borderId="0" xfId="0" applyNumberFormat="1" applyFont="1" applyFill="1" applyAlignment="1">
      <alignment horizontal="center"/>
    </xf>
    <xf numFmtId="2" fontId="4" fillId="453" borderId="0" xfId="0" applyNumberFormat="1" applyFont="1" applyFill="1" applyAlignment="1">
      <alignment horizontal="center"/>
    </xf>
    <xf numFmtId="2" fontId="4" fillId="454" borderId="0" xfId="0" applyNumberFormat="1" applyFont="1" applyFill="1" applyAlignment="1">
      <alignment horizontal="center"/>
    </xf>
    <xf numFmtId="2" fontId="4" fillId="455" borderId="0" xfId="0" applyNumberFormat="1" applyFont="1" applyFill="1" applyAlignment="1">
      <alignment horizontal="center"/>
    </xf>
    <xf numFmtId="2" fontId="4" fillId="456" borderId="0" xfId="0" applyNumberFormat="1" applyFont="1" applyFill="1" applyAlignment="1">
      <alignment horizontal="center"/>
    </xf>
    <xf numFmtId="2" fontId="4" fillId="457" borderId="0" xfId="0" applyNumberFormat="1" applyFont="1" applyFill="1" applyAlignment="1">
      <alignment horizontal="center"/>
    </xf>
    <xf numFmtId="2" fontId="4" fillId="458" borderId="0" xfId="0" applyNumberFormat="1" applyFont="1" applyFill="1" applyAlignment="1">
      <alignment horizontal="center"/>
    </xf>
    <xf numFmtId="164" fontId="4" fillId="459" borderId="0" xfId="0" applyNumberFormat="1" applyFont="1" applyFill="1" applyAlignment="1">
      <alignment horizontal="center"/>
    </xf>
    <xf numFmtId="2" fontId="4" fillId="460" borderId="0" xfId="0" applyNumberFormat="1" applyFont="1" applyFill="1" applyAlignment="1">
      <alignment horizontal="center"/>
    </xf>
    <xf numFmtId="2" fontId="4" fillId="461" borderId="0" xfId="0" applyNumberFormat="1" applyFont="1" applyFill="1" applyAlignment="1">
      <alignment horizontal="center"/>
    </xf>
    <xf numFmtId="2" fontId="4" fillId="462" borderId="0" xfId="0" applyNumberFormat="1" applyFont="1" applyFill="1" applyAlignment="1">
      <alignment horizontal="center"/>
    </xf>
    <xf numFmtId="2" fontId="4" fillId="463" borderId="0" xfId="0" applyNumberFormat="1" applyFont="1" applyFill="1" applyAlignment="1">
      <alignment horizontal="center"/>
    </xf>
    <xf numFmtId="2" fontId="4" fillId="464" borderId="0" xfId="0" applyNumberFormat="1" applyFont="1" applyFill="1" applyAlignment="1">
      <alignment horizontal="center"/>
    </xf>
    <xf numFmtId="2" fontId="4" fillId="465" borderId="0" xfId="0" applyNumberFormat="1" applyFont="1" applyFill="1" applyAlignment="1">
      <alignment horizontal="center"/>
    </xf>
    <xf numFmtId="2" fontId="4" fillId="466" borderId="0" xfId="0" applyNumberFormat="1" applyFont="1" applyFill="1" applyAlignment="1">
      <alignment horizontal="center"/>
    </xf>
    <xf numFmtId="2" fontId="4" fillId="467" borderId="0" xfId="0" applyNumberFormat="1" applyFont="1" applyFill="1" applyAlignment="1">
      <alignment horizontal="center"/>
    </xf>
    <xf numFmtId="2" fontId="4" fillId="468" borderId="0" xfId="0" applyNumberFormat="1" applyFont="1" applyFill="1" applyAlignment="1">
      <alignment horizontal="center"/>
    </xf>
    <xf numFmtId="2" fontId="4" fillId="469" borderId="0" xfId="0" applyNumberFormat="1" applyFont="1" applyFill="1" applyAlignment="1">
      <alignment horizontal="center"/>
    </xf>
    <xf numFmtId="2" fontId="4" fillId="470" borderId="0" xfId="0" applyNumberFormat="1" applyFont="1" applyFill="1" applyAlignment="1">
      <alignment horizontal="center"/>
    </xf>
    <xf numFmtId="2" fontId="4" fillId="471" borderId="0" xfId="0" applyNumberFormat="1" applyFont="1" applyFill="1" applyAlignment="1">
      <alignment horizontal="center"/>
    </xf>
    <xf numFmtId="2" fontId="4" fillId="472" borderId="0" xfId="0" applyNumberFormat="1" applyFont="1" applyFill="1" applyAlignment="1">
      <alignment horizontal="center"/>
    </xf>
    <xf numFmtId="2" fontId="4" fillId="473" borderId="0" xfId="0" applyNumberFormat="1" applyFont="1" applyFill="1" applyAlignment="1">
      <alignment horizontal="center"/>
    </xf>
    <xf numFmtId="2" fontId="4" fillId="474" borderId="0" xfId="0" applyNumberFormat="1" applyFont="1" applyFill="1" applyAlignment="1">
      <alignment horizontal="center"/>
    </xf>
    <xf numFmtId="2" fontId="4" fillId="475" borderId="0" xfId="0" applyNumberFormat="1" applyFont="1" applyFill="1" applyAlignment="1">
      <alignment horizontal="center"/>
    </xf>
    <xf numFmtId="0" fontId="6" fillId="476" borderId="0" xfId="0" applyFont="1" applyFill="1" applyAlignment="1">
      <alignment horizontal="center"/>
    </xf>
    <xf numFmtId="2" fontId="4" fillId="477" borderId="0" xfId="0" applyNumberFormat="1" applyFont="1" applyFill="1" applyAlignment="1">
      <alignment horizontal="center"/>
    </xf>
    <xf numFmtId="164" fontId="4" fillId="478" borderId="0" xfId="0" applyNumberFormat="1" applyFont="1" applyFill="1" applyAlignment="1">
      <alignment horizontal="center"/>
    </xf>
    <xf numFmtId="2" fontId="4" fillId="479" borderId="0" xfId="0" applyNumberFormat="1" applyFont="1" applyFill="1" applyAlignment="1">
      <alignment horizontal="center"/>
    </xf>
    <xf numFmtId="0" fontId="3" fillId="28" borderId="0" xfId="0" applyFont="1" applyFill="1"/>
    <xf numFmtId="2" fontId="4" fillId="480" borderId="0" xfId="0" applyNumberFormat="1" applyFont="1" applyFill="1" applyAlignment="1">
      <alignment horizontal="center"/>
    </xf>
    <xf numFmtId="2" fontId="4" fillId="481" borderId="0" xfId="0" applyNumberFormat="1" applyFont="1" applyFill="1" applyAlignment="1">
      <alignment horizontal="center"/>
    </xf>
    <xf numFmtId="2" fontId="4" fillId="482" borderId="0" xfId="0" applyNumberFormat="1" applyFont="1" applyFill="1" applyAlignment="1">
      <alignment horizontal="center"/>
    </xf>
    <xf numFmtId="2" fontId="4" fillId="483" borderId="0" xfId="0" applyNumberFormat="1" applyFont="1" applyFill="1" applyAlignment="1">
      <alignment horizontal="center"/>
    </xf>
    <xf numFmtId="2" fontId="4" fillId="484" borderId="0" xfId="0" applyNumberFormat="1" applyFont="1" applyFill="1" applyAlignment="1">
      <alignment horizontal="center"/>
    </xf>
    <xf numFmtId="2" fontId="4" fillId="485" borderId="0" xfId="0" applyNumberFormat="1" applyFont="1" applyFill="1" applyAlignment="1">
      <alignment horizontal="center"/>
    </xf>
    <xf numFmtId="2" fontId="4" fillId="486" borderId="0" xfId="0" applyNumberFormat="1" applyFont="1" applyFill="1" applyAlignment="1">
      <alignment horizontal="center"/>
    </xf>
    <xf numFmtId="2" fontId="4" fillId="487" borderId="0" xfId="0" applyNumberFormat="1" applyFont="1" applyFill="1" applyAlignment="1">
      <alignment horizontal="center"/>
    </xf>
    <xf numFmtId="2" fontId="4" fillId="488" borderId="0" xfId="0" applyNumberFormat="1" applyFont="1" applyFill="1" applyAlignment="1">
      <alignment horizontal="center"/>
    </xf>
    <xf numFmtId="2" fontId="4" fillId="489" borderId="0" xfId="0" applyNumberFormat="1" applyFont="1" applyFill="1" applyAlignment="1">
      <alignment horizontal="center"/>
    </xf>
    <xf numFmtId="2" fontId="4" fillId="490" borderId="0" xfId="0" applyNumberFormat="1" applyFont="1" applyFill="1" applyAlignment="1">
      <alignment horizontal="center"/>
    </xf>
    <xf numFmtId="2" fontId="4" fillId="491" borderId="0" xfId="0" applyNumberFormat="1" applyFont="1" applyFill="1" applyAlignment="1">
      <alignment horizontal="center"/>
    </xf>
    <xf numFmtId="2" fontId="7" fillId="291" borderId="0" xfId="0" applyNumberFormat="1" applyFont="1" applyFill="1" applyAlignment="1">
      <alignment horizontal="center"/>
    </xf>
    <xf numFmtId="2" fontId="7" fillId="320" borderId="0" xfId="0" applyNumberFormat="1" applyFont="1" applyFill="1" applyAlignment="1">
      <alignment horizontal="center"/>
    </xf>
    <xf numFmtId="2" fontId="7" fillId="11" borderId="0" xfId="0" applyNumberFormat="1" applyFont="1" applyFill="1" applyAlignment="1">
      <alignment horizontal="center"/>
    </xf>
    <xf numFmtId="2" fontId="7" fillId="166" borderId="0" xfId="0" applyNumberFormat="1" applyFont="1" applyFill="1" applyAlignment="1">
      <alignment horizontal="center"/>
    </xf>
    <xf numFmtId="2" fontId="4" fillId="492" borderId="0" xfId="0" applyNumberFormat="1" applyFont="1" applyFill="1" applyAlignment="1">
      <alignment horizontal="center"/>
    </xf>
    <xf numFmtId="2" fontId="4" fillId="493" borderId="0" xfId="0" applyNumberFormat="1" applyFont="1" applyFill="1" applyAlignment="1">
      <alignment horizontal="center"/>
    </xf>
    <xf numFmtId="2" fontId="4" fillId="494" borderId="0" xfId="0" applyNumberFormat="1" applyFont="1" applyFill="1" applyAlignment="1">
      <alignment horizontal="center"/>
    </xf>
    <xf numFmtId="2" fontId="4" fillId="495" borderId="0" xfId="0" applyNumberFormat="1" applyFont="1" applyFill="1" applyAlignment="1">
      <alignment horizontal="center"/>
    </xf>
    <xf numFmtId="2" fontId="4" fillId="496" borderId="0" xfId="0" applyNumberFormat="1" applyFont="1" applyFill="1" applyAlignment="1">
      <alignment horizontal="center"/>
    </xf>
    <xf numFmtId="2" fontId="4" fillId="497" borderId="0" xfId="0" applyNumberFormat="1" applyFont="1" applyFill="1" applyAlignment="1">
      <alignment horizontal="center"/>
    </xf>
    <xf numFmtId="2" fontId="4" fillId="498" borderId="0" xfId="0" applyNumberFormat="1" applyFont="1" applyFill="1" applyAlignment="1">
      <alignment horizontal="center"/>
    </xf>
    <xf numFmtId="2" fontId="4" fillId="499" borderId="0" xfId="0" applyNumberFormat="1" applyFont="1" applyFill="1" applyAlignment="1">
      <alignment horizontal="center"/>
    </xf>
    <xf numFmtId="164" fontId="4" fillId="500" borderId="0" xfId="0" applyNumberFormat="1" applyFont="1" applyFill="1" applyAlignment="1">
      <alignment horizontal="center"/>
    </xf>
    <xf numFmtId="2" fontId="7" fillId="501" borderId="0" xfId="0" applyNumberFormat="1" applyFont="1" applyFill="1" applyAlignment="1">
      <alignment horizontal="center"/>
    </xf>
    <xf numFmtId="2" fontId="7" fillId="210" borderId="0" xfId="0" applyNumberFormat="1" applyFont="1" applyFill="1" applyAlignment="1">
      <alignment horizontal="center"/>
    </xf>
    <xf numFmtId="2" fontId="7" fillId="121" borderId="0" xfId="0" applyNumberFormat="1" applyFont="1" applyFill="1" applyAlignment="1">
      <alignment horizontal="center"/>
    </xf>
    <xf numFmtId="2" fontId="4" fillId="502" borderId="0" xfId="0" applyNumberFormat="1" applyFont="1" applyFill="1" applyAlignment="1">
      <alignment horizontal="center"/>
    </xf>
    <xf numFmtId="2" fontId="4" fillId="503" borderId="0" xfId="0" applyNumberFormat="1" applyFont="1" applyFill="1" applyAlignment="1">
      <alignment horizontal="center"/>
    </xf>
    <xf numFmtId="2" fontId="4" fillId="504" borderId="0" xfId="0" applyNumberFormat="1" applyFont="1" applyFill="1" applyAlignment="1">
      <alignment horizontal="center"/>
    </xf>
    <xf numFmtId="2" fontId="4" fillId="505" borderId="0" xfId="0" applyNumberFormat="1" applyFont="1" applyFill="1" applyAlignment="1">
      <alignment horizontal="center"/>
    </xf>
    <xf numFmtId="2" fontId="4" fillId="506" borderId="0" xfId="0" applyNumberFormat="1" applyFont="1" applyFill="1" applyAlignment="1">
      <alignment horizontal="center"/>
    </xf>
    <xf numFmtId="2" fontId="4" fillId="507" borderId="0" xfId="0" applyNumberFormat="1" applyFont="1" applyFill="1" applyAlignment="1">
      <alignment horizontal="center"/>
    </xf>
    <xf numFmtId="2" fontId="4" fillId="508" borderId="0" xfId="0" applyNumberFormat="1" applyFont="1" applyFill="1" applyAlignment="1">
      <alignment horizontal="center"/>
    </xf>
    <xf numFmtId="164" fontId="4" fillId="509" borderId="0" xfId="0" applyNumberFormat="1" applyFont="1" applyFill="1" applyAlignment="1">
      <alignment horizontal="center"/>
    </xf>
    <xf numFmtId="2" fontId="4" fillId="510" borderId="0" xfId="0" applyNumberFormat="1" applyFont="1" applyFill="1" applyAlignment="1">
      <alignment horizontal="center"/>
    </xf>
    <xf numFmtId="2" fontId="7" fillId="425" borderId="0" xfId="0" applyNumberFormat="1" applyFont="1" applyFill="1" applyAlignment="1">
      <alignment horizontal="center"/>
    </xf>
    <xf numFmtId="2" fontId="7" fillId="347" borderId="0" xfId="0" applyNumberFormat="1" applyFont="1" applyFill="1" applyAlignment="1">
      <alignment horizontal="center"/>
    </xf>
    <xf numFmtId="2" fontId="7" fillId="336" borderId="0" xfId="0" applyNumberFormat="1" applyFont="1" applyFill="1" applyAlignment="1">
      <alignment horizontal="center"/>
    </xf>
    <xf numFmtId="2" fontId="4" fillId="511" borderId="0" xfId="0" applyNumberFormat="1" applyFont="1" applyFill="1" applyAlignment="1">
      <alignment horizontal="center"/>
    </xf>
    <xf numFmtId="2" fontId="4" fillId="512" borderId="0" xfId="0" applyNumberFormat="1" applyFont="1" applyFill="1" applyAlignment="1">
      <alignment horizontal="center"/>
    </xf>
    <xf numFmtId="2" fontId="4" fillId="513" borderId="0" xfId="0" applyNumberFormat="1" applyFont="1" applyFill="1" applyAlignment="1">
      <alignment horizontal="center"/>
    </xf>
    <xf numFmtId="2" fontId="4" fillId="514" borderId="0" xfId="0" applyNumberFormat="1" applyFont="1" applyFill="1" applyAlignment="1">
      <alignment horizontal="center"/>
    </xf>
    <xf numFmtId="2" fontId="4" fillId="515" borderId="0" xfId="0" applyNumberFormat="1" applyFont="1" applyFill="1" applyAlignment="1">
      <alignment horizontal="center"/>
    </xf>
    <xf numFmtId="2" fontId="4" fillId="516" borderId="0" xfId="0" applyNumberFormat="1" applyFont="1" applyFill="1" applyAlignment="1">
      <alignment horizontal="center"/>
    </xf>
    <xf numFmtId="2" fontId="4" fillId="517" borderId="0" xfId="0" applyNumberFormat="1" applyFont="1" applyFill="1" applyAlignment="1">
      <alignment horizontal="center"/>
    </xf>
    <xf numFmtId="2" fontId="4" fillId="518" borderId="0" xfId="0" applyNumberFormat="1" applyFont="1" applyFill="1" applyAlignment="1">
      <alignment horizontal="center"/>
    </xf>
    <xf numFmtId="164" fontId="4" fillId="403" borderId="0" xfId="0" applyNumberFormat="1" applyFont="1" applyFill="1" applyAlignment="1">
      <alignment horizontal="center"/>
    </xf>
    <xf numFmtId="2" fontId="4" fillId="519" borderId="0" xfId="0" applyNumberFormat="1" applyFont="1" applyFill="1" applyAlignment="1">
      <alignment horizontal="center"/>
    </xf>
    <xf numFmtId="2" fontId="4" fillId="520" borderId="0" xfId="0" applyNumberFormat="1" applyFont="1" applyFill="1" applyAlignment="1">
      <alignment horizontal="center"/>
    </xf>
    <xf numFmtId="2" fontId="4" fillId="521" borderId="0" xfId="0" applyNumberFormat="1" applyFont="1" applyFill="1" applyAlignment="1">
      <alignment horizontal="center"/>
    </xf>
    <xf numFmtId="2" fontId="4" fillId="522" borderId="0" xfId="0" applyNumberFormat="1" applyFont="1" applyFill="1" applyAlignment="1">
      <alignment horizontal="center"/>
    </xf>
    <xf numFmtId="2" fontId="4" fillId="523" borderId="0" xfId="0" applyNumberFormat="1" applyFont="1" applyFill="1" applyAlignment="1">
      <alignment horizontal="center"/>
    </xf>
    <xf numFmtId="2" fontId="4" fillId="524" borderId="0" xfId="0" applyNumberFormat="1" applyFont="1" applyFill="1" applyAlignment="1">
      <alignment horizontal="center"/>
    </xf>
    <xf numFmtId="2" fontId="4" fillId="525" borderId="0" xfId="0" applyNumberFormat="1" applyFont="1" applyFill="1" applyAlignment="1">
      <alignment horizontal="center"/>
    </xf>
    <xf numFmtId="2" fontId="4" fillId="526" borderId="0" xfId="0" applyNumberFormat="1" applyFont="1" applyFill="1" applyAlignment="1">
      <alignment horizontal="center"/>
    </xf>
    <xf numFmtId="0" fontId="8" fillId="527" borderId="0" xfId="0" applyFont="1" applyFill="1" applyAlignment="1">
      <alignment horizontal="center"/>
    </xf>
    <xf numFmtId="2" fontId="4" fillId="528" borderId="0" xfId="0" applyNumberFormat="1" applyFont="1" applyFill="1" applyAlignment="1">
      <alignment horizontal="center"/>
    </xf>
    <xf numFmtId="164" fontId="4" fillId="529" borderId="0" xfId="0" applyNumberFormat="1" applyFont="1" applyFill="1" applyAlignment="1">
      <alignment horizontal="center"/>
    </xf>
    <xf numFmtId="2" fontId="4" fillId="530" borderId="0" xfId="0" applyNumberFormat="1" applyFont="1" applyFill="1" applyAlignment="1">
      <alignment horizontal="center"/>
    </xf>
    <xf numFmtId="2" fontId="4" fillId="531" borderId="0" xfId="0" applyNumberFormat="1" applyFont="1" applyFill="1" applyAlignment="1">
      <alignment horizontal="center"/>
    </xf>
    <xf numFmtId="2" fontId="4" fillId="532" borderId="0" xfId="0" applyNumberFormat="1" applyFont="1" applyFill="1" applyAlignment="1">
      <alignment horizontal="center"/>
    </xf>
    <xf numFmtId="2" fontId="4" fillId="533" borderId="0" xfId="0" applyNumberFormat="1" applyFont="1" applyFill="1" applyAlignment="1">
      <alignment horizontal="center"/>
    </xf>
    <xf numFmtId="2" fontId="4" fillId="534" borderId="0" xfId="0" applyNumberFormat="1" applyFont="1" applyFill="1" applyAlignment="1">
      <alignment horizontal="center"/>
    </xf>
    <xf numFmtId="2" fontId="4" fillId="535" borderId="0" xfId="0" applyNumberFormat="1" applyFont="1" applyFill="1" applyAlignment="1">
      <alignment horizontal="center"/>
    </xf>
    <xf numFmtId="2" fontId="4" fillId="536" borderId="0" xfId="0" applyNumberFormat="1" applyFont="1" applyFill="1" applyAlignment="1">
      <alignment horizontal="center"/>
    </xf>
    <xf numFmtId="2" fontId="4" fillId="537" borderId="0" xfId="0" applyNumberFormat="1" applyFont="1" applyFill="1" applyAlignment="1">
      <alignment horizontal="center"/>
    </xf>
    <xf numFmtId="2" fontId="4" fillId="538" borderId="0" xfId="0" applyNumberFormat="1" applyFont="1" applyFill="1" applyAlignment="1">
      <alignment horizontal="center"/>
    </xf>
    <xf numFmtId="2" fontId="4" fillId="539" borderId="0" xfId="0" applyNumberFormat="1" applyFont="1" applyFill="1" applyAlignment="1">
      <alignment horizontal="center"/>
    </xf>
    <xf numFmtId="2" fontId="4" fillId="540" borderId="0" xfId="0" applyNumberFormat="1" applyFont="1" applyFill="1" applyAlignment="1">
      <alignment horizontal="center"/>
    </xf>
    <xf numFmtId="164" fontId="4" fillId="467" borderId="0" xfId="0" applyNumberFormat="1" applyFont="1" applyFill="1" applyAlignment="1">
      <alignment horizontal="center"/>
    </xf>
    <xf numFmtId="2" fontId="4" fillId="541" borderId="0" xfId="0" applyNumberFormat="1" applyFont="1" applyFill="1" applyAlignment="1">
      <alignment horizontal="center"/>
    </xf>
    <xf numFmtId="2" fontId="4" fillId="542" borderId="0" xfId="0" applyNumberFormat="1" applyFont="1" applyFill="1" applyAlignment="1">
      <alignment horizontal="center"/>
    </xf>
    <xf numFmtId="2" fontId="4" fillId="543" borderId="0" xfId="0" applyNumberFormat="1" applyFont="1" applyFill="1" applyAlignment="1">
      <alignment horizontal="center"/>
    </xf>
    <xf numFmtId="2" fontId="4" fillId="544" borderId="0" xfId="0" applyNumberFormat="1" applyFont="1" applyFill="1" applyAlignment="1">
      <alignment horizontal="center"/>
    </xf>
    <xf numFmtId="2" fontId="4" fillId="545" borderId="0" xfId="0" applyNumberFormat="1" applyFont="1" applyFill="1" applyAlignment="1">
      <alignment horizontal="center"/>
    </xf>
    <xf numFmtId="2" fontId="4" fillId="509" borderId="0" xfId="0" applyNumberFormat="1" applyFont="1" applyFill="1" applyAlignment="1">
      <alignment horizontal="center"/>
    </xf>
    <xf numFmtId="2" fontId="4" fillId="546" borderId="0" xfId="0" applyNumberFormat="1" applyFont="1" applyFill="1" applyAlignment="1">
      <alignment horizontal="center"/>
    </xf>
    <xf numFmtId="164" fontId="4" fillId="347" borderId="0" xfId="0" applyNumberFormat="1" applyFont="1" applyFill="1" applyAlignment="1">
      <alignment horizontal="center"/>
    </xf>
    <xf numFmtId="2" fontId="4" fillId="547" borderId="0" xfId="0" applyNumberFormat="1" applyFont="1" applyFill="1" applyAlignment="1">
      <alignment horizontal="center"/>
    </xf>
    <xf numFmtId="2" fontId="4" fillId="548" borderId="0" xfId="0" applyNumberFormat="1" applyFont="1" applyFill="1" applyAlignment="1">
      <alignment horizontal="center"/>
    </xf>
    <xf numFmtId="2" fontId="4" fillId="549" borderId="0" xfId="0" applyNumberFormat="1" applyFont="1" applyFill="1" applyAlignment="1">
      <alignment horizontal="center"/>
    </xf>
    <xf numFmtId="2" fontId="4" fillId="550" borderId="0" xfId="0" applyNumberFormat="1" applyFont="1" applyFill="1" applyAlignment="1">
      <alignment horizontal="center"/>
    </xf>
    <xf numFmtId="2" fontId="4" fillId="551" borderId="0" xfId="0" applyNumberFormat="1" applyFont="1" applyFill="1" applyAlignment="1">
      <alignment horizontal="center"/>
    </xf>
    <xf numFmtId="2" fontId="4" fillId="552" borderId="0" xfId="0" applyNumberFormat="1" applyFont="1" applyFill="1" applyAlignment="1">
      <alignment horizontal="center"/>
    </xf>
    <xf numFmtId="164" fontId="4" fillId="121" borderId="0" xfId="0" applyNumberFormat="1" applyFont="1" applyFill="1" applyAlignment="1">
      <alignment horizontal="center"/>
    </xf>
    <xf numFmtId="2" fontId="4" fillId="553" borderId="0" xfId="0" applyNumberFormat="1" applyFont="1" applyFill="1" applyAlignment="1">
      <alignment horizontal="center"/>
    </xf>
    <xf numFmtId="2" fontId="4" fillId="554" borderId="0" xfId="0" applyNumberFormat="1" applyFont="1" applyFill="1" applyAlignment="1">
      <alignment horizontal="center"/>
    </xf>
    <xf numFmtId="2" fontId="4" fillId="555" borderId="0" xfId="0" applyNumberFormat="1" applyFont="1" applyFill="1" applyAlignment="1">
      <alignment horizontal="center"/>
    </xf>
    <xf numFmtId="4" fontId="3" fillId="11" borderId="0" xfId="0" applyNumberFormat="1" applyFont="1" applyFill="1"/>
    <xf numFmtId="2" fontId="4" fillId="556" borderId="0" xfId="0" applyNumberFormat="1" applyFont="1" applyFill="1" applyAlignment="1">
      <alignment horizontal="center"/>
    </xf>
    <xf numFmtId="2" fontId="4" fillId="557" borderId="0" xfId="0" applyNumberFormat="1" applyFont="1" applyFill="1" applyAlignment="1">
      <alignment horizontal="center"/>
    </xf>
    <xf numFmtId="2" fontId="4" fillId="558" borderId="0" xfId="0" applyNumberFormat="1" applyFont="1" applyFill="1" applyAlignment="1">
      <alignment horizontal="center"/>
    </xf>
    <xf numFmtId="2" fontId="4" fillId="559" borderId="0" xfId="0" applyNumberFormat="1" applyFont="1" applyFill="1" applyAlignment="1">
      <alignment horizontal="center"/>
    </xf>
    <xf numFmtId="2" fontId="4" fillId="560" borderId="0" xfId="0" applyNumberFormat="1" applyFont="1" applyFill="1" applyAlignment="1">
      <alignment horizontal="center"/>
    </xf>
    <xf numFmtId="164" fontId="4" fillId="54" borderId="0" xfId="0" applyNumberFormat="1" applyFont="1" applyFill="1" applyAlignment="1">
      <alignment horizontal="center"/>
    </xf>
    <xf numFmtId="2" fontId="4" fillId="561" borderId="0" xfId="0" applyNumberFormat="1" applyFont="1" applyFill="1" applyAlignment="1">
      <alignment horizontal="center"/>
    </xf>
    <xf numFmtId="2" fontId="4" fillId="562" borderId="0" xfId="0" applyNumberFormat="1" applyFont="1" applyFill="1" applyAlignment="1">
      <alignment horizontal="center"/>
    </xf>
    <xf numFmtId="2" fontId="4" fillId="563" borderId="0" xfId="0" applyNumberFormat="1" applyFont="1" applyFill="1" applyAlignment="1">
      <alignment horizontal="center"/>
    </xf>
    <xf numFmtId="2" fontId="4" fillId="564" borderId="0" xfId="0" applyNumberFormat="1" applyFont="1" applyFill="1" applyAlignment="1">
      <alignment horizontal="center"/>
    </xf>
    <xf numFmtId="2" fontId="4" fillId="565" borderId="0" xfId="0" applyNumberFormat="1" applyFont="1" applyFill="1" applyAlignment="1">
      <alignment horizontal="center"/>
    </xf>
    <xf numFmtId="2" fontId="4" fillId="566" borderId="0" xfId="0" applyNumberFormat="1" applyFont="1" applyFill="1" applyAlignment="1">
      <alignment horizontal="center"/>
    </xf>
    <xf numFmtId="2" fontId="4" fillId="567" borderId="0" xfId="0" applyNumberFormat="1" applyFont="1" applyFill="1" applyAlignment="1">
      <alignment horizontal="center"/>
    </xf>
    <xf numFmtId="164" fontId="4" fillId="568" borderId="0" xfId="0" applyNumberFormat="1" applyFont="1" applyFill="1" applyAlignment="1">
      <alignment horizontal="center"/>
    </xf>
    <xf numFmtId="2" fontId="4" fillId="568" borderId="0" xfId="0" applyNumberFormat="1" applyFont="1" applyFill="1" applyAlignment="1">
      <alignment horizontal="center"/>
    </xf>
    <xf numFmtId="2" fontId="4" fillId="569" borderId="0" xfId="0" applyNumberFormat="1" applyFont="1" applyFill="1" applyAlignment="1">
      <alignment horizontal="center"/>
    </xf>
    <xf numFmtId="2" fontId="4" fillId="570" borderId="0" xfId="0" applyNumberFormat="1" applyFont="1" applyFill="1" applyAlignment="1">
      <alignment horizontal="center"/>
    </xf>
    <xf numFmtId="2" fontId="4" fillId="571" borderId="0" xfId="0" applyNumberFormat="1" applyFont="1" applyFill="1" applyAlignment="1">
      <alignment horizontal="center"/>
    </xf>
    <xf numFmtId="2" fontId="4" fillId="572" borderId="0" xfId="0" applyNumberFormat="1" applyFont="1" applyFill="1" applyAlignment="1">
      <alignment horizontal="center"/>
    </xf>
    <xf numFmtId="2" fontId="4" fillId="573" borderId="0" xfId="0" applyNumberFormat="1" applyFont="1" applyFill="1" applyAlignment="1">
      <alignment horizontal="center"/>
    </xf>
    <xf numFmtId="2" fontId="4" fillId="574" borderId="0" xfId="0" applyNumberFormat="1" applyFont="1" applyFill="1" applyAlignment="1">
      <alignment horizontal="center"/>
    </xf>
    <xf numFmtId="2" fontId="4" fillId="575" borderId="0" xfId="0" applyNumberFormat="1" applyFont="1" applyFill="1" applyAlignment="1">
      <alignment horizontal="center"/>
    </xf>
    <xf numFmtId="2" fontId="4" fillId="576" borderId="0" xfId="0" applyNumberFormat="1" applyFont="1" applyFill="1" applyAlignment="1">
      <alignment horizontal="center"/>
    </xf>
    <xf numFmtId="2" fontId="4" fillId="577" borderId="0" xfId="0" applyNumberFormat="1" applyFont="1" applyFill="1" applyAlignment="1">
      <alignment horizontal="center"/>
    </xf>
    <xf numFmtId="2" fontId="4" fillId="578" borderId="0" xfId="0" applyNumberFormat="1" applyFont="1" applyFill="1" applyAlignment="1">
      <alignment horizontal="center"/>
    </xf>
    <xf numFmtId="2" fontId="4" fillId="579" borderId="0" xfId="0" applyNumberFormat="1" applyFont="1" applyFill="1" applyAlignment="1">
      <alignment horizontal="center"/>
    </xf>
    <xf numFmtId="164" fontId="4" fillId="111" borderId="0" xfId="0" applyNumberFormat="1" applyFont="1" applyFill="1" applyAlignment="1">
      <alignment horizontal="center"/>
    </xf>
    <xf numFmtId="2" fontId="4" fillId="580" borderId="0" xfId="0" applyNumberFormat="1" applyFont="1" applyFill="1" applyAlignment="1">
      <alignment horizontal="center"/>
    </xf>
    <xf numFmtId="2" fontId="4" fillId="581" borderId="0" xfId="0" applyNumberFormat="1" applyFont="1" applyFill="1" applyAlignment="1">
      <alignment horizontal="center"/>
    </xf>
    <xf numFmtId="2" fontId="4" fillId="582" borderId="0" xfId="0" applyNumberFormat="1" applyFont="1" applyFill="1" applyAlignment="1">
      <alignment horizontal="center"/>
    </xf>
    <xf numFmtId="2" fontId="4" fillId="583" borderId="0" xfId="0" applyNumberFormat="1" applyFont="1" applyFill="1" applyAlignment="1">
      <alignment horizontal="center"/>
    </xf>
    <xf numFmtId="2" fontId="4" fillId="584" borderId="0" xfId="0" applyNumberFormat="1" applyFont="1" applyFill="1" applyAlignment="1">
      <alignment horizontal="center"/>
    </xf>
    <xf numFmtId="2" fontId="4" fillId="585" borderId="0" xfId="0" applyNumberFormat="1" applyFont="1" applyFill="1" applyAlignment="1">
      <alignment horizontal="center"/>
    </xf>
    <xf numFmtId="2" fontId="4" fillId="586" borderId="0" xfId="0" applyNumberFormat="1" applyFont="1" applyFill="1" applyAlignment="1">
      <alignment horizontal="center"/>
    </xf>
    <xf numFmtId="2" fontId="4" fillId="587" borderId="0" xfId="0" applyNumberFormat="1" applyFont="1" applyFill="1" applyAlignment="1">
      <alignment horizontal="center"/>
    </xf>
    <xf numFmtId="164" fontId="4" fillId="418" borderId="0" xfId="0" applyNumberFormat="1" applyFont="1" applyFill="1" applyAlignment="1">
      <alignment horizontal="center"/>
    </xf>
    <xf numFmtId="2" fontId="4" fillId="588" borderId="0" xfId="0" applyNumberFormat="1" applyFont="1" applyFill="1" applyAlignment="1">
      <alignment horizontal="center"/>
    </xf>
    <xf numFmtId="2" fontId="4" fillId="589" borderId="0" xfId="0" applyNumberFormat="1" applyFont="1" applyFill="1" applyAlignment="1">
      <alignment horizontal="center"/>
    </xf>
    <xf numFmtId="2" fontId="4" fillId="590" borderId="0" xfId="0" applyNumberFormat="1" applyFont="1" applyFill="1" applyAlignment="1">
      <alignment horizontal="center"/>
    </xf>
    <xf numFmtId="2" fontId="4" fillId="591" borderId="0" xfId="0" applyNumberFormat="1" applyFont="1" applyFill="1" applyAlignment="1">
      <alignment horizontal="center"/>
    </xf>
    <xf numFmtId="2" fontId="4" fillId="592" borderId="0" xfId="0" applyNumberFormat="1" applyFont="1" applyFill="1" applyAlignment="1">
      <alignment horizontal="center"/>
    </xf>
    <xf numFmtId="2" fontId="4" fillId="593" borderId="0" xfId="0" applyNumberFormat="1" applyFont="1" applyFill="1" applyAlignment="1">
      <alignment horizontal="center"/>
    </xf>
    <xf numFmtId="2" fontId="4" fillId="594" borderId="0" xfId="0" applyNumberFormat="1" applyFont="1" applyFill="1" applyAlignment="1">
      <alignment horizontal="center"/>
    </xf>
    <xf numFmtId="2" fontId="4" fillId="595" borderId="0" xfId="0" applyNumberFormat="1" applyFont="1" applyFill="1" applyAlignment="1">
      <alignment horizontal="center"/>
    </xf>
    <xf numFmtId="2" fontId="4" fillId="596" borderId="0" xfId="0" applyNumberFormat="1" applyFont="1" applyFill="1" applyAlignment="1">
      <alignment horizontal="center"/>
    </xf>
    <xf numFmtId="2" fontId="4" fillId="597" borderId="0" xfId="0" applyNumberFormat="1" applyFont="1" applyFill="1" applyAlignment="1">
      <alignment horizontal="center"/>
    </xf>
    <xf numFmtId="2" fontId="4" fillId="598" borderId="0" xfId="0" applyNumberFormat="1" applyFont="1" applyFill="1" applyAlignment="1">
      <alignment horizontal="center"/>
    </xf>
    <xf numFmtId="164" fontId="4" fillId="153" borderId="0" xfId="0" applyNumberFormat="1" applyFont="1" applyFill="1" applyAlignment="1">
      <alignment horizontal="center"/>
    </xf>
    <xf numFmtId="2" fontId="4" fillId="599" borderId="0" xfId="0" applyNumberFormat="1" applyFont="1" applyFill="1" applyAlignment="1">
      <alignment horizontal="center"/>
    </xf>
    <xf numFmtId="2" fontId="4" fillId="600" borderId="0" xfId="0" applyNumberFormat="1" applyFont="1" applyFill="1" applyAlignment="1">
      <alignment horizontal="center"/>
    </xf>
    <xf numFmtId="2" fontId="4" fillId="601" borderId="0" xfId="0" applyNumberFormat="1" applyFont="1" applyFill="1" applyAlignment="1">
      <alignment horizontal="center"/>
    </xf>
    <xf numFmtId="2" fontId="4" fillId="602" borderId="0" xfId="0" applyNumberFormat="1" applyFont="1" applyFill="1" applyAlignment="1">
      <alignment horizontal="center"/>
    </xf>
    <xf numFmtId="2" fontId="4" fillId="603" borderId="0" xfId="0" applyNumberFormat="1" applyFont="1" applyFill="1" applyAlignment="1">
      <alignment horizontal="center"/>
    </xf>
    <xf numFmtId="2" fontId="4" fillId="604" borderId="0" xfId="0" applyNumberFormat="1" applyFont="1" applyFill="1" applyAlignment="1">
      <alignment horizontal="center"/>
    </xf>
    <xf numFmtId="164" fontId="4" fillId="255" borderId="0" xfId="0" applyNumberFormat="1" applyFont="1" applyFill="1" applyAlignment="1">
      <alignment horizontal="center"/>
    </xf>
    <xf numFmtId="2" fontId="4" fillId="605" borderId="0" xfId="0" applyNumberFormat="1" applyFont="1" applyFill="1" applyAlignment="1">
      <alignment horizontal="center"/>
    </xf>
    <xf numFmtId="2" fontId="4" fillId="606" borderId="0" xfId="0" applyNumberFormat="1" applyFont="1" applyFill="1" applyAlignment="1">
      <alignment horizontal="center"/>
    </xf>
    <xf numFmtId="2" fontId="4" fillId="607" borderId="0" xfId="0" applyNumberFormat="1" applyFont="1" applyFill="1" applyAlignment="1">
      <alignment horizontal="center"/>
    </xf>
    <xf numFmtId="2" fontId="4" fillId="608" borderId="0" xfId="0" applyNumberFormat="1" applyFont="1" applyFill="1" applyAlignment="1">
      <alignment horizontal="center"/>
    </xf>
    <xf numFmtId="2" fontId="4" fillId="609" borderId="0" xfId="0" applyNumberFormat="1" applyFont="1" applyFill="1" applyAlignment="1">
      <alignment horizontal="center"/>
    </xf>
    <xf numFmtId="164" fontId="4" fillId="449" borderId="0" xfId="0" applyNumberFormat="1" applyFont="1" applyFill="1" applyAlignment="1">
      <alignment horizontal="center"/>
    </xf>
    <xf numFmtId="2" fontId="4" fillId="610" borderId="0" xfId="0" applyNumberFormat="1" applyFont="1" applyFill="1" applyAlignment="1">
      <alignment horizontal="center"/>
    </xf>
    <xf numFmtId="2" fontId="4" fillId="611" borderId="0" xfId="0" applyNumberFormat="1" applyFont="1" applyFill="1" applyAlignment="1">
      <alignment horizontal="center"/>
    </xf>
    <xf numFmtId="2" fontId="4" fillId="612" borderId="0" xfId="0" applyNumberFormat="1" applyFont="1" applyFill="1" applyAlignment="1">
      <alignment horizontal="center"/>
    </xf>
    <xf numFmtId="164" fontId="4" fillId="210" borderId="0" xfId="0" applyNumberFormat="1" applyFont="1" applyFill="1" applyAlignment="1">
      <alignment horizontal="center"/>
    </xf>
    <xf numFmtId="2" fontId="4" fillId="613" borderId="0" xfId="0" applyNumberFormat="1" applyFont="1" applyFill="1" applyAlignment="1">
      <alignment horizontal="center"/>
    </xf>
    <xf numFmtId="2" fontId="4" fillId="614" borderId="0" xfId="0" applyNumberFormat="1" applyFont="1" applyFill="1" applyAlignment="1">
      <alignment horizontal="center"/>
    </xf>
    <xf numFmtId="2" fontId="4" fillId="615" borderId="0" xfId="0" applyNumberFormat="1" applyFont="1" applyFill="1" applyAlignment="1">
      <alignment horizontal="center"/>
    </xf>
    <xf numFmtId="2" fontId="4" fillId="616" borderId="0" xfId="0" applyNumberFormat="1" applyFont="1" applyFill="1" applyAlignment="1">
      <alignment horizontal="center"/>
    </xf>
    <xf numFmtId="164" fontId="4" fillId="75" borderId="0" xfId="0" applyNumberFormat="1" applyFont="1" applyFill="1" applyAlignment="1">
      <alignment horizontal="center"/>
    </xf>
    <xf numFmtId="2" fontId="4" fillId="617" borderId="0" xfId="0" applyNumberFormat="1" applyFont="1" applyFill="1" applyAlignment="1">
      <alignment horizontal="center"/>
    </xf>
    <xf numFmtId="2" fontId="4" fillId="618" borderId="0" xfId="0" applyNumberFormat="1" applyFont="1" applyFill="1" applyAlignment="1">
      <alignment horizontal="center"/>
    </xf>
    <xf numFmtId="2" fontId="4" fillId="619" borderId="0" xfId="0" applyNumberFormat="1" applyFont="1" applyFill="1" applyAlignment="1">
      <alignment horizontal="center"/>
    </xf>
    <xf numFmtId="164" fontId="4" fillId="161" borderId="0" xfId="0" applyNumberFormat="1" applyFont="1" applyFill="1" applyAlignment="1">
      <alignment horizontal="center"/>
    </xf>
    <xf numFmtId="2" fontId="4" fillId="620" borderId="0" xfId="0" applyNumberFormat="1" applyFont="1" applyFill="1" applyAlignment="1">
      <alignment horizontal="center"/>
    </xf>
    <xf numFmtId="2" fontId="4" fillId="621" borderId="0" xfId="0" applyNumberFormat="1" applyFont="1" applyFill="1" applyAlignment="1">
      <alignment horizontal="center"/>
    </xf>
    <xf numFmtId="2" fontId="4" fillId="622" borderId="0" xfId="0" applyNumberFormat="1" applyFont="1" applyFill="1" applyAlignment="1">
      <alignment horizontal="center"/>
    </xf>
    <xf numFmtId="2" fontId="4" fillId="623" borderId="0" xfId="0" applyNumberFormat="1" applyFont="1" applyFill="1" applyAlignment="1">
      <alignment horizontal="center"/>
    </xf>
    <xf numFmtId="2" fontId="4" fillId="624" borderId="0" xfId="0" applyNumberFormat="1" applyFont="1" applyFill="1" applyAlignment="1">
      <alignment horizontal="center"/>
    </xf>
    <xf numFmtId="2" fontId="4" fillId="625" borderId="0" xfId="0" applyNumberFormat="1" applyFont="1" applyFill="1" applyAlignment="1">
      <alignment horizontal="center"/>
    </xf>
    <xf numFmtId="2" fontId="4" fillId="626" borderId="0" xfId="0" applyNumberFormat="1" applyFont="1" applyFill="1" applyAlignment="1">
      <alignment horizontal="center"/>
    </xf>
    <xf numFmtId="2" fontId="4" fillId="627" borderId="0" xfId="0" applyNumberFormat="1" applyFont="1" applyFill="1" applyAlignment="1">
      <alignment horizontal="center"/>
    </xf>
    <xf numFmtId="2" fontId="4" fillId="628" borderId="0" xfId="0" applyNumberFormat="1" applyFont="1" applyFill="1" applyAlignment="1">
      <alignment horizontal="center"/>
    </xf>
    <xf numFmtId="2" fontId="4" fillId="629" borderId="0" xfId="0" applyNumberFormat="1" applyFont="1" applyFill="1" applyAlignment="1">
      <alignment horizontal="center"/>
    </xf>
    <xf numFmtId="2" fontId="4" fillId="630" borderId="0" xfId="0" applyNumberFormat="1" applyFont="1" applyFill="1" applyAlignment="1">
      <alignment horizontal="center"/>
    </xf>
    <xf numFmtId="2" fontId="4" fillId="631" borderId="0" xfId="0" applyNumberFormat="1" applyFont="1" applyFill="1" applyAlignment="1">
      <alignment horizontal="center"/>
    </xf>
    <xf numFmtId="164" fontId="4" fillId="44" borderId="0" xfId="0" applyNumberFormat="1" applyFont="1" applyFill="1" applyAlignment="1">
      <alignment horizontal="center"/>
    </xf>
    <xf numFmtId="2" fontId="4" fillId="632" borderId="0" xfId="0" applyNumberFormat="1" applyFont="1" applyFill="1" applyAlignment="1">
      <alignment horizontal="center"/>
    </xf>
    <xf numFmtId="2" fontId="4" fillId="633" borderId="0" xfId="0" applyNumberFormat="1" applyFont="1" applyFill="1" applyAlignment="1">
      <alignment horizontal="center"/>
    </xf>
    <xf numFmtId="2" fontId="4" fillId="634" borderId="0" xfId="0" applyNumberFormat="1" applyFont="1" applyFill="1" applyAlignment="1">
      <alignment horizontal="center"/>
    </xf>
    <xf numFmtId="2" fontId="4" fillId="635" borderId="0" xfId="0" applyNumberFormat="1" applyFont="1" applyFill="1" applyAlignment="1">
      <alignment horizontal="center"/>
    </xf>
    <xf numFmtId="2" fontId="4" fillId="636" borderId="0" xfId="0" applyNumberFormat="1" applyFont="1" applyFill="1" applyAlignment="1">
      <alignment horizontal="center"/>
    </xf>
    <xf numFmtId="2" fontId="4" fillId="637" borderId="0" xfId="0" applyNumberFormat="1" applyFont="1" applyFill="1" applyAlignment="1">
      <alignment horizontal="center"/>
    </xf>
    <xf numFmtId="164" fontId="4" fillId="471" borderId="0" xfId="0" applyNumberFormat="1" applyFont="1" applyFill="1" applyAlignment="1">
      <alignment horizontal="center"/>
    </xf>
    <xf numFmtId="2" fontId="4" fillId="638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4" fontId="3" fillId="0" borderId="0" xfId="0" applyNumberFormat="1" applyFont="1"/>
    <xf numFmtId="2" fontId="4" fillId="639" borderId="0" xfId="0" applyNumberFormat="1" applyFont="1" applyFill="1" applyAlignment="1">
      <alignment horizontal="center"/>
    </xf>
    <xf numFmtId="164" fontId="4" fillId="94" borderId="0" xfId="0" applyNumberFormat="1" applyFont="1" applyFill="1" applyAlignment="1">
      <alignment horizontal="center"/>
    </xf>
    <xf numFmtId="2" fontId="4" fillId="640" borderId="0" xfId="0" applyNumberFormat="1" applyFont="1" applyFill="1" applyAlignment="1">
      <alignment horizontal="center"/>
    </xf>
    <xf numFmtId="164" fontId="4" fillId="177" borderId="0" xfId="0" applyNumberFormat="1" applyFont="1" applyFill="1" applyAlignment="1">
      <alignment horizontal="center"/>
    </xf>
    <xf numFmtId="2" fontId="4" fillId="641" borderId="0" xfId="0" applyNumberFormat="1" applyFont="1" applyFill="1" applyAlignment="1">
      <alignment horizontal="center"/>
    </xf>
    <xf numFmtId="2" fontId="4" fillId="642" borderId="0" xfId="0" applyNumberFormat="1" applyFont="1" applyFill="1" applyAlignment="1">
      <alignment horizontal="center"/>
    </xf>
    <xf numFmtId="2" fontId="4" fillId="643" borderId="0" xfId="0" applyNumberFormat="1" applyFont="1" applyFill="1" applyAlignment="1">
      <alignment horizontal="center"/>
    </xf>
    <xf numFmtId="2" fontId="4" fillId="644" borderId="0" xfId="0" applyNumberFormat="1" applyFont="1" applyFill="1" applyAlignment="1">
      <alignment horizontal="center"/>
    </xf>
    <xf numFmtId="2" fontId="4" fillId="645" borderId="0" xfId="0" applyNumberFormat="1" applyFont="1" applyFill="1" applyAlignment="1">
      <alignment horizontal="center"/>
    </xf>
    <xf numFmtId="2" fontId="4" fillId="646" borderId="0" xfId="0" applyNumberFormat="1" applyFont="1" applyFill="1" applyAlignment="1">
      <alignment horizontal="center"/>
    </xf>
    <xf numFmtId="164" fontId="4" fillId="120" borderId="0" xfId="0" applyNumberFormat="1" applyFont="1" applyFill="1" applyAlignment="1">
      <alignment horizontal="center"/>
    </xf>
    <xf numFmtId="2" fontId="4" fillId="647" borderId="0" xfId="0" applyNumberFormat="1" applyFont="1" applyFill="1" applyAlignment="1">
      <alignment horizontal="center"/>
    </xf>
    <xf numFmtId="2" fontId="4" fillId="648" borderId="0" xfId="0" applyNumberFormat="1" applyFont="1" applyFill="1" applyAlignment="1">
      <alignment horizontal="center"/>
    </xf>
    <xf numFmtId="2" fontId="4" fillId="649" borderId="0" xfId="0" applyNumberFormat="1" applyFont="1" applyFill="1" applyAlignment="1">
      <alignment horizontal="center"/>
    </xf>
    <xf numFmtId="164" fontId="4" fillId="307" borderId="0" xfId="0" applyNumberFormat="1" applyFont="1" applyFill="1" applyAlignment="1">
      <alignment horizontal="center"/>
    </xf>
    <xf numFmtId="2" fontId="4" fillId="650" borderId="0" xfId="0" applyNumberFormat="1" applyFont="1" applyFill="1" applyAlignment="1">
      <alignment horizontal="center"/>
    </xf>
    <xf numFmtId="2" fontId="4" fillId="651" borderId="0" xfId="0" applyNumberFormat="1" applyFont="1" applyFill="1" applyAlignment="1">
      <alignment horizontal="center"/>
    </xf>
    <xf numFmtId="2" fontId="4" fillId="652" borderId="0" xfId="0" applyNumberFormat="1" applyFont="1" applyFill="1" applyAlignment="1">
      <alignment horizontal="center"/>
    </xf>
    <xf numFmtId="164" fontId="4" fillId="51" borderId="0" xfId="0" applyNumberFormat="1" applyFont="1" applyFill="1" applyAlignment="1">
      <alignment horizontal="center"/>
    </xf>
    <xf numFmtId="2" fontId="4" fillId="653" borderId="0" xfId="0" applyNumberFormat="1" applyFont="1" applyFill="1" applyAlignment="1">
      <alignment horizontal="center"/>
    </xf>
    <xf numFmtId="2" fontId="4" fillId="654" borderId="0" xfId="0" applyNumberFormat="1" applyFont="1" applyFill="1" applyAlignment="1">
      <alignment horizontal="center"/>
    </xf>
    <xf numFmtId="2" fontId="4" fillId="655" borderId="0" xfId="0" applyNumberFormat="1" applyFont="1" applyFill="1" applyAlignment="1">
      <alignment horizontal="center"/>
    </xf>
    <xf numFmtId="2" fontId="4" fillId="656" borderId="0" xfId="0" applyNumberFormat="1" applyFont="1" applyFill="1" applyAlignment="1">
      <alignment horizontal="center"/>
    </xf>
    <xf numFmtId="2" fontId="4" fillId="657" borderId="0" xfId="0" applyNumberFormat="1" applyFont="1" applyFill="1" applyAlignment="1">
      <alignment horizontal="center"/>
    </xf>
    <xf numFmtId="2" fontId="4" fillId="658" borderId="0" xfId="0" applyNumberFormat="1" applyFont="1" applyFill="1" applyAlignment="1">
      <alignment horizontal="center"/>
    </xf>
    <xf numFmtId="2" fontId="4" fillId="659" borderId="0" xfId="0" applyNumberFormat="1" applyFont="1" applyFill="1" applyAlignment="1">
      <alignment horizontal="center"/>
    </xf>
    <xf numFmtId="2" fontId="4" fillId="660" borderId="0" xfId="0" applyNumberFormat="1" applyFont="1" applyFill="1" applyAlignment="1">
      <alignment horizontal="center"/>
    </xf>
    <xf numFmtId="2" fontId="4" fillId="661" borderId="0" xfId="0" applyNumberFormat="1" applyFont="1" applyFill="1" applyAlignment="1">
      <alignment horizontal="center"/>
    </xf>
    <xf numFmtId="2" fontId="4" fillId="662" borderId="0" xfId="0" applyNumberFormat="1" applyFont="1" applyFill="1" applyAlignment="1">
      <alignment horizontal="center"/>
    </xf>
    <xf numFmtId="2" fontId="4" fillId="663" borderId="0" xfId="0" applyNumberFormat="1" applyFont="1" applyFill="1" applyAlignment="1">
      <alignment horizontal="center"/>
    </xf>
    <xf numFmtId="2" fontId="4" fillId="28" borderId="5" xfId="0" applyNumberFormat="1" applyFont="1" applyFill="1" applyBorder="1" applyAlignment="1">
      <alignment horizontal="center"/>
    </xf>
    <xf numFmtId="164" fontId="4" fillId="88" borderId="0" xfId="0" applyNumberFormat="1" applyFont="1" applyFill="1" applyAlignment="1">
      <alignment horizontal="center"/>
    </xf>
    <xf numFmtId="2" fontId="4" fillId="664" borderId="0" xfId="0" applyNumberFormat="1" applyFont="1" applyFill="1" applyAlignment="1">
      <alignment horizontal="center"/>
    </xf>
    <xf numFmtId="2" fontId="4" fillId="665" borderId="0" xfId="0" applyNumberFormat="1" applyFont="1" applyFill="1" applyAlignment="1">
      <alignment horizontal="center"/>
    </xf>
    <xf numFmtId="2" fontId="4" fillId="666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2" fontId="4" fillId="667" borderId="0" xfId="0" applyNumberFormat="1" applyFont="1" applyFill="1" applyAlignment="1">
      <alignment horizontal="center"/>
    </xf>
    <xf numFmtId="164" fontId="4" fillId="589" borderId="0" xfId="0" applyNumberFormat="1" applyFont="1" applyFill="1" applyAlignment="1">
      <alignment horizontal="center"/>
    </xf>
    <xf numFmtId="2" fontId="4" fillId="668" borderId="0" xfId="0" applyNumberFormat="1" applyFont="1" applyFill="1" applyAlignment="1">
      <alignment horizontal="center"/>
    </xf>
    <xf numFmtId="2" fontId="4" fillId="669" borderId="0" xfId="0" applyNumberFormat="1" applyFont="1" applyFill="1" applyAlignment="1">
      <alignment horizontal="center"/>
    </xf>
    <xf numFmtId="2" fontId="4" fillId="670" borderId="0" xfId="0" applyNumberFormat="1" applyFont="1" applyFill="1" applyAlignment="1">
      <alignment horizontal="center"/>
    </xf>
    <xf numFmtId="2" fontId="4" fillId="671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2" fontId="4" fillId="672" borderId="0" xfId="0" applyNumberFormat="1" applyFont="1" applyFill="1" applyAlignment="1">
      <alignment horizontal="center"/>
    </xf>
    <xf numFmtId="2" fontId="4" fillId="673" borderId="0" xfId="0" applyNumberFormat="1" applyFont="1" applyFill="1" applyAlignment="1">
      <alignment horizontal="center"/>
    </xf>
    <xf numFmtId="2" fontId="4" fillId="674" borderId="0" xfId="0" applyNumberFormat="1" applyFont="1" applyFill="1" applyAlignment="1">
      <alignment horizontal="center"/>
    </xf>
    <xf numFmtId="164" fontId="4" fillId="675" borderId="0" xfId="0" applyNumberFormat="1" applyFont="1" applyFill="1" applyAlignment="1">
      <alignment horizontal="center"/>
    </xf>
    <xf numFmtId="2" fontId="4" fillId="676" borderId="0" xfId="0" applyNumberFormat="1" applyFont="1" applyFill="1" applyAlignment="1">
      <alignment horizontal="center"/>
    </xf>
    <xf numFmtId="2" fontId="4" fillId="677" borderId="0" xfId="0" applyNumberFormat="1" applyFont="1" applyFill="1" applyAlignment="1">
      <alignment horizontal="center"/>
    </xf>
    <xf numFmtId="164" fontId="4" fillId="489" borderId="0" xfId="0" applyNumberFormat="1" applyFont="1" applyFill="1" applyAlignment="1">
      <alignment horizontal="center"/>
    </xf>
    <xf numFmtId="2" fontId="4" fillId="678" borderId="0" xfId="0" applyNumberFormat="1" applyFont="1" applyFill="1" applyAlignment="1">
      <alignment horizontal="center"/>
    </xf>
    <xf numFmtId="2" fontId="3" fillId="28" borderId="0" xfId="0" applyNumberFormat="1" applyFont="1" applyFill="1"/>
    <xf numFmtId="164" fontId="4" fillId="595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2" fontId="1" fillId="679" borderId="0" xfId="0" applyNumberFormat="1" applyFont="1" applyFill="1" applyAlignment="1">
      <alignment horizontal="center"/>
    </xf>
    <xf numFmtId="164" fontId="1" fillId="679" borderId="0" xfId="0" applyNumberFormat="1" applyFont="1" applyFill="1" applyAlignment="1">
      <alignment horizontal="center"/>
    </xf>
    <xf numFmtId="2" fontId="1" fillId="680" borderId="1" xfId="0" applyNumberFormat="1" applyFont="1" applyFill="1" applyBorder="1" applyAlignment="1">
      <alignment horizontal="center"/>
    </xf>
    <xf numFmtId="10" fontId="1" fillId="680" borderId="1" xfId="0" applyNumberFormat="1" applyFont="1" applyFill="1" applyBorder="1" applyAlignment="1">
      <alignment horizontal="center"/>
    </xf>
    <xf numFmtId="2" fontId="3" fillId="679" borderId="0" xfId="0" applyNumberFormat="1" applyFont="1" applyFill="1"/>
    <xf numFmtId="10" fontId="3" fillId="11" borderId="0" xfId="0" applyNumberFormat="1" applyFont="1" applyFill="1"/>
    <xf numFmtId="10" fontId="3" fillId="0" borderId="0" xfId="0" applyNumberFormat="1" applyFont="1"/>
    <xf numFmtId="0" fontId="1" fillId="680" borderId="1" xfId="0" applyFont="1" applyFill="1" applyBorder="1" applyAlignment="1">
      <alignment horizontal="center"/>
    </xf>
    <xf numFmtId="20" fontId="3" fillId="0" borderId="0" xfId="0" applyNumberFormat="1" applyFont="1"/>
    <xf numFmtId="164" fontId="3" fillId="0" borderId="0" xfId="0" applyNumberFormat="1" applyFont="1"/>
    <xf numFmtId="166" fontId="9" fillId="681" borderId="0" xfId="0" applyNumberFormat="1" applyFont="1" applyFill="1" applyAlignment="1">
      <alignment horizontal="center"/>
    </xf>
    <xf numFmtId="4" fontId="10" fillId="682" borderId="0" xfId="0" applyNumberFormat="1" applyFont="1" applyFill="1" applyAlignment="1">
      <alignment horizontal="center"/>
    </xf>
    <xf numFmtId="10" fontId="10" fillId="681" borderId="0" xfId="0" applyNumberFormat="1" applyFont="1" applyFill="1" applyAlignment="1">
      <alignment horizontal="center"/>
    </xf>
    <xf numFmtId="4" fontId="10" fillId="683" borderId="0" xfId="0" applyNumberFormat="1" applyFont="1" applyFill="1" applyAlignment="1">
      <alignment horizontal="center"/>
    </xf>
    <xf numFmtId="4" fontId="10" fillId="425" borderId="0" xfId="0" applyNumberFormat="1" applyFont="1" applyFill="1" applyAlignment="1">
      <alignment horizontal="center"/>
    </xf>
    <xf numFmtId="4" fontId="10" fillId="684" borderId="0" xfId="0" applyNumberFormat="1" applyFont="1" applyFill="1" applyAlignment="1">
      <alignment horizontal="center"/>
    </xf>
    <xf numFmtId="2" fontId="9" fillId="681" borderId="0" xfId="0" applyNumberFormat="1" applyFont="1" applyFill="1" applyAlignment="1">
      <alignment horizontal="center"/>
    </xf>
    <xf numFmtId="4" fontId="10" fillId="681" borderId="0" xfId="0" applyNumberFormat="1" applyFont="1" applyFill="1" applyAlignment="1">
      <alignment horizontal="center"/>
    </xf>
    <xf numFmtId="2" fontId="10" fillId="685" borderId="0" xfId="0" applyNumberFormat="1" applyFont="1" applyFill="1" applyAlignment="1">
      <alignment horizontal="center"/>
    </xf>
    <xf numFmtId="2" fontId="10" fillId="686" borderId="0" xfId="0" applyNumberFormat="1" applyFont="1" applyFill="1" applyAlignment="1">
      <alignment horizontal="center"/>
    </xf>
    <xf numFmtId="2" fontId="10" fillId="687" borderId="0" xfId="0" applyNumberFormat="1" applyFont="1" applyFill="1" applyAlignment="1">
      <alignment horizontal="center"/>
    </xf>
    <xf numFmtId="2" fontId="10" fillId="688" borderId="0" xfId="0" applyNumberFormat="1" applyFont="1" applyFill="1" applyAlignment="1">
      <alignment horizontal="center"/>
    </xf>
    <xf numFmtId="2" fontId="10" fillId="689" borderId="0" xfId="0" applyNumberFormat="1" applyFont="1" applyFill="1" applyAlignment="1">
      <alignment horizontal="center"/>
    </xf>
    <xf numFmtId="2" fontId="10" fillId="690" borderId="0" xfId="0" applyNumberFormat="1" applyFont="1" applyFill="1" applyAlignment="1">
      <alignment horizontal="center"/>
    </xf>
    <xf numFmtId="2" fontId="10" fillId="691" borderId="0" xfId="0" applyNumberFormat="1" applyFont="1" applyFill="1" applyAlignment="1">
      <alignment horizontal="center"/>
    </xf>
    <xf numFmtId="2" fontId="10" fillId="692" borderId="0" xfId="0" applyNumberFormat="1" applyFont="1" applyFill="1" applyAlignment="1">
      <alignment horizontal="center"/>
    </xf>
    <xf numFmtId="2" fontId="10" fillId="693" borderId="0" xfId="0" applyNumberFormat="1" applyFont="1" applyFill="1" applyAlignment="1">
      <alignment horizontal="center"/>
    </xf>
    <xf numFmtId="2" fontId="10" fillId="694" borderId="0" xfId="0" applyNumberFormat="1" applyFont="1" applyFill="1" applyAlignment="1">
      <alignment horizontal="center"/>
    </xf>
    <xf numFmtId="2" fontId="10" fillId="681" borderId="0" xfId="0" applyNumberFormat="1" applyFont="1" applyFill="1" applyAlignment="1">
      <alignment horizontal="center"/>
    </xf>
    <xf numFmtId="2" fontId="12" fillId="696" borderId="1" xfId="0" applyNumberFormat="1" applyFont="1" applyFill="1" applyBorder="1" applyAlignment="1">
      <alignment horizontal="center"/>
    </xf>
    <xf numFmtId="2" fontId="10" fillId="697" borderId="1" xfId="0" applyNumberFormat="1" applyFont="1" applyFill="1" applyBorder="1" applyAlignment="1">
      <alignment horizontal="center"/>
    </xf>
    <xf numFmtId="10" fontId="10" fillId="696" borderId="1" xfId="0" applyNumberFormat="1" applyFont="1" applyFill="1" applyBorder="1" applyAlignment="1">
      <alignment horizontal="center"/>
    </xf>
    <xf numFmtId="2" fontId="10" fillId="698" borderId="1" xfId="0" applyNumberFormat="1" applyFont="1" applyFill="1" applyBorder="1" applyAlignment="1">
      <alignment horizontal="center"/>
    </xf>
    <xf numFmtId="2" fontId="10" fillId="699" borderId="1" xfId="0" applyNumberFormat="1" applyFont="1" applyFill="1" applyBorder="1" applyAlignment="1">
      <alignment horizontal="center"/>
    </xf>
    <xf numFmtId="2" fontId="10" fillId="700" borderId="1" xfId="0" applyNumberFormat="1" applyFont="1" applyFill="1" applyBorder="1" applyAlignment="1">
      <alignment horizontal="center"/>
    </xf>
    <xf numFmtId="2" fontId="10" fillId="701" borderId="1" xfId="0" applyNumberFormat="1" applyFont="1" applyFill="1" applyBorder="1" applyAlignment="1">
      <alignment horizontal="center"/>
    </xf>
    <xf numFmtId="2" fontId="10" fillId="702" borderId="1" xfId="0" applyNumberFormat="1" applyFont="1" applyFill="1" applyBorder="1" applyAlignment="1">
      <alignment horizontal="center"/>
    </xf>
    <xf numFmtId="2" fontId="10" fillId="703" borderId="1" xfId="0" applyNumberFormat="1" applyFont="1" applyFill="1" applyBorder="1" applyAlignment="1">
      <alignment horizontal="center"/>
    </xf>
    <xf numFmtId="2" fontId="10" fillId="696" borderId="1" xfId="0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0" borderId="0" xfId="0"/>
    <xf numFmtId="2" fontId="11" fillId="69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E%20-%20M&#233;dia%20por%20Minuto%20TEM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librage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 - Média por Minuto TEM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gem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B86"/>
  <sheetViews>
    <sheetView tabSelected="1" topLeftCell="A76" workbookViewId="0">
      <selection activeCell="B79" sqref="B79"/>
    </sheetView>
  </sheetViews>
  <sheetFormatPr defaultColWidth="12.5703125" defaultRowHeight="15.75" customHeight="1" x14ac:dyDescent="0.2"/>
  <sheetData>
    <row r="1" spans="1:340" x14ac:dyDescent="0.2">
      <c r="A1" s="1">
        <f>D63</f>
        <v>0.67916666666666703</v>
      </c>
      <c r="B1" s="2" t="s">
        <v>0</v>
      </c>
      <c r="C1" s="1">
        <f ca="1">IFERROR(__xludf.DUMMYFUNCTION("AVERAGE(D3:D23)*AVERAGE(IFERROR(FILTER(H63:LH63,MOD(COLUMN(H63:LH63)-COLUMN(H63),4)=0),""""))/AVERAGE(IFERROR(FILTER(H3:LH23,MOD(COLUMN(H3:LH23)-COLUMN(H3),4)=0),""""))"),0.796389105280766)</f>
        <v>0.79638910528076601</v>
      </c>
      <c r="D1" s="805">
        <v>46136</v>
      </c>
      <c r="E1" s="806"/>
      <c r="F1" s="806"/>
      <c r="G1" s="806"/>
      <c r="H1" s="805">
        <v>46135</v>
      </c>
      <c r="I1" s="806"/>
      <c r="J1" s="806"/>
      <c r="K1" s="806"/>
      <c r="L1" s="805">
        <v>46134</v>
      </c>
      <c r="M1" s="806"/>
      <c r="N1" s="806"/>
      <c r="O1" s="806"/>
      <c r="P1" s="805">
        <v>46133</v>
      </c>
      <c r="Q1" s="806"/>
      <c r="R1" s="806"/>
      <c r="S1" s="806"/>
      <c r="T1" s="805">
        <v>46132</v>
      </c>
      <c r="U1" s="806"/>
      <c r="V1" s="806"/>
      <c r="W1" s="806"/>
      <c r="X1" s="805">
        <v>46129</v>
      </c>
      <c r="Y1" s="806"/>
      <c r="Z1" s="806"/>
      <c r="AA1" s="806"/>
      <c r="AB1" s="805">
        <v>46128</v>
      </c>
      <c r="AC1" s="806"/>
      <c r="AD1" s="806"/>
      <c r="AE1" s="806"/>
      <c r="AF1" s="805">
        <v>46127</v>
      </c>
      <c r="AG1" s="806"/>
      <c r="AH1" s="806"/>
      <c r="AI1" s="806"/>
      <c r="AJ1" s="805">
        <v>46126</v>
      </c>
      <c r="AK1" s="806"/>
      <c r="AL1" s="806"/>
      <c r="AM1" s="806"/>
      <c r="AN1" s="805">
        <v>46125</v>
      </c>
      <c r="AO1" s="806"/>
      <c r="AP1" s="806"/>
      <c r="AQ1" s="806"/>
      <c r="AR1" s="805">
        <v>46122</v>
      </c>
      <c r="AS1" s="806"/>
      <c r="AT1" s="806"/>
      <c r="AU1" s="806"/>
      <c r="AV1" s="805">
        <v>46121</v>
      </c>
      <c r="AW1" s="806"/>
      <c r="AX1" s="806"/>
      <c r="AY1" s="806"/>
      <c r="AZ1" s="805">
        <v>46120</v>
      </c>
      <c r="BA1" s="806"/>
      <c r="BB1" s="806"/>
      <c r="BC1" s="806"/>
      <c r="BD1" s="805">
        <v>46119</v>
      </c>
      <c r="BE1" s="806"/>
      <c r="BF1" s="806"/>
      <c r="BG1" s="806"/>
      <c r="BH1" s="805">
        <v>46118</v>
      </c>
      <c r="BI1" s="806"/>
      <c r="BJ1" s="806"/>
      <c r="BK1" s="806"/>
      <c r="BL1" s="805">
        <v>46115</v>
      </c>
      <c r="BM1" s="806"/>
      <c r="BN1" s="806"/>
      <c r="BO1" s="806"/>
      <c r="BP1" s="805">
        <v>46114</v>
      </c>
      <c r="BQ1" s="806"/>
      <c r="BR1" s="806"/>
      <c r="BS1" s="806"/>
      <c r="BT1" s="805">
        <v>46113</v>
      </c>
      <c r="BU1" s="806"/>
      <c r="BV1" s="806"/>
      <c r="BW1" s="806"/>
      <c r="BX1" s="805">
        <v>46112</v>
      </c>
      <c r="BY1" s="806"/>
      <c r="BZ1" s="806"/>
      <c r="CA1" s="806"/>
      <c r="CB1" s="805">
        <v>46111</v>
      </c>
      <c r="CC1" s="806"/>
      <c r="CD1" s="806"/>
      <c r="CE1" s="806"/>
      <c r="CF1" s="805">
        <v>46108</v>
      </c>
      <c r="CG1" s="806"/>
      <c r="CH1" s="806"/>
      <c r="CI1" s="806"/>
      <c r="CJ1" s="805">
        <v>46107</v>
      </c>
      <c r="CK1" s="806"/>
      <c r="CL1" s="806"/>
      <c r="CM1" s="806"/>
      <c r="CN1" s="805">
        <v>46106</v>
      </c>
      <c r="CO1" s="806"/>
      <c r="CP1" s="806"/>
      <c r="CQ1" s="806"/>
      <c r="CR1" s="805">
        <v>46105</v>
      </c>
      <c r="CS1" s="806"/>
      <c r="CT1" s="806"/>
      <c r="CU1" s="806"/>
      <c r="CV1" s="805">
        <v>46104</v>
      </c>
      <c r="CW1" s="806"/>
      <c r="CX1" s="806"/>
      <c r="CY1" s="806"/>
      <c r="CZ1" s="805">
        <v>46101</v>
      </c>
      <c r="DA1" s="806"/>
      <c r="DB1" s="806"/>
      <c r="DC1" s="806"/>
      <c r="DD1" s="805">
        <v>46100</v>
      </c>
      <c r="DE1" s="806"/>
      <c r="DF1" s="806"/>
      <c r="DG1" s="806"/>
      <c r="DH1" s="805">
        <v>46099</v>
      </c>
      <c r="DI1" s="806"/>
      <c r="DJ1" s="806"/>
      <c r="DK1" s="806"/>
      <c r="DL1" s="805">
        <v>46098</v>
      </c>
      <c r="DM1" s="806"/>
      <c r="DN1" s="806"/>
      <c r="DO1" s="806"/>
      <c r="DP1" s="805">
        <v>46097</v>
      </c>
      <c r="DQ1" s="806"/>
      <c r="DR1" s="806"/>
      <c r="DS1" s="806"/>
      <c r="DT1" s="805">
        <v>46094</v>
      </c>
      <c r="DU1" s="806"/>
      <c r="DV1" s="806"/>
      <c r="DW1" s="806"/>
      <c r="DX1" s="805">
        <v>46093</v>
      </c>
      <c r="DY1" s="806"/>
      <c r="DZ1" s="806"/>
      <c r="EA1" s="806"/>
      <c r="EB1" s="805">
        <v>46092</v>
      </c>
      <c r="EC1" s="806"/>
      <c r="ED1" s="806"/>
      <c r="EE1" s="806"/>
      <c r="EF1" s="805">
        <v>46091</v>
      </c>
      <c r="EG1" s="806"/>
      <c r="EH1" s="806"/>
      <c r="EI1" s="806"/>
      <c r="EJ1" s="805">
        <v>46090</v>
      </c>
      <c r="EK1" s="806"/>
      <c r="EL1" s="806"/>
      <c r="EM1" s="806"/>
      <c r="EN1" s="805">
        <v>46087</v>
      </c>
      <c r="EO1" s="806"/>
      <c r="EP1" s="806"/>
      <c r="EQ1" s="806"/>
      <c r="ER1" s="805">
        <v>46086</v>
      </c>
      <c r="ES1" s="806"/>
      <c r="ET1" s="806"/>
      <c r="EU1" s="806"/>
      <c r="EV1" s="805">
        <v>46085</v>
      </c>
      <c r="EW1" s="806"/>
      <c r="EX1" s="806"/>
      <c r="EY1" s="806"/>
      <c r="EZ1" s="805">
        <v>46084</v>
      </c>
      <c r="FA1" s="806"/>
      <c r="FB1" s="806"/>
      <c r="FC1" s="806"/>
      <c r="FD1" s="805">
        <v>46083</v>
      </c>
      <c r="FE1" s="806"/>
      <c r="FF1" s="806"/>
      <c r="FG1" s="806"/>
      <c r="FH1" s="805">
        <v>46080</v>
      </c>
      <c r="FI1" s="806"/>
      <c r="FJ1" s="806"/>
      <c r="FK1" s="806"/>
      <c r="FL1" s="805">
        <v>46079</v>
      </c>
      <c r="FM1" s="806"/>
      <c r="FN1" s="806"/>
      <c r="FO1" s="806"/>
      <c r="FP1" s="805">
        <v>46078</v>
      </c>
      <c r="FQ1" s="806"/>
      <c r="FR1" s="806"/>
      <c r="FS1" s="806"/>
      <c r="FT1" s="805">
        <v>46077</v>
      </c>
      <c r="FU1" s="806"/>
      <c r="FV1" s="806"/>
      <c r="FW1" s="806"/>
      <c r="FX1" s="805">
        <v>46076</v>
      </c>
      <c r="FY1" s="806"/>
      <c r="FZ1" s="806"/>
      <c r="GA1" s="806"/>
      <c r="GB1" s="805">
        <v>46073</v>
      </c>
      <c r="GC1" s="806"/>
      <c r="GD1" s="806"/>
      <c r="GE1" s="806"/>
      <c r="GF1" s="805">
        <v>46072</v>
      </c>
      <c r="GG1" s="806"/>
      <c r="GH1" s="806"/>
      <c r="GI1" s="806"/>
      <c r="GJ1" s="805">
        <v>46071</v>
      </c>
      <c r="GK1" s="806"/>
      <c r="GL1" s="806"/>
      <c r="GM1" s="806"/>
      <c r="GN1" s="805">
        <v>46070</v>
      </c>
      <c r="GO1" s="806"/>
      <c r="GP1" s="806"/>
      <c r="GQ1" s="806"/>
      <c r="GR1" s="805">
        <v>46069</v>
      </c>
      <c r="GS1" s="806"/>
      <c r="GT1" s="806"/>
      <c r="GU1" s="806"/>
      <c r="GV1" s="805">
        <v>46066</v>
      </c>
      <c r="GW1" s="806"/>
      <c r="GX1" s="806"/>
      <c r="GY1" s="806"/>
      <c r="GZ1" s="805">
        <v>46065</v>
      </c>
      <c r="HA1" s="806"/>
      <c r="HB1" s="806"/>
      <c r="HC1" s="806"/>
      <c r="HD1" s="805">
        <v>46064</v>
      </c>
      <c r="HE1" s="806"/>
      <c r="HF1" s="806"/>
      <c r="HG1" s="806"/>
      <c r="HH1" s="805">
        <v>46063</v>
      </c>
      <c r="HI1" s="806"/>
      <c r="HJ1" s="806"/>
      <c r="HK1" s="806"/>
      <c r="HL1" s="805">
        <v>46062</v>
      </c>
      <c r="HM1" s="806"/>
      <c r="HN1" s="806"/>
      <c r="HO1" s="806"/>
      <c r="HP1" s="805">
        <v>46059</v>
      </c>
      <c r="HQ1" s="806"/>
      <c r="HR1" s="806"/>
      <c r="HS1" s="806"/>
      <c r="HT1" s="805">
        <v>46058</v>
      </c>
      <c r="HU1" s="806"/>
      <c r="HV1" s="806"/>
      <c r="HW1" s="806"/>
      <c r="HX1" s="805">
        <v>46057</v>
      </c>
      <c r="HY1" s="806"/>
      <c r="HZ1" s="806"/>
      <c r="IA1" s="806"/>
      <c r="IB1" s="805">
        <v>46056</v>
      </c>
      <c r="IC1" s="806"/>
      <c r="ID1" s="806"/>
      <c r="IE1" s="806"/>
      <c r="IF1" s="805">
        <v>46055</v>
      </c>
      <c r="IG1" s="806"/>
      <c r="IH1" s="806"/>
      <c r="II1" s="806"/>
      <c r="IJ1" s="805">
        <v>46052</v>
      </c>
      <c r="IK1" s="806"/>
      <c r="IL1" s="806"/>
      <c r="IM1" s="806"/>
      <c r="IN1" s="805">
        <v>46051</v>
      </c>
      <c r="IO1" s="806"/>
      <c r="IP1" s="806"/>
      <c r="IQ1" s="806"/>
      <c r="IR1" s="805">
        <v>46050</v>
      </c>
      <c r="IS1" s="806"/>
      <c r="IT1" s="806"/>
      <c r="IU1" s="806"/>
      <c r="IV1" s="805">
        <v>46049</v>
      </c>
      <c r="IW1" s="806"/>
      <c r="IX1" s="806"/>
      <c r="IY1" s="806"/>
      <c r="IZ1" s="805">
        <v>46048</v>
      </c>
      <c r="JA1" s="806"/>
      <c r="JB1" s="806"/>
      <c r="JC1" s="806"/>
      <c r="JD1" s="805">
        <v>46045</v>
      </c>
      <c r="JE1" s="806"/>
      <c r="JF1" s="806"/>
      <c r="JG1" s="806"/>
      <c r="JH1" s="805">
        <v>46044</v>
      </c>
      <c r="JI1" s="806"/>
      <c r="JJ1" s="806"/>
      <c r="JK1" s="806"/>
      <c r="JL1" s="805">
        <v>46043</v>
      </c>
      <c r="JM1" s="806"/>
      <c r="JN1" s="806"/>
      <c r="JO1" s="806"/>
      <c r="JP1" s="805">
        <v>46042</v>
      </c>
      <c r="JQ1" s="806"/>
      <c r="JR1" s="806"/>
      <c r="JS1" s="806"/>
      <c r="JT1" s="805">
        <v>46041</v>
      </c>
      <c r="JU1" s="806"/>
      <c r="JV1" s="806"/>
      <c r="JW1" s="806"/>
      <c r="JX1" s="805">
        <v>46038</v>
      </c>
      <c r="JY1" s="806"/>
      <c r="JZ1" s="806"/>
      <c r="KA1" s="806"/>
      <c r="KB1" s="805">
        <v>46037</v>
      </c>
      <c r="KC1" s="806"/>
      <c r="KD1" s="806"/>
      <c r="KE1" s="806"/>
      <c r="KF1" s="805">
        <v>46036</v>
      </c>
      <c r="KG1" s="806"/>
      <c r="KH1" s="806"/>
      <c r="KI1" s="806"/>
      <c r="KJ1" s="805">
        <v>46035</v>
      </c>
      <c r="KK1" s="806"/>
      <c r="KL1" s="806"/>
      <c r="KM1" s="806"/>
      <c r="KN1" s="805">
        <v>46034</v>
      </c>
      <c r="KO1" s="806"/>
      <c r="KP1" s="806"/>
      <c r="KQ1" s="806"/>
      <c r="KR1" s="805">
        <v>46031</v>
      </c>
      <c r="KS1" s="806"/>
      <c r="KT1" s="806"/>
      <c r="KU1" s="806"/>
      <c r="KV1" s="805">
        <v>46030</v>
      </c>
      <c r="KW1" s="806"/>
      <c r="KX1" s="806"/>
      <c r="KY1" s="806"/>
      <c r="KZ1" s="805">
        <v>46029</v>
      </c>
      <c r="LA1" s="806"/>
      <c r="LB1" s="806"/>
      <c r="LC1" s="806"/>
      <c r="LD1" s="805">
        <v>46028</v>
      </c>
      <c r="LE1" s="806"/>
      <c r="LF1" s="806"/>
      <c r="LG1" s="806"/>
      <c r="LH1" s="3">
        <v>46027</v>
      </c>
      <c r="LI1" s="4"/>
      <c r="LJ1" s="5"/>
      <c r="LK1" s="5"/>
      <c r="LL1" s="6" t="s">
        <v>1</v>
      </c>
      <c r="LM1" s="6" t="s">
        <v>2</v>
      </c>
      <c r="LN1" s="6" t="s">
        <v>3</v>
      </c>
      <c r="LO1" s="6" t="s">
        <v>4</v>
      </c>
      <c r="LP1" s="6" t="s">
        <v>5</v>
      </c>
      <c r="LQ1" s="6" t="s">
        <v>6</v>
      </c>
      <c r="LR1" s="6" t="s">
        <v>7</v>
      </c>
      <c r="LS1" s="7" t="s">
        <v>8</v>
      </c>
      <c r="LT1" s="7" t="s">
        <v>9</v>
      </c>
      <c r="LU1" s="7" t="s">
        <v>10</v>
      </c>
      <c r="LV1" s="7" t="s">
        <v>11</v>
      </c>
      <c r="LW1" s="8" t="s">
        <v>12</v>
      </c>
      <c r="LX1" s="8" t="s">
        <v>13</v>
      </c>
      <c r="LY1" s="8" t="s">
        <v>14</v>
      </c>
      <c r="LZ1" s="7" t="s">
        <v>15</v>
      </c>
      <c r="MA1" s="7" t="s">
        <v>16</v>
      </c>
      <c r="MB1" s="7" t="s">
        <v>17</v>
      </c>
    </row>
    <row r="2" spans="1:340" x14ac:dyDescent="0.2">
      <c r="A2" s="9" t="s">
        <v>18</v>
      </c>
      <c r="B2" s="10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11" t="s">
        <v>24</v>
      </c>
      <c r="H2" s="9" t="s">
        <v>21</v>
      </c>
      <c r="I2" s="9" t="s">
        <v>22</v>
      </c>
      <c r="J2" s="9" t="s">
        <v>23</v>
      </c>
      <c r="K2" s="11" t="s">
        <v>24</v>
      </c>
      <c r="L2" s="9" t="s">
        <v>21</v>
      </c>
      <c r="M2" s="9" t="s">
        <v>22</v>
      </c>
      <c r="N2" s="9" t="s">
        <v>23</v>
      </c>
      <c r="O2" s="11" t="s">
        <v>24</v>
      </c>
      <c r="P2" s="9" t="s">
        <v>21</v>
      </c>
      <c r="Q2" s="9" t="s">
        <v>22</v>
      </c>
      <c r="R2" s="9" t="s">
        <v>23</v>
      </c>
      <c r="S2" s="11" t="s">
        <v>24</v>
      </c>
      <c r="T2" s="9" t="s">
        <v>21</v>
      </c>
      <c r="U2" s="9" t="s">
        <v>22</v>
      </c>
      <c r="V2" s="9" t="s">
        <v>23</v>
      </c>
      <c r="W2" s="9" t="s">
        <v>24</v>
      </c>
      <c r="X2" s="9" t="s">
        <v>21</v>
      </c>
      <c r="Y2" s="9" t="s">
        <v>22</v>
      </c>
      <c r="Z2" s="9" t="s">
        <v>23</v>
      </c>
      <c r="AA2" s="11" t="s">
        <v>24</v>
      </c>
      <c r="AB2" s="9" t="s">
        <v>21</v>
      </c>
      <c r="AC2" s="9" t="s">
        <v>22</v>
      </c>
      <c r="AD2" s="9" t="s">
        <v>23</v>
      </c>
      <c r="AE2" s="11" t="s">
        <v>24</v>
      </c>
      <c r="AF2" s="9" t="s">
        <v>21</v>
      </c>
      <c r="AG2" s="9" t="s">
        <v>22</v>
      </c>
      <c r="AH2" s="9" t="s">
        <v>23</v>
      </c>
      <c r="AI2" s="11" t="s">
        <v>24</v>
      </c>
      <c r="AJ2" s="9" t="s">
        <v>21</v>
      </c>
      <c r="AK2" s="9" t="s">
        <v>22</v>
      </c>
      <c r="AL2" s="9" t="s">
        <v>23</v>
      </c>
      <c r="AM2" s="11" t="s">
        <v>24</v>
      </c>
      <c r="AN2" s="9" t="s">
        <v>21</v>
      </c>
      <c r="AO2" s="9" t="s">
        <v>22</v>
      </c>
      <c r="AP2" s="9" t="s">
        <v>23</v>
      </c>
      <c r="AQ2" s="11" t="s">
        <v>24</v>
      </c>
      <c r="AR2" s="9" t="s">
        <v>21</v>
      </c>
      <c r="AS2" s="9" t="s">
        <v>22</v>
      </c>
      <c r="AT2" s="9" t="s">
        <v>23</v>
      </c>
      <c r="AU2" s="9" t="s">
        <v>24</v>
      </c>
      <c r="AV2" s="9" t="s">
        <v>21</v>
      </c>
      <c r="AW2" s="9" t="s">
        <v>22</v>
      </c>
      <c r="AX2" s="9" t="s">
        <v>23</v>
      </c>
      <c r="AY2" s="11" t="s">
        <v>24</v>
      </c>
      <c r="AZ2" s="9" t="s">
        <v>21</v>
      </c>
      <c r="BA2" s="9" t="s">
        <v>22</v>
      </c>
      <c r="BB2" s="9" t="s">
        <v>23</v>
      </c>
      <c r="BC2" s="11" t="s">
        <v>24</v>
      </c>
      <c r="BD2" s="9" t="s">
        <v>21</v>
      </c>
      <c r="BE2" s="9" t="s">
        <v>22</v>
      </c>
      <c r="BF2" s="9" t="s">
        <v>23</v>
      </c>
      <c r="BG2" s="11" t="s">
        <v>24</v>
      </c>
      <c r="BH2" s="9" t="s">
        <v>21</v>
      </c>
      <c r="BI2" s="9" t="s">
        <v>22</v>
      </c>
      <c r="BJ2" s="9" t="s">
        <v>23</v>
      </c>
      <c r="BK2" s="11" t="s">
        <v>24</v>
      </c>
      <c r="BL2" s="9" t="s">
        <v>21</v>
      </c>
      <c r="BM2" s="9" t="s">
        <v>22</v>
      </c>
      <c r="BN2" s="9" t="s">
        <v>23</v>
      </c>
      <c r="BO2" s="11" t="s">
        <v>24</v>
      </c>
      <c r="BP2" s="9" t="s">
        <v>21</v>
      </c>
      <c r="BQ2" s="9" t="s">
        <v>22</v>
      </c>
      <c r="BR2" s="9" t="s">
        <v>23</v>
      </c>
      <c r="BS2" s="11" t="s">
        <v>24</v>
      </c>
      <c r="BT2" s="9" t="s">
        <v>21</v>
      </c>
      <c r="BU2" s="9" t="s">
        <v>22</v>
      </c>
      <c r="BV2" s="9" t="s">
        <v>23</v>
      </c>
      <c r="BW2" s="11" t="s">
        <v>24</v>
      </c>
      <c r="BX2" s="9" t="s">
        <v>21</v>
      </c>
      <c r="BY2" s="9" t="s">
        <v>22</v>
      </c>
      <c r="BZ2" s="9" t="s">
        <v>23</v>
      </c>
      <c r="CA2" s="11" t="s">
        <v>24</v>
      </c>
      <c r="CB2" s="9" t="s">
        <v>21</v>
      </c>
      <c r="CC2" s="9" t="s">
        <v>22</v>
      </c>
      <c r="CD2" s="9" t="s">
        <v>23</v>
      </c>
      <c r="CE2" s="11" t="s">
        <v>24</v>
      </c>
      <c r="CF2" s="9" t="s">
        <v>21</v>
      </c>
      <c r="CG2" s="9" t="s">
        <v>22</v>
      </c>
      <c r="CH2" s="9" t="s">
        <v>23</v>
      </c>
      <c r="CI2" s="11" t="s">
        <v>24</v>
      </c>
      <c r="CJ2" s="9" t="s">
        <v>21</v>
      </c>
      <c r="CK2" s="9" t="s">
        <v>22</v>
      </c>
      <c r="CL2" s="9" t="s">
        <v>23</v>
      </c>
      <c r="CM2" s="11" t="s">
        <v>24</v>
      </c>
      <c r="CN2" s="9" t="s">
        <v>21</v>
      </c>
      <c r="CO2" s="9" t="s">
        <v>22</v>
      </c>
      <c r="CP2" s="9" t="s">
        <v>23</v>
      </c>
      <c r="CQ2" s="11" t="s">
        <v>24</v>
      </c>
      <c r="CR2" s="9" t="s">
        <v>21</v>
      </c>
      <c r="CS2" s="9" t="s">
        <v>22</v>
      </c>
      <c r="CT2" s="9" t="s">
        <v>23</v>
      </c>
      <c r="CU2" s="11" t="s">
        <v>24</v>
      </c>
      <c r="CV2" s="9" t="s">
        <v>21</v>
      </c>
      <c r="CW2" s="9" t="s">
        <v>22</v>
      </c>
      <c r="CX2" s="9" t="s">
        <v>23</v>
      </c>
      <c r="CY2" s="11" t="s">
        <v>24</v>
      </c>
      <c r="CZ2" s="9" t="s">
        <v>21</v>
      </c>
      <c r="DA2" s="9" t="s">
        <v>22</v>
      </c>
      <c r="DB2" s="9" t="s">
        <v>23</v>
      </c>
      <c r="DC2" s="11" t="s">
        <v>24</v>
      </c>
      <c r="DD2" s="9" t="s">
        <v>21</v>
      </c>
      <c r="DE2" s="9" t="s">
        <v>22</v>
      </c>
      <c r="DF2" s="9" t="s">
        <v>23</v>
      </c>
      <c r="DG2" s="11" t="s">
        <v>24</v>
      </c>
      <c r="DH2" s="9" t="s">
        <v>21</v>
      </c>
      <c r="DI2" s="9" t="s">
        <v>22</v>
      </c>
      <c r="DJ2" s="9" t="s">
        <v>23</v>
      </c>
      <c r="DK2" s="9" t="s">
        <v>24</v>
      </c>
      <c r="DL2" s="9" t="s">
        <v>21</v>
      </c>
      <c r="DM2" s="9" t="s">
        <v>22</v>
      </c>
      <c r="DN2" s="9" t="s">
        <v>23</v>
      </c>
      <c r="DO2" s="11" t="s">
        <v>24</v>
      </c>
      <c r="DP2" s="9" t="s">
        <v>21</v>
      </c>
      <c r="DQ2" s="9" t="s">
        <v>22</v>
      </c>
      <c r="DR2" s="9" t="s">
        <v>23</v>
      </c>
      <c r="DS2" s="9" t="s">
        <v>24</v>
      </c>
      <c r="DT2" s="9" t="s">
        <v>21</v>
      </c>
      <c r="DU2" s="9" t="s">
        <v>22</v>
      </c>
      <c r="DV2" s="9" t="s">
        <v>23</v>
      </c>
      <c r="DW2" s="11" t="s">
        <v>24</v>
      </c>
      <c r="DX2" s="9" t="s">
        <v>21</v>
      </c>
      <c r="DY2" s="9" t="s">
        <v>22</v>
      </c>
      <c r="DZ2" s="9" t="s">
        <v>23</v>
      </c>
      <c r="EA2" s="11" t="s">
        <v>24</v>
      </c>
      <c r="EB2" s="9" t="s">
        <v>21</v>
      </c>
      <c r="EC2" s="9" t="s">
        <v>22</v>
      </c>
      <c r="ED2" s="9" t="s">
        <v>23</v>
      </c>
      <c r="EE2" s="9" t="s">
        <v>24</v>
      </c>
      <c r="EF2" s="9" t="s">
        <v>21</v>
      </c>
      <c r="EG2" s="9" t="s">
        <v>22</v>
      </c>
      <c r="EH2" s="9" t="s">
        <v>23</v>
      </c>
      <c r="EI2" s="11" t="s">
        <v>24</v>
      </c>
      <c r="EJ2" s="9" t="s">
        <v>21</v>
      </c>
      <c r="EK2" s="9" t="s">
        <v>22</v>
      </c>
      <c r="EL2" s="9" t="s">
        <v>23</v>
      </c>
      <c r="EM2" s="11" t="s">
        <v>24</v>
      </c>
      <c r="EN2" s="12"/>
      <c r="EO2" s="12"/>
      <c r="EP2" s="12"/>
      <c r="EQ2" s="12"/>
      <c r="ER2" s="9" t="s">
        <v>21</v>
      </c>
      <c r="ES2" s="9" t="s">
        <v>22</v>
      </c>
      <c r="ET2" s="9" t="s">
        <v>23</v>
      </c>
      <c r="EU2" s="11" t="s">
        <v>24</v>
      </c>
      <c r="EV2" s="9" t="s">
        <v>21</v>
      </c>
      <c r="EW2" s="9" t="s">
        <v>22</v>
      </c>
      <c r="EX2" s="9" t="s">
        <v>23</v>
      </c>
      <c r="EY2" s="11" t="s">
        <v>24</v>
      </c>
      <c r="EZ2" s="9" t="s">
        <v>21</v>
      </c>
      <c r="FA2" s="9" t="s">
        <v>22</v>
      </c>
      <c r="FB2" s="9" t="s">
        <v>23</v>
      </c>
      <c r="FC2" s="9" t="s">
        <v>24</v>
      </c>
      <c r="FD2" s="9" t="s">
        <v>21</v>
      </c>
      <c r="FE2" s="9" t="s">
        <v>22</v>
      </c>
      <c r="FF2" s="9" t="s">
        <v>23</v>
      </c>
      <c r="FG2" s="9" t="s">
        <v>24</v>
      </c>
      <c r="FH2" s="9" t="s">
        <v>21</v>
      </c>
      <c r="FI2" s="9" t="s">
        <v>22</v>
      </c>
      <c r="FJ2" s="9" t="s">
        <v>23</v>
      </c>
      <c r="FK2" s="9" t="s">
        <v>24</v>
      </c>
      <c r="FL2" s="9" t="s">
        <v>21</v>
      </c>
      <c r="FM2" s="9" t="s">
        <v>22</v>
      </c>
      <c r="FN2" s="9" t="s">
        <v>23</v>
      </c>
      <c r="FO2" s="11" t="s">
        <v>24</v>
      </c>
      <c r="FP2" s="9" t="s">
        <v>21</v>
      </c>
      <c r="FQ2" s="9" t="s">
        <v>22</v>
      </c>
      <c r="FR2" s="9" t="s">
        <v>23</v>
      </c>
      <c r="FS2" s="9" t="s">
        <v>24</v>
      </c>
      <c r="FT2" s="9" t="s">
        <v>21</v>
      </c>
      <c r="FU2" s="9" t="s">
        <v>22</v>
      </c>
      <c r="FV2" s="9" t="s">
        <v>23</v>
      </c>
      <c r="FW2" s="11" t="s">
        <v>24</v>
      </c>
      <c r="FX2" s="9" t="s">
        <v>21</v>
      </c>
      <c r="FY2" s="9" t="s">
        <v>22</v>
      </c>
      <c r="FZ2" s="9" t="s">
        <v>23</v>
      </c>
      <c r="GA2" s="9" t="s">
        <v>24</v>
      </c>
      <c r="GB2" s="9" t="s">
        <v>21</v>
      </c>
      <c r="GC2" s="9" t="s">
        <v>22</v>
      </c>
      <c r="GD2" s="9" t="s">
        <v>23</v>
      </c>
      <c r="GE2" s="9" t="s">
        <v>24</v>
      </c>
      <c r="GF2" s="9" t="s">
        <v>21</v>
      </c>
      <c r="GG2" s="9" t="s">
        <v>22</v>
      </c>
      <c r="GH2" s="9" t="s">
        <v>23</v>
      </c>
      <c r="GI2" s="11" t="s">
        <v>24</v>
      </c>
      <c r="GJ2" s="9" t="s">
        <v>21</v>
      </c>
      <c r="GK2" s="9" t="s">
        <v>22</v>
      </c>
      <c r="GL2" s="9" t="s">
        <v>23</v>
      </c>
      <c r="GM2" s="11" t="s">
        <v>24</v>
      </c>
      <c r="GN2" s="9" t="s">
        <v>21</v>
      </c>
      <c r="GO2" s="9" t="s">
        <v>22</v>
      </c>
      <c r="GP2" s="9" t="s">
        <v>23</v>
      </c>
      <c r="GQ2" s="11" t="s">
        <v>24</v>
      </c>
      <c r="GR2" s="9" t="s">
        <v>21</v>
      </c>
      <c r="GS2" s="9" t="s">
        <v>22</v>
      </c>
      <c r="GT2" s="9" t="s">
        <v>23</v>
      </c>
      <c r="GU2" s="11" t="s">
        <v>24</v>
      </c>
      <c r="GV2" s="9" t="s">
        <v>21</v>
      </c>
      <c r="GW2" s="9" t="s">
        <v>22</v>
      </c>
      <c r="GX2" s="9" t="s">
        <v>23</v>
      </c>
      <c r="GY2" s="11" t="s">
        <v>24</v>
      </c>
      <c r="GZ2" s="9" t="s">
        <v>21</v>
      </c>
      <c r="HA2" s="9" t="s">
        <v>22</v>
      </c>
      <c r="HB2" s="9" t="s">
        <v>23</v>
      </c>
      <c r="HC2" s="11" t="s">
        <v>24</v>
      </c>
      <c r="HD2" s="9" t="s">
        <v>21</v>
      </c>
      <c r="HE2" s="9" t="s">
        <v>22</v>
      </c>
      <c r="HF2" s="9" t="s">
        <v>23</v>
      </c>
      <c r="HG2" s="11" t="s">
        <v>24</v>
      </c>
      <c r="HH2" s="9" t="s">
        <v>21</v>
      </c>
      <c r="HI2" s="9" t="s">
        <v>22</v>
      </c>
      <c r="HJ2" s="9" t="s">
        <v>23</v>
      </c>
      <c r="HK2" s="11" t="s">
        <v>24</v>
      </c>
      <c r="HL2" s="9" t="s">
        <v>21</v>
      </c>
      <c r="HM2" s="9" t="s">
        <v>22</v>
      </c>
      <c r="HN2" s="9" t="s">
        <v>23</v>
      </c>
      <c r="HO2" s="11" t="s">
        <v>24</v>
      </c>
      <c r="HP2" s="9" t="s">
        <v>21</v>
      </c>
      <c r="HQ2" s="9" t="s">
        <v>22</v>
      </c>
      <c r="HR2" s="9" t="s">
        <v>23</v>
      </c>
      <c r="HS2" s="11" t="s">
        <v>24</v>
      </c>
      <c r="HT2" s="9" t="s">
        <v>21</v>
      </c>
      <c r="HU2" s="9" t="s">
        <v>22</v>
      </c>
      <c r="HV2" s="9" t="s">
        <v>23</v>
      </c>
      <c r="HW2" s="11" t="s">
        <v>24</v>
      </c>
      <c r="HX2" s="9" t="s">
        <v>21</v>
      </c>
      <c r="HY2" s="9" t="s">
        <v>22</v>
      </c>
      <c r="HZ2" s="9" t="s">
        <v>23</v>
      </c>
      <c r="IA2" s="11" t="s">
        <v>24</v>
      </c>
      <c r="IB2" s="9" t="s">
        <v>21</v>
      </c>
      <c r="IC2" s="9" t="s">
        <v>22</v>
      </c>
      <c r="ID2" s="9" t="s">
        <v>23</v>
      </c>
      <c r="IE2" s="11" t="s">
        <v>24</v>
      </c>
      <c r="IF2" s="9" t="s">
        <v>21</v>
      </c>
      <c r="IG2" s="9" t="s">
        <v>22</v>
      </c>
      <c r="IH2" s="9" t="s">
        <v>23</v>
      </c>
      <c r="II2" s="11" t="s">
        <v>24</v>
      </c>
      <c r="IJ2" s="9" t="s">
        <v>21</v>
      </c>
      <c r="IK2" s="9" t="s">
        <v>22</v>
      </c>
      <c r="IL2" s="9" t="s">
        <v>23</v>
      </c>
      <c r="IM2" s="9" t="s">
        <v>24</v>
      </c>
      <c r="IN2" s="9" t="s">
        <v>21</v>
      </c>
      <c r="IO2" s="9" t="s">
        <v>22</v>
      </c>
      <c r="IP2" s="9" t="s">
        <v>23</v>
      </c>
      <c r="IQ2" s="9" t="s">
        <v>24</v>
      </c>
      <c r="IR2" s="9" t="s">
        <v>21</v>
      </c>
      <c r="IS2" s="9" t="s">
        <v>22</v>
      </c>
      <c r="IT2" s="9" t="s">
        <v>23</v>
      </c>
      <c r="IU2" s="9" t="s">
        <v>24</v>
      </c>
      <c r="IV2" s="9" t="s">
        <v>21</v>
      </c>
      <c r="IW2" s="9" t="s">
        <v>22</v>
      </c>
      <c r="IX2" s="9" t="s">
        <v>23</v>
      </c>
      <c r="IY2" s="11" t="s">
        <v>24</v>
      </c>
      <c r="IZ2" s="9" t="s">
        <v>21</v>
      </c>
      <c r="JA2" s="9" t="s">
        <v>22</v>
      </c>
      <c r="JB2" s="9" t="s">
        <v>23</v>
      </c>
      <c r="JC2" s="11" t="s">
        <v>24</v>
      </c>
      <c r="JD2" s="9" t="s">
        <v>21</v>
      </c>
      <c r="JE2" s="9" t="s">
        <v>22</v>
      </c>
      <c r="JF2" s="9" t="s">
        <v>23</v>
      </c>
      <c r="JG2" s="11" t="s">
        <v>24</v>
      </c>
      <c r="JH2" s="9" t="s">
        <v>21</v>
      </c>
      <c r="JI2" s="9" t="s">
        <v>22</v>
      </c>
      <c r="JJ2" s="9" t="s">
        <v>23</v>
      </c>
      <c r="JK2" s="11" t="s">
        <v>24</v>
      </c>
      <c r="JL2" s="9" t="s">
        <v>21</v>
      </c>
      <c r="JM2" s="9" t="s">
        <v>22</v>
      </c>
      <c r="JN2" s="9" t="s">
        <v>23</v>
      </c>
      <c r="JO2" s="11" t="s">
        <v>24</v>
      </c>
      <c r="JP2" s="9" t="s">
        <v>21</v>
      </c>
      <c r="JQ2" s="9" t="s">
        <v>22</v>
      </c>
      <c r="JR2" s="9" t="s">
        <v>23</v>
      </c>
      <c r="JS2" s="11" t="s">
        <v>24</v>
      </c>
      <c r="JT2" s="9" t="s">
        <v>21</v>
      </c>
      <c r="JU2" s="9" t="s">
        <v>22</v>
      </c>
      <c r="JV2" s="9" t="s">
        <v>23</v>
      </c>
      <c r="JW2" s="11" t="s">
        <v>24</v>
      </c>
      <c r="JX2" s="9" t="s">
        <v>21</v>
      </c>
      <c r="JY2" s="9" t="s">
        <v>22</v>
      </c>
      <c r="JZ2" s="11" t="s">
        <v>23</v>
      </c>
      <c r="KA2" s="11" t="s">
        <v>24</v>
      </c>
      <c r="KB2" s="9" t="s">
        <v>21</v>
      </c>
      <c r="KC2" s="9" t="s">
        <v>22</v>
      </c>
      <c r="KD2" s="11" t="s">
        <v>23</v>
      </c>
      <c r="KE2" s="11" t="s">
        <v>24</v>
      </c>
      <c r="KF2" s="9" t="s">
        <v>21</v>
      </c>
      <c r="KG2" s="9" t="s">
        <v>22</v>
      </c>
      <c r="KH2" s="11" t="s">
        <v>23</v>
      </c>
      <c r="KI2" s="11" t="s">
        <v>24</v>
      </c>
      <c r="KJ2" s="9" t="s">
        <v>21</v>
      </c>
      <c r="KK2" s="9" t="s">
        <v>22</v>
      </c>
      <c r="KL2" s="11" t="s">
        <v>23</v>
      </c>
      <c r="KM2" s="11" t="s">
        <v>24</v>
      </c>
      <c r="KN2" s="9" t="s">
        <v>21</v>
      </c>
      <c r="KO2" s="9" t="s">
        <v>22</v>
      </c>
      <c r="KP2" s="11" t="s">
        <v>23</v>
      </c>
      <c r="KQ2" s="11" t="s">
        <v>24</v>
      </c>
      <c r="KR2" s="9" t="s">
        <v>21</v>
      </c>
      <c r="KS2" s="9" t="s">
        <v>22</v>
      </c>
      <c r="KT2" s="11" t="s">
        <v>23</v>
      </c>
      <c r="KU2" s="11" t="s">
        <v>24</v>
      </c>
      <c r="KV2" s="11" t="s">
        <v>21</v>
      </c>
      <c r="KW2" s="9" t="s">
        <v>22</v>
      </c>
      <c r="KX2" s="11" t="s">
        <v>23</v>
      </c>
      <c r="KY2" s="11" t="s">
        <v>24</v>
      </c>
      <c r="KZ2" s="11" t="s">
        <v>21</v>
      </c>
      <c r="LA2" s="9" t="s">
        <v>22</v>
      </c>
      <c r="LB2" s="11" t="s">
        <v>23</v>
      </c>
      <c r="LC2" s="11" t="s">
        <v>24</v>
      </c>
      <c r="LD2" s="11" t="s">
        <v>21</v>
      </c>
      <c r="LE2" s="9" t="s">
        <v>22</v>
      </c>
      <c r="LF2" s="11" t="s">
        <v>23</v>
      </c>
      <c r="LG2" s="11" t="s">
        <v>24</v>
      </c>
      <c r="LH2" s="11" t="s">
        <v>21</v>
      </c>
      <c r="LI2" s="5"/>
      <c r="LJ2" s="5"/>
      <c r="LK2" s="5"/>
      <c r="LL2" s="13" t="s">
        <v>25</v>
      </c>
      <c r="LM2" s="13" t="s">
        <v>26</v>
      </c>
      <c r="LN2" s="13" t="s">
        <v>27</v>
      </c>
      <c r="LO2" s="13" t="s">
        <v>28</v>
      </c>
      <c r="LP2" s="13" t="s">
        <v>29</v>
      </c>
      <c r="LQ2" s="13" t="s">
        <v>30</v>
      </c>
      <c r="LR2" s="13" t="s">
        <v>31</v>
      </c>
      <c r="LS2" s="14" t="s">
        <v>32</v>
      </c>
      <c r="LT2" s="14" t="s">
        <v>33</v>
      </c>
      <c r="LU2" s="14" t="s">
        <v>34</v>
      </c>
      <c r="LV2" s="14" t="s">
        <v>35</v>
      </c>
      <c r="LW2" s="15" t="s">
        <v>36</v>
      </c>
      <c r="LX2" s="15" t="s">
        <v>37</v>
      </c>
      <c r="LY2" s="15" t="s">
        <v>38</v>
      </c>
      <c r="LZ2" s="14" t="s">
        <v>39</v>
      </c>
      <c r="MA2" s="14" t="s">
        <v>40</v>
      </c>
      <c r="MB2" s="14" t="s">
        <v>41</v>
      </c>
    </row>
    <row r="3" spans="1:340" x14ac:dyDescent="0.2">
      <c r="A3" s="16">
        <v>0.75</v>
      </c>
      <c r="B3" s="17">
        <f t="shared" ref="B3:B62" si="0">(D3+H3+L3+P3+T3+X3+AB3+AF3+AJ3+AN3+AR3+AV3+AZ3+BD3+BH3+BL3+BP3+BT3+BX3+CB3+CF3+CJ3+CN3+CR3+CV3+CZ3+DD3+DH3+DL3+DP3+DT3+DX3+EB3+EF3+EJ3+EN3+ER3+EV3+EZ3+FD3+FH3+FL3+FP3+FT3+FX3+GB3+GF3+GJ3+GN3+GR3+GV3+GZ3+HD3+HH3+HL3+HP3+HT3+HX3+IB3+IF3+IJ3+IN3+IR3+IV3+IZ3+JD3+JH3+JL3+JP3+JT3+JX3+KB3+KF3+KJ3+KN3+KR3+KV3+KZ3+LD3+LH3)/80</f>
        <v>0.41625000000000006</v>
      </c>
      <c r="C3" s="18">
        <f t="shared" ref="C3:C62" si="1">IF(OR(B3="",B3=0,D3=""),"",D3/B3-1)</f>
        <v>-0.23123123123123135</v>
      </c>
      <c r="D3" s="17">
        <v>0.32</v>
      </c>
      <c r="E3" s="19">
        <f t="shared" ref="E3:E62" si="2">IF($B3=0,"",D3/$B3)</f>
        <v>0.76876876876876865</v>
      </c>
      <c r="F3" s="17" t="s">
        <v>42</v>
      </c>
      <c r="G3" s="20" t="s">
        <v>43</v>
      </c>
      <c r="H3" s="21">
        <v>0.68</v>
      </c>
      <c r="I3" s="22">
        <f t="shared" ref="I3:I62" si="3">IF($B3=0,"",H3/$B3)</f>
        <v>1.6336336336336335</v>
      </c>
      <c r="J3" s="21" t="s">
        <v>42</v>
      </c>
      <c r="K3" s="23" t="s">
        <v>44</v>
      </c>
      <c r="L3" s="17">
        <v>0.39</v>
      </c>
      <c r="M3" s="24">
        <f t="shared" ref="M3:M62" si="4">IF($B3=0,"",L3/$B3)</f>
        <v>0.9369369369369368</v>
      </c>
      <c r="N3" s="17" t="s">
        <v>42</v>
      </c>
      <c r="O3" s="20" t="s">
        <v>45</v>
      </c>
      <c r="P3" s="21">
        <v>0.49</v>
      </c>
      <c r="Q3" s="25">
        <f t="shared" ref="Q3:Q62" si="5">IF($B3=0,"",P3/$B3)</f>
        <v>1.1771771771771771</v>
      </c>
      <c r="R3" s="21" t="s">
        <v>46</v>
      </c>
      <c r="S3" s="23" t="s">
        <v>47</v>
      </c>
      <c r="T3" s="17">
        <v>0.26</v>
      </c>
      <c r="U3" s="26">
        <f t="shared" ref="U3:U62" si="6">IF($B3=0,"",T3/$B3)</f>
        <v>0.62462462462462454</v>
      </c>
      <c r="V3" s="17" t="s">
        <v>48</v>
      </c>
      <c r="W3" s="5"/>
      <c r="X3" s="21">
        <v>0.45</v>
      </c>
      <c r="Y3" s="27">
        <f t="shared" ref="Y3:Y62" si="7">IF($B3=0,"",X3/$B3)</f>
        <v>1.0810810810810809</v>
      </c>
      <c r="Z3" s="21" t="s">
        <v>49</v>
      </c>
      <c r="AA3" s="28"/>
      <c r="AB3" s="17">
        <v>0.57999999999999996</v>
      </c>
      <c r="AC3" s="29">
        <f t="shared" ref="AC3:AC62" si="8">IF($B3=0,"",AB3/$B3)</f>
        <v>1.3933933933933931</v>
      </c>
      <c r="AD3" s="17" t="s">
        <v>42</v>
      </c>
      <c r="AE3" s="20" t="s">
        <v>50</v>
      </c>
      <c r="AF3" s="21">
        <v>0.2</v>
      </c>
      <c r="AG3" s="30">
        <f t="shared" ref="AG3:AG62" si="9">IF($B3=0,"",AF3/$B3)</f>
        <v>0.48048048048048042</v>
      </c>
      <c r="AH3" s="21" t="s">
        <v>42</v>
      </c>
      <c r="AI3" s="23" t="s">
        <v>51</v>
      </c>
      <c r="AJ3" s="17">
        <v>0.33</v>
      </c>
      <c r="AK3" s="31">
        <f t="shared" ref="AK3:AK62" si="10">IF($B3=0,"",AJ3/$B3)</f>
        <v>0.79279279279279269</v>
      </c>
      <c r="AL3" s="17" t="s">
        <v>46</v>
      </c>
      <c r="AM3" s="20" t="s">
        <v>52</v>
      </c>
      <c r="AN3" s="21">
        <v>0.8</v>
      </c>
      <c r="AO3" s="32">
        <f t="shared" ref="AO3:AO62" si="11">IF($B3=0,"",AN3/$B3)</f>
        <v>1.9219219219219217</v>
      </c>
      <c r="AP3" s="21" t="s">
        <v>42</v>
      </c>
      <c r="AQ3" s="23" t="s">
        <v>53</v>
      </c>
      <c r="AR3" s="17">
        <v>0.47</v>
      </c>
      <c r="AS3" s="33">
        <f t="shared" ref="AS3:AS62" si="12">IF($B3=0,"",AR3/$B3)</f>
        <v>1.129129129129129</v>
      </c>
      <c r="AT3" s="17" t="s">
        <v>42</v>
      </c>
      <c r="AU3" s="20" t="s">
        <v>54</v>
      </c>
      <c r="AV3" s="21">
        <v>0.56999999999999995</v>
      </c>
      <c r="AW3" s="34">
        <f t="shared" ref="AW3:AW62" si="13">IF($B3=0,"",AV3/$B3)</f>
        <v>1.3693693693693691</v>
      </c>
      <c r="AX3" s="21" t="s">
        <v>42</v>
      </c>
      <c r="AY3" s="23" t="s">
        <v>55</v>
      </c>
      <c r="AZ3" s="17">
        <v>0.66</v>
      </c>
      <c r="BA3" s="35">
        <f t="shared" ref="BA3:BA62" si="14">IF($B3=0,"",AZ3/$B3)</f>
        <v>1.5855855855855854</v>
      </c>
      <c r="BB3" s="17" t="s">
        <v>48</v>
      </c>
      <c r="BC3" s="20" t="s">
        <v>56</v>
      </c>
      <c r="BD3" s="17">
        <v>0.56000000000000005</v>
      </c>
      <c r="BE3" s="36">
        <f t="shared" ref="BE3:BE62" si="15">IF($B3=0,"",BD3/$B3)</f>
        <v>1.3453453453453452</v>
      </c>
      <c r="BF3" s="17" t="s">
        <v>48</v>
      </c>
      <c r="BG3" s="20" t="s">
        <v>57</v>
      </c>
      <c r="BH3" s="37">
        <v>0.45</v>
      </c>
      <c r="BI3" s="27">
        <f t="shared" ref="BI3:BI62" si="16">IF($B3=0,"",BH3/$B3)</f>
        <v>1.0810810810810809</v>
      </c>
      <c r="BJ3" s="37" t="s">
        <v>42</v>
      </c>
      <c r="BK3" s="38" t="s">
        <v>58</v>
      </c>
      <c r="BL3" s="17">
        <v>0.25</v>
      </c>
      <c r="BM3" s="39">
        <f t="shared" ref="BM3:BM62" si="17">IF($B3=0,"",BL3/$B3)</f>
        <v>0.6006006006006005</v>
      </c>
      <c r="BN3" s="17" t="s">
        <v>48</v>
      </c>
      <c r="BO3" s="40"/>
      <c r="BP3" s="17">
        <v>0.47</v>
      </c>
      <c r="BQ3" s="33">
        <f t="shared" ref="BQ3:BQ62" si="18">IF($B3=0,"",BP3/$B3)</f>
        <v>1.129129129129129</v>
      </c>
      <c r="BR3" s="17" t="s">
        <v>48</v>
      </c>
      <c r="BS3" s="41"/>
      <c r="BT3" s="37">
        <v>0.55000000000000004</v>
      </c>
      <c r="BU3" s="42">
        <f t="shared" ref="BU3:BU62" si="19">IF($B3=0,"",BT3/$B3)</f>
        <v>1.3213213213213213</v>
      </c>
      <c r="BV3" s="21" t="s">
        <v>42</v>
      </c>
      <c r="BW3" s="23" t="s">
        <v>59</v>
      </c>
      <c r="BX3" s="17">
        <v>0.69</v>
      </c>
      <c r="BY3" s="43">
        <f t="shared" ref="BY3:BY62" si="20">IF($B3=0,"",BX3/$B3)</f>
        <v>1.6576576576576574</v>
      </c>
      <c r="BZ3" s="17" t="s">
        <v>42</v>
      </c>
      <c r="CA3" s="20" t="s">
        <v>60</v>
      </c>
      <c r="CB3" s="37">
        <v>0.39</v>
      </c>
      <c r="CC3" s="24">
        <f t="shared" ref="CC3:CC62" si="21">IF($B3=0,"",CB3/$B3)</f>
        <v>0.9369369369369368</v>
      </c>
      <c r="CD3" s="21" t="s">
        <v>42</v>
      </c>
      <c r="CE3" s="23" t="s">
        <v>61</v>
      </c>
      <c r="CF3" s="17">
        <v>0.48</v>
      </c>
      <c r="CG3" s="44">
        <f t="shared" ref="CG3:CG62" si="22">IF($B3=0,"",CF3/$B3)</f>
        <v>1.1531531531531529</v>
      </c>
      <c r="CH3" s="17" t="s">
        <v>48</v>
      </c>
      <c r="CI3" s="20" t="s">
        <v>62</v>
      </c>
      <c r="CJ3" s="37">
        <v>0</v>
      </c>
      <c r="CK3" s="45">
        <f t="shared" ref="CK3:CK62" si="23">IF($B3=0,"",CJ3/$B3)</f>
        <v>0</v>
      </c>
      <c r="CL3" s="46" t="s">
        <v>48</v>
      </c>
      <c r="CM3" s="23" t="s">
        <v>63</v>
      </c>
      <c r="CN3" s="17">
        <v>0.52</v>
      </c>
      <c r="CO3" s="47">
        <f t="shared" ref="CO3:CO62" si="24">IF($B3=0,"",CN3/$B3)</f>
        <v>1.2492492492492491</v>
      </c>
      <c r="CP3" s="17" t="s">
        <v>48</v>
      </c>
      <c r="CQ3" s="20" t="s">
        <v>64</v>
      </c>
      <c r="CR3" s="37">
        <v>0.51</v>
      </c>
      <c r="CS3" s="48">
        <f t="shared" ref="CS3:CS62" si="25">IF($B3=0,"",CR3/$B3)</f>
        <v>1.2252252252252251</v>
      </c>
      <c r="CT3" s="21" t="s">
        <v>48</v>
      </c>
      <c r="CU3" s="23" t="s">
        <v>65</v>
      </c>
      <c r="CV3" s="17">
        <v>0.46</v>
      </c>
      <c r="CW3" s="49">
        <f t="shared" ref="CW3:CW62" si="26">IF($B3=0,"",CV3/$B3)</f>
        <v>1.1051051051051051</v>
      </c>
      <c r="CX3" s="17" t="s">
        <v>66</v>
      </c>
      <c r="CY3" s="20" t="s">
        <v>67</v>
      </c>
      <c r="CZ3" s="37">
        <v>0.32</v>
      </c>
      <c r="DA3" s="19">
        <f t="shared" ref="DA3:DA62" si="27">IF($B3=0,"",CZ3/$B3)</f>
        <v>0.76876876876876865</v>
      </c>
      <c r="DB3" s="21" t="s">
        <v>48</v>
      </c>
      <c r="DC3" s="23" t="s">
        <v>68</v>
      </c>
      <c r="DD3" s="17">
        <v>0.62</v>
      </c>
      <c r="DE3" s="50">
        <f t="shared" ref="DE3:DE62" si="28">IF($B3=0,"",DD3/$B3)</f>
        <v>1.4894894894894892</v>
      </c>
      <c r="DF3" s="17" t="s">
        <v>48</v>
      </c>
      <c r="DG3" s="20" t="s">
        <v>69</v>
      </c>
      <c r="DH3" s="37">
        <v>0.26</v>
      </c>
      <c r="DI3" s="26">
        <f t="shared" ref="DI3:DI62" si="29">IF($B3=0,"",DH3/$B3)</f>
        <v>0.62462462462462454</v>
      </c>
      <c r="DJ3" s="21" t="s">
        <v>48</v>
      </c>
      <c r="DK3" s="28"/>
      <c r="DL3" s="17">
        <v>0.2</v>
      </c>
      <c r="DM3" s="30">
        <f t="shared" ref="DM3:DM62" si="30">IF($B3=0,"",DL3/$B3)</f>
        <v>0.48048048048048042</v>
      </c>
      <c r="DN3" s="17" t="s">
        <v>70</v>
      </c>
      <c r="DO3" s="51" t="s">
        <v>71</v>
      </c>
      <c r="DP3" s="21">
        <v>0.59</v>
      </c>
      <c r="DQ3" s="52">
        <f t="shared" ref="DQ3:DQ62" si="31">IF($B3=0,"",DP3/$B3)</f>
        <v>1.4174174174174172</v>
      </c>
      <c r="DR3" s="53" t="s">
        <v>70</v>
      </c>
      <c r="DS3" s="54" t="s">
        <v>72</v>
      </c>
      <c r="DT3" s="53">
        <v>0.4</v>
      </c>
      <c r="DU3" s="55">
        <f t="shared" ref="DU3:DU62" si="32">IF($B3=0,"",DT3/$B3)</f>
        <v>0.96096096096096084</v>
      </c>
      <c r="DV3" s="56" t="s">
        <v>48</v>
      </c>
      <c r="DW3" s="57" t="s">
        <v>73</v>
      </c>
      <c r="DX3" s="53">
        <v>0.31</v>
      </c>
      <c r="DY3" s="58">
        <f t="shared" ref="DY3:DY62" si="33">IF($B3=0,"",DX3/$B3)</f>
        <v>0.74474474474474461</v>
      </c>
      <c r="DZ3" s="53" t="s">
        <v>42</v>
      </c>
      <c r="EA3" s="54" t="s">
        <v>73</v>
      </c>
      <c r="EB3" s="56">
        <v>0.39</v>
      </c>
      <c r="EC3" s="24">
        <f t="shared" ref="EC3:EC62" si="34">IF($B3=0,"",EB3/$B3)</f>
        <v>0.9369369369369368</v>
      </c>
      <c r="ED3" s="56" t="s">
        <v>42</v>
      </c>
      <c r="EE3" s="57" t="s">
        <v>74</v>
      </c>
      <c r="EF3" s="53">
        <v>0.51</v>
      </c>
      <c r="EG3" s="48">
        <f t="shared" ref="EG3:EG62" si="35">IF($B3=0,"",EF3/$B3)</f>
        <v>1.2252252252252251</v>
      </c>
      <c r="EH3" s="53" t="s">
        <v>46</v>
      </c>
      <c r="EI3" s="57" t="s">
        <v>75</v>
      </c>
      <c r="EJ3" s="53">
        <v>0.71</v>
      </c>
      <c r="EK3" s="59">
        <f t="shared" ref="EK3:EK62" si="36">IF($B3=0,"",EJ3/$B3)</f>
        <v>1.7057057057057055</v>
      </c>
      <c r="EL3" s="56" t="s">
        <v>48</v>
      </c>
      <c r="EM3" s="57" t="s">
        <v>76</v>
      </c>
      <c r="EN3" s="53">
        <v>0.63</v>
      </c>
      <c r="EO3" s="60">
        <f t="shared" ref="EO3:EO62" si="37">IF($B3=0,"",EN3/$B3)</f>
        <v>1.5135135135135134</v>
      </c>
      <c r="EP3" s="53" t="s">
        <v>48</v>
      </c>
      <c r="EQ3" s="23" t="s">
        <v>77</v>
      </c>
      <c r="ER3" s="53">
        <v>0.52</v>
      </c>
      <c r="ES3" s="47">
        <f t="shared" ref="ES3:ES62" si="38">IF($B3=0,"",ER3/$B3)</f>
        <v>1.2492492492492491</v>
      </c>
      <c r="ET3" s="53" t="s">
        <v>48</v>
      </c>
      <c r="EU3" s="20" t="s">
        <v>78</v>
      </c>
      <c r="EV3" s="53">
        <v>0.41</v>
      </c>
      <c r="EW3" s="61">
        <f t="shared" ref="EW3:EW62" si="39">IF($B3=0,"",EV3/$B3)</f>
        <v>0.98498498498498477</v>
      </c>
      <c r="EX3" s="21" t="s">
        <v>48</v>
      </c>
      <c r="EY3" s="57" t="s">
        <v>79</v>
      </c>
      <c r="EZ3" s="53">
        <v>0.34</v>
      </c>
      <c r="FA3" s="62">
        <f t="shared" ref="FA3:FA62" si="40">IF($B3=0,"",EZ3/$B3)</f>
        <v>0.81681681681681673</v>
      </c>
      <c r="FB3" s="40"/>
      <c r="FC3" s="40"/>
      <c r="FD3" s="53">
        <v>0.49</v>
      </c>
      <c r="FE3" s="25">
        <f t="shared" ref="FE3:FE62" si="41">IF($B3=0,"",FD3/$B3)</f>
        <v>1.1771771771771771</v>
      </c>
      <c r="FF3" s="63"/>
      <c r="FG3" s="64"/>
      <c r="FH3" s="65">
        <v>0.68</v>
      </c>
      <c r="FI3" s="22">
        <f t="shared" ref="FI3:FI62" si="42">IF($B3=0,"",FH3/$B3)</f>
        <v>1.6336336336336335</v>
      </c>
      <c r="FJ3" s="17" t="s">
        <v>48</v>
      </c>
      <c r="FK3" s="51" t="s">
        <v>80</v>
      </c>
      <c r="FL3" s="65">
        <v>0.45</v>
      </c>
      <c r="FM3" s="27">
        <f t="shared" ref="FM3:FM62" si="43">IF($B3=0,"",FL3/$B3)</f>
        <v>1.0810810810810809</v>
      </c>
      <c r="FN3" s="21" t="s">
        <v>48</v>
      </c>
      <c r="FO3" s="51" t="s">
        <v>81</v>
      </c>
      <c r="FP3" s="65">
        <v>0.34</v>
      </c>
      <c r="FQ3" s="62">
        <f t="shared" ref="FQ3:FQ62" si="44">IF($B3=0,"",FP3/$B3)</f>
        <v>0.81681681681681673</v>
      </c>
      <c r="FR3" s="17" t="s">
        <v>48</v>
      </c>
      <c r="FS3" s="51" t="s">
        <v>82</v>
      </c>
      <c r="FT3" s="65">
        <v>0.28000000000000003</v>
      </c>
      <c r="FU3" s="66">
        <f t="shared" ref="FU3:FU62" si="45">FT3/$B3</f>
        <v>0.67267267267267261</v>
      </c>
      <c r="FV3" s="65" t="s">
        <v>48</v>
      </c>
      <c r="FW3" s="67" t="s">
        <v>83</v>
      </c>
      <c r="FX3" s="65">
        <v>0.57999999999999996</v>
      </c>
      <c r="FY3" s="29">
        <f t="shared" ref="FY3:FY62" si="46">FX3/$B3</f>
        <v>1.3933933933933931</v>
      </c>
      <c r="FZ3" s="17" t="s">
        <v>42</v>
      </c>
      <c r="GA3" s="51" t="s">
        <v>84</v>
      </c>
      <c r="GB3" s="53">
        <v>0.21</v>
      </c>
      <c r="GC3" s="68">
        <f t="shared" ref="GC3:GC62" si="47">GB3/$B3</f>
        <v>0.50450450450450446</v>
      </c>
      <c r="GD3" s="21" t="s">
        <v>42</v>
      </c>
      <c r="GE3" s="63"/>
      <c r="GF3" s="65">
        <v>0.28999999999999998</v>
      </c>
      <c r="GG3" s="69">
        <f t="shared" ref="GG3:GG62" si="48">GF3/$B3</f>
        <v>0.69669669669669654</v>
      </c>
      <c r="GH3" s="65" t="s">
        <v>42</v>
      </c>
      <c r="GI3" s="51" t="s">
        <v>85</v>
      </c>
      <c r="GJ3" s="65">
        <v>0.51</v>
      </c>
      <c r="GK3" s="48">
        <f t="shared" ref="GK3:GK62" si="49">GJ3/$B3</f>
        <v>1.2252252252252251</v>
      </c>
      <c r="GL3" s="17" t="s">
        <v>48</v>
      </c>
      <c r="GM3" s="67" t="s">
        <v>86</v>
      </c>
      <c r="GN3" s="17">
        <v>0.2</v>
      </c>
      <c r="GO3" s="30">
        <f t="shared" ref="GO3:GO62" si="50">GN3/$B3</f>
        <v>0.48048048048048042</v>
      </c>
      <c r="GP3" s="40"/>
      <c r="GQ3" s="51" t="s">
        <v>87</v>
      </c>
      <c r="GR3" s="17">
        <v>0.14000000000000001</v>
      </c>
      <c r="GS3" s="70">
        <f t="shared" ref="GS3:GS62" si="51">GR3/$B3</f>
        <v>0.33633633633633631</v>
      </c>
      <c r="GT3" s="17" t="s">
        <v>42</v>
      </c>
      <c r="GU3" s="51" t="s">
        <v>88</v>
      </c>
      <c r="GV3" s="17">
        <v>0.59</v>
      </c>
      <c r="GW3" s="52">
        <f t="shared" ref="GW3:GW62" si="52">GV3/$B3</f>
        <v>1.4174174174174172</v>
      </c>
      <c r="GX3" s="17" t="s">
        <v>48</v>
      </c>
      <c r="GY3" s="67" t="s">
        <v>89</v>
      </c>
      <c r="GZ3" s="17">
        <v>0.45</v>
      </c>
      <c r="HA3" s="27">
        <f t="shared" ref="HA3:HA62" si="53">GZ3/$B3</f>
        <v>1.0810810810810809</v>
      </c>
      <c r="HB3" s="17" t="s">
        <v>48</v>
      </c>
      <c r="HC3" s="20" t="s">
        <v>90</v>
      </c>
      <c r="HD3" s="17">
        <v>0.44</v>
      </c>
      <c r="HE3" s="71">
        <f t="shared" ref="HE3:HE62" si="54">HD3/$B3</f>
        <v>1.057057057057057</v>
      </c>
      <c r="HF3" s="17" t="s">
        <v>46</v>
      </c>
      <c r="HG3" s="20" t="s">
        <v>91</v>
      </c>
      <c r="HH3" s="17">
        <v>0.33</v>
      </c>
      <c r="HI3" s="31">
        <f t="shared" ref="HI3:HI62" si="55">HH3/$B3</f>
        <v>0.79279279279279269</v>
      </c>
      <c r="HJ3" s="17" t="s">
        <v>48</v>
      </c>
      <c r="HK3" s="20" t="s">
        <v>92</v>
      </c>
      <c r="HL3" s="17">
        <v>0.55000000000000004</v>
      </c>
      <c r="HM3" s="42">
        <f t="shared" ref="HM3:HM62" si="56">HL3/$B3</f>
        <v>1.3213213213213213</v>
      </c>
      <c r="HN3" s="17" t="s">
        <v>48</v>
      </c>
      <c r="HO3" s="20" t="s">
        <v>93</v>
      </c>
      <c r="HP3" s="17">
        <v>0.24</v>
      </c>
      <c r="HQ3" s="72">
        <f t="shared" ref="HQ3:HQ62" si="57">HP3/$B3</f>
        <v>0.57657657657657646</v>
      </c>
      <c r="HR3" s="17" t="s">
        <v>42</v>
      </c>
      <c r="HS3" s="73" t="s">
        <v>94</v>
      </c>
      <c r="HT3" s="17">
        <v>0.3</v>
      </c>
      <c r="HU3" s="74">
        <f t="shared" ref="HU3:HU62" si="58">HT3/$B3</f>
        <v>0.72072072072072058</v>
      </c>
      <c r="HV3" s="17" t="s">
        <v>48</v>
      </c>
      <c r="HW3" s="75" t="s">
        <v>95</v>
      </c>
      <c r="HX3" s="17">
        <v>0.47</v>
      </c>
      <c r="HY3" s="33">
        <f t="shared" ref="HY3:HY62" si="59">HX3/$B3</f>
        <v>1.129129129129129</v>
      </c>
      <c r="HZ3" s="21" t="s">
        <v>70</v>
      </c>
      <c r="IA3" s="75" t="s">
        <v>96</v>
      </c>
      <c r="IB3" s="17">
        <v>0.41</v>
      </c>
      <c r="IC3" s="61">
        <f t="shared" ref="IC3:IC62" si="60">IB3/$B3</f>
        <v>0.98498498498498477</v>
      </c>
      <c r="ID3" s="17" t="s">
        <v>70</v>
      </c>
      <c r="IE3" s="51" t="s">
        <v>97</v>
      </c>
      <c r="IF3" s="17">
        <v>0.24</v>
      </c>
      <c r="IG3" s="72">
        <f t="shared" ref="IG3:IG62" si="61">IF3/$B3</f>
        <v>0.57657657657657646</v>
      </c>
      <c r="IH3" s="17" t="s">
        <v>42</v>
      </c>
      <c r="II3" s="67" t="s">
        <v>98</v>
      </c>
      <c r="IJ3" s="17">
        <v>0.24</v>
      </c>
      <c r="IK3" s="72">
        <f t="shared" ref="IK3:IK62" si="62">IJ3/$B3</f>
        <v>0.57657657657657646</v>
      </c>
      <c r="IL3" s="17" t="s">
        <v>46</v>
      </c>
      <c r="IM3" s="51" t="s">
        <v>99</v>
      </c>
      <c r="IN3" s="17">
        <v>0.62</v>
      </c>
      <c r="IO3" s="50">
        <f t="shared" ref="IO3:IO62" si="63">IN3/$B3</f>
        <v>1.4894894894894892</v>
      </c>
      <c r="IP3" s="17" t="s">
        <v>48</v>
      </c>
      <c r="IQ3" s="51" t="s">
        <v>100</v>
      </c>
      <c r="IR3" s="17">
        <v>0.45</v>
      </c>
      <c r="IS3" s="27">
        <f t="shared" ref="IS3:IS62" si="64">IR3/$B3</f>
        <v>1.0810810810810809</v>
      </c>
      <c r="IT3" s="17" t="s">
        <v>42</v>
      </c>
      <c r="IU3" s="40"/>
      <c r="IV3" s="17">
        <v>0.21</v>
      </c>
      <c r="IW3" s="68">
        <f t="shared" ref="IW3:IW62" si="65">IV3/$B3</f>
        <v>0.50450450450450446</v>
      </c>
      <c r="IX3" s="17" t="s">
        <v>42</v>
      </c>
      <c r="IY3" s="51" t="s">
        <v>101</v>
      </c>
      <c r="IZ3" s="17">
        <v>0.19</v>
      </c>
      <c r="JA3" s="76">
        <f t="shared" ref="JA3:JA62" si="66">IZ3/$B3</f>
        <v>0.45645645645645638</v>
      </c>
      <c r="JB3" s="17" t="s">
        <v>48</v>
      </c>
      <c r="JC3" s="51" t="s">
        <v>102</v>
      </c>
      <c r="JD3" s="17">
        <v>0.33</v>
      </c>
      <c r="JE3" s="31">
        <f t="shared" ref="JE3:JE62" si="67">JD3/$B3</f>
        <v>0.79279279279279269</v>
      </c>
      <c r="JF3" s="17" t="s">
        <v>48</v>
      </c>
      <c r="JG3" s="51" t="s">
        <v>103</v>
      </c>
      <c r="JH3" s="17">
        <v>0.19</v>
      </c>
      <c r="JI3" s="76">
        <f t="shared" ref="JI3:JI62" si="68">JH3/$B3</f>
        <v>0.45645645645645638</v>
      </c>
      <c r="JJ3" s="17" t="s">
        <v>42</v>
      </c>
      <c r="JK3" s="51" t="s">
        <v>104</v>
      </c>
      <c r="JL3" s="21">
        <v>0.25</v>
      </c>
      <c r="JM3" s="39">
        <f t="shared" ref="JM3:JM62" si="69">JL3/$B3</f>
        <v>0.6006006006006005</v>
      </c>
      <c r="JN3" s="21" t="s">
        <v>46</v>
      </c>
      <c r="JO3" s="75" t="s">
        <v>105</v>
      </c>
      <c r="JP3" s="21">
        <v>0.53</v>
      </c>
      <c r="JQ3" s="77">
        <f t="shared" ref="JQ3:JQ62" si="70">JP3/$B3</f>
        <v>1.2732732732732732</v>
      </c>
      <c r="JR3" s="21" t="s">
        <v>48</v>
      </c>
      <c r="JS3" s="51" t="s">
        <v>106</v>
      </c>
      <c r="JT3" s="21">
        <v>0.26</v>
      </c>
      <c r="JU3" s="26">
        <f t="shared" ref="JU3:JU62" si="71">JT3/$B3</f>
        <v>0.62462462462462454</v>
      </c>
      <c r="JV3" s="21" t="s">
        <v>42</v>
      </c>
      <c r="JW3" s="75" t="s">
        <v>107</v>
      </c>
      <c r="JX3" s="17">
        <v>0.35</v>
      </c>
      <c r="JY3" s="78">
        <f t="shared" ref="JY3:JY62" si="72">JX3/$B3</f>
        <v>0.84084084084084065</v>
      </c>
      <c r="JZ3" s="51" t="s">
        <v>108</v>
      </c>
      <c r="KA3" s="51" t="s">
        <v>109</v>
      </c>
      <c r="KB3" s="21">
        <v>0.6</v>
      </c>
      <c r="KC3" s="79">
        <f t="shared" ref="KC3:KC62" si="73">KB3/$B3</f>
        <v>1.4414414414414412</v>
      </c>
      <c r="KD3" s="75" t="s">
        <v>110</v>
      </c>
      <c r="KE3" s="75" t="s">
        <v>111</v>
      </c>
      <c r="KF3" s="17">
        <v>0.38</v>
      </c>
      <c r="KG3" s="80">
        <f t="shared" ref="KG3:KG62" si="74">KF3/$B3</f>
        <v>0.91291291291291277</v>
      </c>
      <c r="KH3" s="51" t="s">
        <v>48</v>
      </c>
      <c r="KI3" s="51" t="s">
        <v>112</v>
      </c>
      <c r="KJ3" s="21">
        <v>0.5</v>
      </c>
      <c r="KK3" s="81">
        <f t="shared" ref="KK3:KK62" si="75">KJ3/$B3</f>
        <v>1.201201201201201</v>
      </c>
      <c r="KL3" s="75" t="s">
        <v>108</v>
      </c>
      <c r="KM3" s="63"/>
      <c r="KN3" s="17">
        <v>0.19</v>
      </c>
      <c r="KO3" s="76">
        <f t="shared" ref="KO3:KO62" si="76">KN3/$B3</f>
        <v>0.45645645645645638</v>
      </c>
      <c r="KP3" s="51" t="s">
        <v>108</v>
      </c>
      <c r="KQ3" s="40"/>
      <c r="KR3" s="21">
        <v>0.34</v>
      </c>
      <c r="KS3" s="62">
        <f t="shared" ref="KS3:KS62" si="77">KR3/$B3</f>
        <v>0.81681681681681673</v>
      </c>
      <c r="KT3" s="75" t="s">
        <v>42</v>
      </c>
      <c r="KU3" s="75" t="s">
        <v>113</v>
      </c>
      <c r="KV3" s="82">
        <v>0.68</v>
      </c>
      <c r="KW3" s="22">
        <f t="shared" ref="KW3:KW62" si="78">KV3/$B3</f>
        <v>1.6336336336336335</v>
      </c>
      <c r="KX3" s="51" t="s">
        <v>42</v>
      </c>
      <c r="KY3" s="51" t="s">
        <v>114</v>
      </c>
      <c r="KZ3" s="83">
        <v>0.56000000000000005</v>
      </c>
      <c r="LA3" s="36">
        <f t="shared" ref="LA3:LA62" si="79">KZ3/$B3</f>
        <v>1.3453453453453452</v>
      </c>
      <c r="LB3" s="75" t="s">
        <v>108</v>
      </c>
      <c r="LC3" s="63"/>
      <c r="LD3" s="82">
        <v>0.33</v>
      </c>
      <c r="LE3" s="31">
        <f t="shared" ref="LE3:LE62" si="80">LD3/$B3</f>
        <v>0.79279279279279269</v>
      </c>
      <c r="LF3" s="51" t="s">
        <v>108</v>
      </c>
      <c r="LG3" s="40"/>
      <c r="LH3" s="83">
        <v>0.17</v>
      </c>
      <c r="LI3" s="84"/>
      <c r="LJ3" s="85"/>
      <c r="LK3" s="85"/>
      <c r="LL3" s="86">
        <f t="shared" ref="LL3:LL62" si="81">AVERAGE(H3,L3,P3,T3,X3,AB3,AF3,AJ3,AN3,AR3,AV3,AZ3,BD3,BH3,BL3,BP3,BT3,BX3,CB3,CF3,CJ3,CN3,CR3,CV3,CZ3,DD3,DH3,DL3,DP3,DT3,DX3,EB3,EF3,EJ3,EN3,ER3,EV3,EZ3,FD3,FH3,FL3,FP3,FT3,FX3,GB3,GF3,GJ3,GN3,GR3,GV3,GZ3,HD3,HH3,HL3,HP3,HT3,HX3,IB3,IF3,IJ3,IN3,IR3,IV3,IZ3,JD3,JH3,JL3,JP3,JT3,JX3,KB3,KF3,KJ3,KN3,KR3,KV3,KZ3,LD3,LH3)</f>
        <v>0.41746835443037977</v>
      </c>
      <c r="LM3" s="86">
        <f t="shared" ref="LM3:LM62" si="82">IF(OR(D3="",LL3=0),"",D3/LL3)</f>
        <v>0.76652516676773796</v>
      </c>
      <c r="LN3" s="86">
        <f>1</f>
        <v>1</v>
      </c>
      <c r="LO3" s="86">
        <f t="shared" ref="LO3:LO5" si="83">LN3</f>
        <v>1</v>
      </c>
      <c r="LP3" s="86">
        <f t="shared" ref="LP3:LQ3" si="84">0</f>
        <v>0</v>
      </c>
      <c r="LQ3" s="87">
        <f t="shared" si="84"/>
        <v>0</v>
      </c>
      <c r="LR3" s="86">
        <f t="shared" ref="LR3:LR5" si="85">MIN(1.4,MAX(0.3,LN3))</f>
        <v>1</v>
      </c>
      <c r="LS3" s="84">
        <v>1</v>
      </c>
      <c r="LT3" s="87">
        <f>0</f>
        <v>0</v>
      </c>
      <c r="LU3" s="87">
        <f>1</f>
        <v>1</v>
      </c>
      <c r="LV3" s="86">
        <f t="shared" ref="LV3:LV4" si="86">IF(F3="",1,IF(LU3&lt;=1,MAX(0.92,LS3*0.92),IF(LU3&lt;=3,MAX(0.96,LS3*0.96),LS3)))</f>
        <v>0.92</v>
      </c>
      <c r="LW3" s="88" t="s">
        <v>3807</v>
      </c>
      <c r="LX3" s="89" t="str">
        <f t="shared" ref="LX3:LX62" si="87">IF(OR(LW3="🔴 TROCAR",LW3="🟡 ATENÇÃO",LW3="🟡 ESGOTANDO"),"—","")</f>
        <v>—</v>
      </c>
      <c r="LY3" s="88" t="str">
        <f t="shared" ref="LY3:LY32" si="88">IF(LW3="🔴 TROCAR","Queda severa — trocar p/ inédito",IF(LW3="🟡 ATENÇÃO","Queda moderada — considerar inédito",IF(LW3="🟡 ESGOTANDO","Tema esgotando — preparar troca","")))</f>
        <v>Queda severa — trocar p/ inédito</v>
      </c>
      <c r="LZ3" s="5"/>
      <c r="MA3" s="67" t="str">
        <f t="shared" ref="MA3:MA4" si="89">IF(F3="","",F3)</f>
        <v>CORINTHIANS</v>
      </c>
      <c r="MB3" s="89" t="s">
        <v>3808</v>
      </c>
    </row>
    <row r="4" spans="1:340" x14ac:dyDescent="0.2">
      <c r="A4" s="16">
        <v>0.75069444444444444</v>
      </c>
      <c r="B4" s="90">
        <f t="shared" si="0"/>
        <v>0.43475000000000003</v>
      </c>
      <c r="C4" s="91">
        <f t="shared" si="1"/>
        <v>-0.26394479585968955</v>
      </c>
      <c r="D4" s="17">
        <v>0.32</v>
      </c>
      <c r="E4" s="92">
        <f t="shared" si="2"/>
        <v>0.73605520414031045</v>
      </c>
      <c r="F4" s="17" t="s">
        <v>42</v>
      </c>
      <c r="G4" s="20" t="s">
        <v>115</v>
      </c>
      <c r="H4" s="21">
        <v>0.74</v>
      </c>
      <c r="I4" s="93">
        <f t="shared" si="3"/>
        <v>1.7021276595744679</v>
      </c>
      <c r="J4" s="21" t="s">
        <v>42</v>
      </c>
      <c r="K4" s="23" t="s">
        <v>116</v>
      </c>
      <c r="L4" s="17">
        <v>0.45</v>
      </c>
      <c r="M4" s="94">
        <f t="shared" si="4"/>
        <v>1.0350776308223117</v>
      </c>
      <c r="N4" s="17" t="s">
        <v>42</v>
      </c>
      <c r="O4" s="20" t="s">
        <v>117</v>
      </c>
      <c r="P4" s="21">
        <v>0.55000000000000004</v>
      </c>
      <c r="Q4" s="95">
        <f t="shared" si="5"/>
        <v>1.2650948821161587</v>
      </c>
      <c r="R4" s="21" t="s">
        <v>42</v>
      </c>
      <c r="S4" s="23" t="s">
        <v>118</v>
      </c>
      <c r="T4" s="17">
        <v>0.33</v>
      </c>
      <c r="U4" s="96">
        <f t="shared" si="6"/>
        <v>0.75905692926969526</v>
      </c>
      <c r="V4" s="17" t="s">
        <v>42</v>
      </c>
      <c r="W4" s="5"/>
      <c r="X4" s="21">
        <v>0.46</v>
      </c>
      <c r="Y4" s="97">
        <f t="shared" si="7"/>
        <v>1.0580793559516963</v>
      </c>
      <c r="Z4" s="21" t="s">
        <v>49</v>
      </c>
      <c r="AA4" s="28"/>
      <c r="AB4" s="17">
        <v>0.57999999999999996</v>
      </c>
      <c r="AC4" s="98">
        <f t="shared" si="8"/>
        <v>1.3341000575043127</v>
      </c>
      <c r="AD4" s="17" t="s">
        <v>42</v>
      </c>
      <c r="AE4" s="20" t="s">
        <v>119</v>
      </c>
      <c r="AF4" s="21">
        <v>0.19</v>
      </c>
      <c r="AG4" s="99">
        <f t="shared" si="9"/>
        <v>0.43703277745830937</v>
      </c>
      <c r="AH4" s="21" t="s">
        <v>48</v>
      </c>
      <c r="AI4" s="23" t="s">
        <v>120</v>
      </c>
      <c r="AJ4" s="17">
        <v>0.26</v>
      </c>
      <c r="AK4" s="100">
        <f t="shared" si="10"/>
        <v>0.59804485336400226</v>
      </c>
      <c r="AL4" s="17" t="s">
        <v>48</v>
      </c>
      <c r="AM4" s="20" t="s">
        <v>121</v>
      </c>
      <c r="AN4" s="21">
        <v>0.86</v>
      </c>
      <c r="AO4" s="101">
        <f t="shared" si="11"/>
        <v>1.9781483611270845</v>
      </c>
      <c r="AP4" s="21" t="s">
        <v>48</v>
      </c>
      <c r="AQ4" s="23" t="s">
        <v>122</v>
      </c>
      <c r="AR4" s="17">
        <v>0.6</v>
      </c>
      <c r="AS4" s="102">
        <f t="shared" si="12"/>
        <v>1.3801035077630821</v>
      </c>
      <c r="AT4" s="17" t="s">
        <v>48</v>
      </c>
      <c r="AU4" s="20" t="s">
        <v>123</v>
      </c>
      <c r="AV4" s="21">
        <v>0.64</v>
      </c>
      <c r="AW4" s="103">
        <f t="shared" si="13"/>
        <v>1.4721104082806209</v>
      </c>
      <c r="AX4" s="21" t="s">
        <v>48</v>
      </c>
      <c r="AY4" s="23" t="s">
        <v>124</v>
      </c>
      <c r="AZ4" s="17">
        <v>0.59</v>
      </c>
      <c r="BA4" s="104">
        <f t="shared" si="14"/>
        <v>1.3571017826336973</v>
      </c>
      <c r="BB4" s="17" t="s">
        <v>48</v>
      </c>
      <c r="BC4" s="20" t="s">
        <v>125</v>
      </c>
      <c r="BD4" s="17">
        <v>0.61</v>
      </c>
      <c r="BE4" s="105">
        <f t="shared" si="15"/>
        <v>1.4031052328924669</v>
      </c>
      <c r="BF4" s="17" t="s">
        <v>46</v>
      </c>
      <c r="BG4" s="20" t="s">
        <v>126</v>
      </c>
      <c r="BH4" s="37">
        <v>0.54</v>
      </c>
      <c r="BI4" s="106">
        <f t="shared" si="16"/>
        <v>1.2420931569867739</v>
      </c>
      <c r="BJ4" s="37" t="s">
        <v>42</v>
      </c>
      <c r="BK4" s="38" t="s">
        <v>127</v>
      </c>
      <c r="BL4" s="17">
        <v>0.47</v>
      </c>
      <c r="BM4" s="27">
        <f t="shared" si="17"/>
        <v>1.0810810810810809</v>
      </c>
      <c r="BN4" s="17" t="s">
        <v>42</v>
      </c>
      <c r="BO4" s="40"/>
      <c r="BP4" s="17">
        <v>0.53</v>
      </c>
      <c r="BQ4" s="107">
        <f t="shared" si="18"/>
        <v>1.2190914318573893</v>
      </c>
      <c r="BR4" s="17" t="s">
        <v>46</v>
      </c>
      <c r="BS4" s="41"/>
      <c r="BT4" s="37">
        <v>0.55000000000000004</v>
      </c>
      <c r="BU4" s="95">
        <f t="shared" si="19"/>
        <v>1.2650948821161587</v>
      </c>
      <c r="BV4" s="21" t="s">
        <v>42</v>
      </c>
      <c r="BW4" s="23" t="s">
        <v>128</v>
      </c>
      <c r="BX4" s="17">
        <v>0.59</v>
      </c>
      <c r="BY4" s="104">
        <f t="shared" si="20"/>
        <v>1.3571017826336973</v>
      </c>
      <c r="BZ4" s="17" t="s">
        <v>48</v>
      </c>
      <c r="CA4" s="20" t="s">
        <v>129</v>
      </c>
      <c r="CB4" s="37">
        <v>0.39</v>
      </c>
      <c r="CC4" s="108">
        <f t="shared" si="21"/>
        <v>0.89706728004600345</v>
      </c>
      <c r="CD4" s="21" t="s">
        <v>48</v>
      </c>
      <c r="CE4" s="23" t="s">
        <v>130</v>
      </c>
      <c r="CF4" s="17">
        <v>0.34</v>
      </c>
      <c r="CG4" s="109">
        <f t="shared" si="22"/>
        <v>0.78205865439907996</v>
      </c>
      <c r="CH4" s="17" t="s">
        <v>42</v>
      </c>
      <c r="CI4" s="41"/>
      <c r="CJ4" s="37">
        <v>0</v>
      </c>
      <c r="CK4" s="45">
        <f t="shared" si="23"/>
        <v>0</v>
      </c>
      <c r="CL4" s="21" t="s">
        <v>108</v>
      </c>
      <c r="CM4" s="28"/>
      <c r="CN4" s="17">
        <v>0.4</v>
      </c>
      <c r="CO4" s="110">
        <f t="shared" si="24"/>
        <v>0.92006900517538814</v>
      </c>
      <c r="CP4" s="17" t="s">
        <v>42</v>
      </c>
      <c r="CQ4" s="20" t="s">
        <v>131</v>
      </c>
      <c r="CR4" s="37">
        <v>0.44</v>
      </c>
      <c r="CS4" s="111">
        <f t="shared" si="25"/>
        <v>1.0120759056929269</v>
      </c>
      <c r="CT4" s="21" t="s">
        <v>42</v>
      </c>
      <c r="CU4" s="23" t="s">
        <v>132</v>
      </c>
      <c r="CV4" s="17">
        <v>0.33</v>
      </c>
      <c r="CW4" s="96">
        <f t="shared" si="26"/>
        <v>0.75905692926969526</v>
      </c>
      <c r="CX4" s="17" t="s">
        <v>108</v>
      </c>
      <c r="CY4" s="20" t="s">
        <v>133</v>
      </c>
      <c r="CZ4" s="37">
        <v>0.32</v>
      </c>
      <c r="DA4" s="92">
        <f t="shared" si="27"/>
        <v>0.73605520414031045</v>
      </c>
      <c r="DB4" s="21" t="s">
        <v>42</v>
      </c>
      <c r="DC4" s="23" t="s">
        <v>134</v>
      </c>
      <c r="DD4" s="17">
        <v>0.62</v>
      </c>
      <c r="DE4" s="112">
        <f t="shared" si="28"/>
        <v>1.4261069580218515</v>
      </c>
      <c r="DF4" s="17" t="s">
        <v>42</v>
      </c>
      <c r="DG4" s="20" t="s">
        <v>135</v>
      </c>
      <c r="DH4" s="37">
        <v>0.26</v>
      </c>
      <c r="DI4" s="100">
        <f t="shared" si="29"/>
        <v>0.59804485336400226</v>
      </c>
      <c r="DJ4" s="21" t="s">
        <v>48</v>
      </c>
      <c r="DK4" s="28"/>
      <c r="DL4" s="17">
        <v>0.2</v>
      </c>
      <c r="DM4" s="113">
        <f t="shared" si="30"/>
        <v>0.46003450258769407</v>
      </c>
      <c r="DN4" s="17" t="s">
        <v>70</v>
      </c>
      <c r="DO4" s="51" t="s">
        <v>136</v>
      </c>
      <c r="DP4" s="21">
        <v>0.65</v>
      </c>
      <c r="DQ4" s="114">
        <f t="shared" si="31"/>
        <v>1.4951121334100057</v>
      </c>
      <c r="DR4" s="53" t="s">
        <v>70</v>
      </c>
      <c r="DS4" s="54" t="s">
        <v>137</v>
      </c>
      <c r="DT4" s="53">
        <v>0.4</v>
      </c>
      <c r="DU4" s="110">
        <f t="shared" si="32"/>
        <v>0.92006900517538814</v>
      </c>
      <c r="DV4" s="56" t="s">
        <v>46</v>
      </c>
      <c r="DW4" s="57" t="s">
        <v>138</v>
      </c>
      <c r="DX4" s="53">
        <v>0.38</v>
      </c>
      <c r="DY4" s="115">
        <f t="shared" si="33"/>
        <v>0.87406555491661875</v>
      </c>
      <c r="DZ4" s="53" t="s">
        <v>42</v>
      </c>
      <c r="EA4" s="54" t="s">
        <v>138</v>
      </c>
      <c r="EB4" s="56">
        <v>0.46</v>
      </c>
      <c r="EC4" s="97">
        <f t="shared" si="34"/>
        <v>1.0580793559516963</v>
      </c>
      <c r="ED4" s="56" t="s">
        <v>42</v>
      </c>
      <c r="EE4" s="57" t="s">
        <v>139</v>
      </c>
      <c r="EF4" s="53">
        <v>0.56999999999999995</v>
      </c>
      <c r="EG4" s="116">
        <f t="shared" si="35"/>
        <v>1.3110983323749279</v>
      </c>
      <c r="EH4" s="53" t="s">
        <v>46</v>
      </c>
      <c r="EI4" s="57" t="s">
        <v>140</v>
      </c>
      <c r="EJ4" s="53">
        <v>0.71</v>
      </c>
      <c r="EK4" s="117">
        <f t="shared" si="36"/>
        <v>1.6331224841863139</v>
      </c>
      <c r="EL4" s="56" t="s">
        <v>48</v>
      </c>
      <c r="EM4" s="57" t="s">
        <v>141</v>
      </c>
      <c r="EN4" s="53">
        <v>0.63</v>
      </c>
      <c r="EO4" s="118">
        <f t="shared" si="37"/>
        <v>1.4491086831512363</v>
      </c>
      <c r="EP4" s="53" t="s">
        <v>46</v>
      </c>
      <c r="EQ4" s="23" t="s">
        <v>142</v>
      </c>
      <c r="ER4" s="53">
        <v>0.52</v>
      </c>
      <c r="ES4" s="119">
        <f t="shared" si="38"/>
        <v>1.1960897067280045</v>
      </c>
      <c r="ET4" s="53" t="s">
        <v>48</v>
      </c>
      <c r="EU4" s="20" t="s">
        <v>143</v>
      </c>
      <c r="EV4" s="53">
        <v>0.48</v>
      </c>
      <c r="EW4" s="49">
        <f t="shared" si="39"/>
        <v>1.1040828062104657</v>
      </c>
      <c r="EX4" s="21" t="s">
        <v>48</v>
      </c>
      <c r="EY4" s="57" t="s">
        <v>144</v>
      </c>
      <c r="EZ4" s="53">
        <v>0.4</v>
      </c>
      <c r="FA4" s="110">
        <f t="shared" si="40"/>
        <v>0.92006900517538814</v>
      </c>
      <c r="FB4" s="40"/>
      <c r="FC4" s="40"/>
      <c r="FD4" s="53">
        <v>0.48</v>
      </c>
      <c r="FE4" s="49">
        <f t="shared" si="41"/>
        <v>1.1040828062104657</v>
      </c>
      <c r="FF4" s="63"/>
      <c r="FG4" s="64"/>
      <c r="FH4" s="17">
        <v>0.8</v>
      </c>
      <c r="FI4" s="120">
        <f t="shared" si="42"/>
        <v>1.8401380103507763</v>
      </c>
      <c r="FJ4" s="17" t="s">
        <v>42</v>
      </c>
      <c r="FK4" s="51" t="s">
        <v>145</v>
      </c>
      <c r="FL4" s="17">
        <v>0.53</v>
      </c>
      <c r="FM4" s="107">
        <f t="shared" si="43"/>
        <v>1.2190914318573893</v>
      </c>
      <c r="FN4" s="21" t="s">
        <v>48</v>
      </c>
      <c r="FO4" s="51" t="s">
        <v>146</v>
      </c>
      <c r="FP4" s="17">
        <v>0.41</v>
      </c>
      <c r="FQ4" s="121">
        <f t="shared" si="44"/>
        <v>0.94307073030477273</v>
      </c>
      <c r="FR4" s="17" t="s">
        <v>42</v>
      </c>
      <c r="FS4" s="51" t="s">
        <v>147</v>
      </c>
      <c r="FT4" s="17">
        <v>0.43</v>
      </c>
      <c r="FU4" s="122">
        <f t="shared" si="45"/>
        <v>0.98907418056354224</v>
      </c>
      <c r="FV4" s="65" t="s">
        <v>48</v>
      </c>
      <c r="FW4" s="51" t="s">
        <v>148</v>
      </c>
      <c r="FX4" s="17">
        <v>0.65</v>
      </c>
      <c r="FY4" s="114">
        <f t="shared" si="46"/>
        <v>1.4951121334100057</v>
      </c>
      <c r="FZ4" s="17" t="s">
        <v>48</v>
      </c>
      <c r="GA4" s="51" t="s">
        <v>149</v>
      </c>
      <c r="GB4" s="53">
        <v>0.21</v>
      </c>
      <c r="GC4" s="123">
        <f t="shared" si="47"/>
        <v>0.48303622771707871</v>
      </c>
      <c r="GD4" s="21" t="s">
        <v>48</v>
      </c>
      <c r="GE4" s="63"/>
      <c r="GF4" s="17">
        <v>0.44</v>
      </c>
      <c r="GG4" s="111">
        <f t="shared" si="48"/>
        <v>1.0120759056929269</v>
      </c>
      <c r="GH4" s="17" t="s">
        <v>48</v>
      </c>
      <c r="GI4" s="51" t="s">
        <v>150</v>
      </c>
      <c r="GJ4" s="17">
        <v>0.56000000000000005</v>
      </c>
      <c r="GK4" s="124">
        <f t="shared" si="49"/>
        <v>1.2880966072455435</v>
      </c>
      <c r="GL4" s="17" t="s">
        <v>46</v>
      </c>
      <c r="GM4" s="67" t="s">
        <v>151</v>
      </c>
      <c r="GN4" s="17">
        <v>0.27</v>
      </c>
      <c r="GO4" s="125">
        <f t="shared" si="50"/>
        <v>0.62104657849338696</v>
      </c>
      <c r="GP4" s="40"/>
      <c r="GQ4" s="51" t="s">
        <v>152</v>
      </c>
      <c r="GR4" s="17">
        <v>0.14000000000000001</v>
      </c>
      <c r="GS4" s="126">
        <f t="shared" si="51"/>
        <v>0.32202415181138588</v>
      </c>
      <c r="GT4" s="17" t="s">
        <v>48</v>
      </c>
      <c r="GU4" s="51" t="s">
        <v>153</v>
      </c>
      <c r="GV4" s="17">
        <v>0.6</v>
      </c>
      <c r="GW4" s="102">
        <f t="shared" si="52"/>
        <v>1.3801035077630821</v>
      </c>
      <c r="GX4" s="17" t="s">
        <v>70</v>
      </c>
      <c r="GY4" s="67" t="s">
        <v>154</v>
      </c>
      <c r="GZ4" s="17">
        <v>0.47</v>
      </c>
      <c r="HA4" s="27">
        <f t="shared" si="53"/>
        <v>1.0810810810810809</v>
      </c>
      <c r="HB4" s="17" t="s">
        <v>42</v>
      </c>
      <c r="HC4" s="20" t="s">
        <v>155</v>
      </c>
      <c r="HD4" s="17">
        <v>0.37</v>
      </c>
      <c r="HE4" s="127">
        <f t="shared" si="54"/>
        <v>0.85106382978723394</v>
      </c>
      <c r="HF4" s="17" t="s">
        <v>70</v>
      </c>
      <c r="HG4" s="20" t="s">
        <v>156</v>
      </c>
      <c r="HH4" s="17">
        <v>0.41</v>
      </c>
      <c r="HI4" s="121">
        <f t="shared" si="55"/>
        <v>0.94307073030477273</v>
      </c>
      <c r="HJ4" s="17" t="s">
        <v>42</v>
      </c>
      <c r="HK4" s="20" t="s">
        <v>157</v>
      </c>
      <c r="HL4" s="17">
        <v>0.61</v>
      </c>
      <c r="HM4" s="105">
        <f t="shared" si="56"/>
        <v>1.4031052328924669</v>
      </c>
      <c r="HN4" s="17" t="s">
        <v>42</v>
      </c>
      <c r="HO4" s="20" t="s">
        <v>158</v>
      </c>
      <c r="HP4" s="17">
        <v>0.18</v>
      </c>
      <c r="HQ4" s="128">
        <f t="shared" si="57"/>
        <v>0.41403105232892462</v>
      </c>
      <c r="HR4" s="17" t="s">
        <v>48</v>
      </c>
      <c r="HS4" s="73" t="s">
        <v>159</v>
      </c>
      <c r="HT4" s="17">
        <v>0.31</v>
      </c>
      <c r="HU4" s="129">
        <f t="shared" si="58"/>
        <v>0.71305347901092575</v>
      </c>
      <c r="HV4" s="17" t="s">
        <v>46</v>
      </c>
      <c r="HW4" s="75" t="s">
        <v>160</v>
      </c>
      <c r="HX4" s="17">
        <v>0.47</v>
      </c>
      <c r="HY4" s="27">
        <f t="shared" si="59"/>
        <v>1.0810810810810809</v>
      </c>
      <c r="HZ4" s="21" t="s">
        <v>70</v>
      </c>
      <c r="IA4" s="75" t="s">
        <v>161</v>
      </c>
      <c r="IB4" s="17">
        <v>0.33</v>
      </c>
      <c r="IC4" s="96">
        <f t="shared" si="60"/>
        <v>0.75905692926969526</v>
      </c>
      <c r="ID4" s="17" t="s">
        <v>48</v>
      </c>
      <c r="IE4" s="51" t="s">
        <v>162</v>
      </c>
      <c r="IF4" s="17">
        <v>0.3</v>
      </c>
      <c r="IG4" s="130">
        <f t="shared" si="61"/>
        <v>0.69005175388154105</v>
      </c>
      <c r="IH4" s="17" t="s">
        <v>42</v>
      </c>
      <c r="II4" s="67" t="s">
        <v>163</v>
      </c>
      <c r="IJ4" s="17">
        <v>0.33</v>
      </c>
      <c r="IK4" s="96">
        <f t="shared" si="62"/>
        <v>0.75905692926969526</v>
      </c>
      <c r="IL4" s="17" t="s">
        <v>48</v>
      </c>
      <c r="IM4" s="51" t="s">
        <v>164</v>
      </c>
      <c r="IN4" s="17">
        <v>0.5</v>
      </c>
      <c r="IO4" s="131">
        <f t="shared" si="63"/>
        <v>1.1500862564692351</v>
      </c>
      <c r="IP4" s="17" t="s">
        <v>42</v>
      </c>
      <c r="IQ4" s="40"/>
      <c r="IR4" s="17">
        <v>0.44</v>
      </c>
      <c r="IS4" s="111">
        <f t="shared" si="64"/>
        <v>1.0120759056929269</v>
      </c>
      <c r="IT4" s="17" t="s">
        <v>46</v>
      </c>
      <c r="IU4" s="40"/>
      <c r="IV4" s="17">
        <v>0.21</v>
      </c>
      <c r="IW4" s="123">
        <f t="shared" si="65"/>
        <v>0.48303622771707871</v>
      </c>
      <c r="IX4" s="17" t="s">
        <v>48</v>
      </c>
      <c r="IY4" s="51" t="s">
        <v>165</v>
      </c>
      <c r="IZ4" s="17">
        <v>0.19</v>
      </c>
      <c r="JA4" s="99">
        <f t="shared" si="66"/>
        <v>0.43703277745830937</v>
      </c>
      <c r="JB4" s="17" t="s">
        <v>46</v>
      </c>
      <c r="JC4" s="51" t="s">
        <v>166</v>
      </c>
      <c r="JD4" s="17">
        <v>0.33</v>
      </c>
      <c r="JE4" s="96">
        <f t="shared" si="67"/>
        <v>0.75905692926969526</v>
      </c>
      <c r="JF4" s="17" t="s">
        <v>46</v>
      </c>
      <c r="JG4" s="51" t="s">
        <v>167</v>
      </c>
      <c r="JH4" s="17">
        <v>0.12</v>
      </c>
      <c r="JI4" s="132">
        <f t="shared" si="68"/>
        <v>0.27602070155261643</v>
      </c>
      <c r="JJ4" s="17" t="s">
        <v>46</v>
      </c>
      <c r="JK4" s="51" t="s">
        <v>168</v>
      </c>
      <c r="JL4" s="21">
        <v>0.25</v>
      </c>
      <c r="JM4" s="133">
        <f t="shared" si="69"/>
        <v>0.57504312823461756</v>
      </c>
      <c r="JN4" s="21" t="s">
        <v>46</v>
      </c>
      <c r="JO4" s="75" t="s">
        <v>169</v>
      </c>
      <c r="JP4" s="21">
        <v>0.53</v>
      </c>
      <c r="JQ4" s="107">
        <f t="shared" si="70"/>
        <v>1.2190914318573893</v>
      </c>
      <c r="JR4" s="21" t="s">
        <v>48</v>
      </c>
      <c r="JS4" s="40"/>
      <c r="JT4" s="21">
        <v>0.33</v>
      </c>
      <c r="JU4" s="96">
        <f t="shared" si="71"/>
        <v>0.75905692926969526</v>
      </c>
      <c r="JV4" s="21" t="s">
        <v>48</v>
      </c>
      <c r="JW4" s="75" t="s">
        <v>170</v>
      </c>
      <c r="JX4" s="17">
        <v>0.56999999999999995</v>
      </c>
      <c r="JY4" s="116">
        <f t="shared" si="72"/>
        <v>1.3110983323749279</v>
      </c>
      <c r="JZ4" s="51" t="s">
        <v>42</v>
      </c>
      <c r="KA4" s="51" t="s">
        <v>171</v>
      </c>
      <c r="KB4" s="21">
        <v>0.67</v>
      </c>
      <c r="KC4" s="134">
        <f t="shared" si="73"/>
        <v>1.5411155836687751</v>
      </c>
      <c r="KD4" s="75" t="s">
        <v>110</v>
      </c>
      <c r="KE4" s="75" t="s">
        <v>172</v>
      </c>
      <c r="KF4" s="17">
        <v>0.44</v>
      </c>
      <c r="KG4" s="111">
        <f t="shared" si="74"/>
        <v>1.0120759056929269</v>
      </c>
      <c r="KH4" s="51" t="s">
        <v>48</v>
      </c>
      <c r="KI4" s="51" t="s">
        <v>173</v>
      </c>
      <c r="KJ4" s="21">
        <v>0.37</v>
      </c>
      <c r="KK4" s="127">
        <f t="shared" si="75"/>
        <v>0.85106382978723394</v>
      </c>
      <c r="KL4" s="75" t="s">
        <v>108</v>
      </c>
      <c r="KM4" s="63"/>
      <c r="KN4" s="17">
        <v>0.19</v>
      </c>
      <c r="KO4" s="99">
        <f t="shared" si="76"/>
        <v>0.43703277745830937</v>
      </c>
      <c r="KP4" s="51" t="s">
        <v>108</v>
      </c>
      <c r="KQ4" s="40"/>
      <c r="KR4" s="21">
        <v>0.34</v>
      </c>
      <c r="KS4" s="109">
        <f t="shared" si="77"/>
        <v>0.78205865439907996</v>
      </c>
      <c r="KT4" s="75" t="s">
        <v>42</v>
      </c>
      <c r="KU4" s="75" t="s">
        <v>174</v>
      </c>
      <c r="KV4" s="82">
        <v>0.74</v>
      </c>
      <c r="KW4" s="93">
        <f t="shared" si="78"/>
        <v>1.7021276595744679</v>
      </c>
      <c r="KX4" s="51" t="s">
        <v>42</v>
      </c>
      <c r="KY4" s="51" t="s">
        <v>175</v>
      </c>
      <c r="KZ4" s="83">
        <v>0.4</v>
      </c>
      <c r="LA4" s="110">
        <f t="shared" si="79"/>
        <v>0.92006900517538814</v>
      </c>
      <c r="LB4" s="75" t="s">
        <v>108</v>
      </c>
      <c r="LC4" s="63"/>
      <c r="LD4" s="82">
        <v>0.33</v>
      </c>
      <c r="LE4" s="96">
        <f t="shared" si="80"/>
        <v>0.75905692926969526</v>
      </c>
      <c r="LF4" s="51" t="s">
        <v>108</v>
      </c>
      <c r="LG4" s="40"/>
      <c r="LH4" s="83">
        <v>0.17</v>
      </c>
      <c r="LI4" s="84"/>
      <c r="LJ4" s="85"/>
      <c r="LK4" s="85"/>
      <c r="LL4" s="86">
        <f t="shared" si="81"/>
        <v>0.43620253164556966</v>
      </c>
      <c r="LM4" s="86">
        <f t="shared" si="82"/>
        <v>0.73360417875798023</v>
      </c>
      <c r="LN4" s="86">
        <f t="shared" ref="LN4:LN62" si="90">IFERROR(AVERAGE(LM$3:INDEX(LM:LM,ROW()-1)),1)</f>
        <v>0.76652516676773796</v>
      </c>
      <c r="LO4" s="86">
        <f t="shared" si="83"/>
        <v>0.76652516676773796</v>
      </c>
      <c r="LP4" s="86">
        <f t="shared" ref="LP4:LQ4" si="91">0</f>
        <v>0</v>
      </c>
      <c r="LQ4" s="87">
        <f t="shared" si="91"/>
        <v>0</v>
      </c>
      <c r="LR4" s="86">
        <f t="shared" si="85"/>
        <v>0.76652516676773796</v>
      </c>
      <c r="LS4" s="84">
        <v>1</v>
      </c>
      <c r="LT4" s="87">
        <f>IF(F4=F3,0,1)</f>
        <v>0</v>
      </c>
      <c r="LU4" s="87">
        <f t="shared" ref="LU4:LU62" si="92">IF(LT4=1,1,LU3+1)</f>
        <v>2</v>
      </c>
      <c r="LV4" s="86">
        <f t="shared" si="86"/>
        <v>0.96</v>
      </c>
      <c r="LW4" s="88" t="s">
        <v>3807</v>
      </c>
      <c r="LX4" s="89" t="str">
        <f t="shared" si="87"/>
        <v>—</v>
      </c>
      <c r="LY4" s="88" t="str">
        <f t="shared" si="88"/>
        <v>Queda severa — trocar p/ inédito</v>
      </c>
      <c r="LZ4" s="5"/>
      <c r="MA4" s="67" t="str">
        <f t="shared" si="89"/>
        <v>CORINTHIANS</v>
      </c>
      <c r="MB4" s="89" t="s">
        <v>3808</v>
      </c>
    </row>
    <row r="5" spans="1:340" x14ac:dyDescent="0.2">
      <c r="A5" s="16">
        <v>0.75138888888888888</v>
      </c>
      <c r="B5" s="135">
        <f t="shared" si="0"/>
        <v>0.45712499999999989</v>
      </c>
      <c r="C5" s="136">
        <f t="shared" si="1"/>
        <v>-0.16871752802843842</v>
      </c>
      <c r="D5" s="17">
        <v>0.38</v>
      </c>
      <c r="E5" s="137">
        <f t="shared" si="2"/>
        <v>0.83128247197156158</v>
      </c>
      <c r="F5" s="17" t="s">
        <v>48</v>
      </c>
      <c r="G5" s="20" t="s">
        <v>176</v>
      </c>
      <c r="H5" s="21">
        <v>0.74</v>
      </c>
      <c r="I5" s="138">
        <f t="shared" si="3"/>
        <v>1.6188132348919884</v>
      </c>
      <c r="J5" s="21" t="s">
        <v>48</v>
      </c>
      <c r="K5" s="23" t="s">
        <v>177</v>
      </c>
      <c r="L5" s="17">
        <v>0.45</v>
      </c>
      <c r="M5" s="61">
        <f t="shared" si="4"/>
        <v>0.98441345365053345</v>
      </c>
      <c r="N5" s="17" t="s">
        <v>42</v>
      </c>
      <c r="O5" s="20" t="s">
        <v>178</v>
      </c>
      <c r="P5" s="21">
        <v>0.61</v>
      </c>
      <c r="Q5" s="98">
        <f t="shared" si="5"/>
        <v>1.3344271260596119</v>
      </c>
      <c r="R5" s="21" t="s">
        <v>179</v>
      </c>
      <c r="S5" s="23" t="s">
        <v>180</v>
      </c>
      <c r="T5" s="17">
        <v>0.39</v>
      </c>
      <c r="U5" s="127">
        <f t="shared" si="6"/>
        <v>0.85315832649712897</v>
      </c>
      <c r="V5" s="17" t="s">
        <v>70</v>
      </c>
      <c r="W5" s="5"/>
      <c r="X5" s="21">
        <v>0.53</v>
      </c>
      <c r="Y5" s="139">
        <f t="shared" si="7"/>
        <v>1.1594202898550727</v>
      </c>
      <c r="Z5" s="21" t="s">
        <v>49</v>
      </c>
      <c r="AA5" s="28"/>
      <c r="AB5" s="17">
        <v>0.64</v>
      </c>
      <c r="AC5" s="140">
        <f t="shared" si="8"/>
        <v>1.4000546896363142</v>
      </c>
      <c r="AD5" s="17" t="s">
        <v>42</v>
      </c>
      <c r="AE5" s="20" t="s">
        <v>181</v>
      </c>
      <c r="AF5" s="21">
        <v>0.19</v>
      </c>
      <c r="AG5" s="128">
        <f t="shared" si="9"/>
        <v>0.41564123598578079</v>
      </c>
      <c r="AH5" s="21" t="s">
        <v>70</v>
      </c>
      <c r="AI5" s="23" t="s">
        <v>182</v>
      </c>
      <c r="AJ5" s="17">
        <v>0.47</v>
      </c>
      <c r="AK5" s="141">
        <f t="shared" si="10"/>
        <v>1.0281651627016681</v>
      </c>
      <c r="AL5" s="17" t="s">
        <v>42</v>
      </c>
      <c r="AM5" s="20" t="s">
        <v>183</v>
      </c>
      <c r="AN5" s="21">
        <v>0.89</v>
      </c>
      <c r="AO5" s="142">
        <f t="shared" si="11"/>
        <v>1.9469510527754996</v>
      </c>
      <c r="AP5" s="21" t="s">
        <v>184</v>
      </c>
      <c r="AQ5" s="23" t="s">
        <v>185</v>
      </c>
      <c r="AR5" s="17">
        <v>0.54</v>
      </c>
      <c r="AS5" s="143">
        <f t="shared" si="12"/>
        <v>1.1812961443806402</v>
      </c>
      <c r="AT5" s="17" t="s">
        <v>46</v>
      </c>
      <c r="AU5" s="20" t="s">
        <v>186</v>
      </c>
      <c r="AV5" s="21">
        <v>0.64</v>
      </c>
      <c r="AW5" s="140">
        <f t="shared" si="13"/>
        <v>1.4000546896363142</v>
      </c>
      <c r="AX5" s="21" t="s">
        <v>46</v>
      </c>
      <c r="AY5" s="23" t="s">
        <v>187</v>
      </c>
      <c r="AZ5" s="17">
        <v>0.59</v>
      </c>
      <c r="BA5" s="124">
        <f t="shared" si="14"/>
        <v>1.2906754170084771</v>
      </c>
      <c r="BB5" s="17" t="s">
        <v>48</v>
      </c>
      <c r="BC5" s="20" t="s">
        <v>188</v>
      </c>
      <c r="BD5" s="17">
        <v>0.66</v>
      </c>
      <c r="BE5" s="144">
        <f t="shared" si="15"/>
        <v>1.4438063986874492</v>
      </c>
      <c r="BF5" s="17" t="s">
        <v>42</v>
      </c>
      <c r="BG5" s="20" t="s">
        <v>189</v>
      </c>
      <c r="BH5" s="37">
        <v>0.66</v>
      </c>
      <c r="BI5" s="144">
        <f t="shared" si="16"/>
        <v>1.4438063986874492</v>
      </c>
      <c r="BJ5" s="37" t="s">
        <v>42</v>
      </c>
      <c r="BK5" s="38" t="s">
        <v>190</v>
      </c>
      <c r="BL5" s="17">
        <v>0.53</v>
      </c>
      <c r="BM5" s="139">
        <f t="shared" si="17"/>
        <v>1.1594202898550727</v>
      </c>
      <c r="BN5" s="17" t="s">
        <v>48</v>
      </c>
      <c r="BO5" s="40"/>
      <c r="BP5" s="17">
        <v>0.64</v>
      </c>
      <c r="BQ5" s="140">
        <f t="shared" si="18"/>
        <v>1.4000546896363142</v>
      </c>
      <c r="BR5" s="17" t="s">
        <v>42</v>
      </c>
      <c r="BS5" s="41"/>
      <c r="BT5" s="37">
        <v>0.53</v>
      </c>
      <c r="BU5" s="139">
        <f t="shared" si="19"/>
        <v>1.1594202898550727</v>
      </c>
      <c r="BV5" s="21" t="s">
        <v>42</v>
      </c>
      <c r="BW5" s="23" t="s">
        <v>191</v>
      </c>
      <c r="BX5" s="17">
        <v>0.59</v>
      </c>
      <c r="BY5" s="124">
        <f t="shared" si="20"/>
        <v>1.2906754170084771</v>
      </c>
      <c r="BZ5" s="17" t="s">
        <v>42</v>
      </c>
      <c r="CA5" s="20" t="s">
        <v>192</v>
      </c>
      <c r="CB5" s="37">
        <v>0.39</v>
      </c>
      <c r="CC5" s="127">
        <f t="shared" si="21"/>
        <v>0.85315832649712897</v>
      </c>
      <c r="CD5" s="21" t="s">
        <v>66</v>
      </c>
      <c r="CE5" s="23" t="s">
        <v>193</v>
      </c>
      <c r="CF5" s="17">
        <v>0.34</v>
      </c>
      <c r="CG5" s="58">
        <f t="shared" si="22"/>
        <v>0.743779053869292</v>
      </c>
      <c r="CH5" s="17" t="s">
        <v>108</v>
      </c>
      <c r="CI5" s="41"/>
      <c r="CJ5" s="37">
        <v>0</v>
      </c>
      <c r="CK5" s="45">
        <f t="shared" si="23"/>
        <v>0</v>
      </c>
      <c r="CL5" s="21" t="s">
        <v>108</v>
      </c>
      <c r="CM5" s="28"/>
      <c r="CN5" s="17">
        <v>0.4</v>
      </c>
      <c r="CO5" s="145">
        <f t="shared" si="24"/>
        <v>0.87503418102269648</v>
      </c>
      <c r="CP5" s="17" t="s">
        <v>108</v>
      </c>
      <c r="CQ5" s="41"/>
      <c r="CR5" s="37">
        <v>0.51</v>
      </c>
      <c r="CS5" s="146">
        <f t="shared" si="25"/>
        <v>1.1156685808039379</v>
      </c>
      <c r="CT5" s="21" t="s">
        <v>66</v>
      </c>
      <c r="CU5" s="23" t="s">
        <v>194</v>
      </c>
      <c r="CV5" s="17">
        <v>0.27</v>
      </c>
      <c r="CW5" s="147">
        <f t="shared" si="26"/>
        <v>0.59064807219032012</v>
      </c>
      <c r="CX5" s="17" t="s">
        <v>108</v>
      </c>
      <c r="CY5" s="20" t="s">
        <v>195</v>
      </c>
      <c r="CZ5" s="37">
        <v>0.4</v>
      </c>
      <c r="DA5" s="145">
        <f t="shared" si="27"/>
        <v>0.87503418102269648</v>
      </c>
      <c r="DB5" s="21" t="s">
        <v>46</v>
      </c>
      <c r="DC5" s="23" t="s">
        <v>196</v>
      </c>
      <c r="DD5" s="17">
        <v>0.62</v>
      </c>
      <c r="DE5" s="148">
        <f t="shared" si="28"/>
        <v>1.3563029805851794</v>
      </c>
      <c r="DF5" s="17" t="s">
        <v>46</v>
      </c>
      <c r="DG5" s="20" t="s">
        <v>197</v>
      </c>
      <c r="DH5" s="37">
        <v>0.33</v>
      </c>
      <c r="DI5" s="149">
        <f t="shared" si="29"/>
        <v>0.7219031993437246</v>
      </c>
      <c r="DJ5" s="21" t="s">
        <v>48</v>
      </c>
      <c r="DK5" s="28"/>
      <c r="DL5" s="17">
        <v>0.2</v>
      </c>
      <c r="DM5" s="99">
        <f t="shared" si="30"/>
        <v>0.43751709051134824</v>
      </c>
      <c r="DN5" s="17" t="s">
        <v>70</v>
      </c>
      <c r="DO5" s="51" t="s">
        <v>198</v>
      </c>
      <c r="DP5" s="21">
        <v>0.65</v>
      </c>
      <c r="DQ5" s="150">
        <f t="shared" si="31"/>
        <v>1.4219305441618817</v>
      </c>
      <c r="DR5" s="53" t="s">
        <v>70</v>
      </c>
      <c r="DS5" s="54" t="s">
        <v>199</v>
      </c>
      <c r="DT5" s="53">
        <v>0.59</v>
      </c>
      <c r="DU5" s="124">
        <f t="shared" si="32"/>
        <v>1.2906754170084771</v>
      </c>
      <c r="DV5" s="56" t="s">
        <v>42</v>
      </c>
      <c r="DW5" s="57" t="s">
        <v>200</v>
      </c>
      <c r="DX5" s="53">
        <v>0.52</v>
      </c>
      <c r="DY5" s="151">
        <f t="shared" si="33"/>
        <v>1.1375444353295054</v>
      </c>
      <c r="DZ5" s="53" t="s">
        <v>42</v>
      </c>
      <c r="EA5" s="54" t="s">
        <v>200</v>
      </c>
      <c r="EB5" s="56">
        <v>0.53</v>
      </c>
      <c r="EC5" s="139">
        <f t="shared" si="34"/>
        <v>1.1594202898550727</v>
      </c>
      <c r="ED5" s="56" t="s">
        <v>42</v>
      </c>
      <c r="EE5" s="57" t="s">
        <v>201</v>
      </c>
      <c r="EF5" s="53">
        <v>0.44</v>
      </c>
      <c r="EG5" s="55">
        <f t="shared" si="35"/>
        <v>0.96253759912496606</v>
      </c>
      <c r="EH5" s="53" t="s">
        <v>46</v>
      </c>
      <c r="EI5" s="57" t="s">
        <v>202</v>
      </c>
      <c r="EJ5" s="53">
        <v>0.63</v>
      </c>
      <c r="EK5" s="152">
        <f t="shared" si="36"/>
        <v>1.3781788351107469</v>
      </c>
      <c r="EL5" s="56" t="s">
        <v>48</v>
      </c>
      <c r="EM5" s="57" t="s">
        <v>203</v>
      </c>
      <c r="EN5" s="53">
        <v>0.64</v>
      </c>
      <c r="EO5" s="140">
        <f t="shared" si="37"/>
        <v>1.4000546896363142</v>
      </c>
      <c r="EP5" s="53" t="s">
        <v>48</v>
      </c>
      <c r="EQ5" s="23" t="s">
        <v>204</v>
      </c>
      <c r="ER5" s="53">
        <v>0.52</v>
      </c>
      <c r="ES5" s="151">
        <f t="shared" si="38"/>
        <v>1.1375444353295054</v>
      </c>
      <c r="ET5" s="53" t="s">
        <v>48</v>
      </c>
      <c r="EU5" s="20" t="s">
        <v>205</v>
      </c>
      <c r="EV5" s="53">
        <v>0.62</v>
      </c>
      <c r="EW5" s="148">
        <f t="shared" si="39"/>
        <v>1.3563029805851794</v>
      </c>
      <c r="EX5" s="21" t="s">
        <v>48</v>
      </c>
      <c r="EY5" s="57" t="s">
        <v>206</v>
      </c>
      <c r="EZ5" s="53">
        <v>0.27</v>
      </c>
      <c r="FA5" s="147">
        <f t="shared" si="40"/>
        <v>0.59064807219032012</v>
      </c>
      <c r="FB5" s="40"/>
      <c r="FC5" s="40"/>
      <c r="FD5" s="53">
        <v>0.48</v>
      </c>
      <c r="FE5" s="153">
        <f t="shared" si="41"/>
        <v>1.0500410172272356</v>
      </c>
      <c r="FF5" s="21" t="s">
        <v>48</v>
      </c>
      <c r="FG5" s="64"/>
      <c r="FH5" s="17">
        <v>0.78</v>
      </c>
      <c r="FI5" s="59">
        <f t="shared" si="42"/>
        <v>1.7063166529942579</v>
      </c>
      <c r="FJ5" s="17" t="s">
        <v>42</v>
      </c>
      <c r="FK5" s="51" t="s">
        <v>207</v>
      </c>
      <c r="FL5" s="17">
        <v>0.47</v>
      </c>
      <c r="FM5" s="141">
        <f t="shared" si="43"/>
        <v>1.0281651627016681</v>
      </c>
      <c r="FN5" s="21" t="s">
        <v>46</v>
      </c>
      <c r="FO5" s="51" t="s">
        <v>208</v>
      </c>
      <c r="FP5" s="17">
        <v>0.32</v>
      </c>
      <c r="FQ5" s="154">
        <f t="shared" si="44"/>
        <v>0.70002734481815709</v>
      </c>
      <c r="FR5" s="17" t="s">
        <v>48</v>
      </c>
      <c r="FS5" s="51" t="s">
        <v>209</v>
      </c>
      <c r="FT5" s="17">
        <v>0.43</v>
      </c>
      <c r="FU5" s="155">
        <f t="shared" si="45"/>
        <v>0.94066174459939866</v>
      </c>
      <c r="FV5" s="17" t="s">
        <v>42</v>
      </c>
      <c r="FW5" s="51" t="s">
        <v>210</v>
      </c>
      <c r="FX5" s="17">
        <v>0.79</v>
      </c>
      <c r="FY5" s="156">
        <f t="shared" si="46"/>
        <v>1.7281925075198254</v>
      </c>
      <c r="FZ5" s="17" t="s">
        <v>42</v>
      </c>
      <c r="GA5" s="51" t="s">
        <v>211</v>
      </c>
      <c r="GB5" s="53">
        <v>0.28000000000000003</v>
      </c>
      <c r="GC5" s="157">
        <f t="shared" si="47"/>
        <v>0.61252392671588751</v>
      </c>
      <c r="GD5" s="21" t="s">
        <v>46</v>
      </c>
      <c r="GE5" s="63"/>
      <c r="GF5" s="17">
        <v>0.44</v>
      </c>
      <c r="GG5" s="55">
        <f t="shared" si="48"/>
        <v>0.96253759912496606</v>
      </c>
      <c r="GH5" s="17" t="s">
        <v>70</v>
      </c>
      <c r="GI5" s="51" t="s">
        <v>212</v>
      </c>
      <c r="GJ5" s="17">
        <v>0.56000000000000005</v>
      </c>
      <c r="GK5" s="48">
        <f t="shared" si="49"/>
        <v>1.225047853431775</v>
      </c>
      <c r="GL5" s="17" t="s">
        <v>42</v>
      </c>
      <c r="GM5" s="67" t="s">
        <v>213</v>
      </c>
      <c r="GN5" s="17">
        <v>0.34</v>
      </c>
      <c r="GO5" s="58">
        <f t="shared" si="50"/>
        <v>0.743779053869292</v>
      </c>
      <c r="GP5" s="40"/>
      <c r="GQ5" s="51" t="s">
        <v>214</v>
      </c>
      <c r="GR5" s="17">
        <v>0.14000000000000001</v>
      </c>
      <c r="GS5" s="158">
        <f t="shared" si="51"/>
        <v>0.30626196335794376</v>
      </c>
      <c r="GT5" s="17" t="s">
        <v>46</v>
      </c>
      <c r="GU5" s="51" t="s">
        <v>215</v>
      </c>
      <c r="GV5" s="17">
        <v>0.79</v>
      </c>
      <c r="GW5" s="156">
        <f t="shared" si="52"/>
        <v>1.7281925075198254</v>
      </c>
      <c r="GX5" s="17" t="s">
        <v>42</v>
      </c>
      <c r="GY5" s="67" t="s">
        <v>216</v>
      </c>
      <c r="GZ5" s="17">
        <v>0.66</v>
      </c>
      <c r="HA5" s="144">
        <f t="shared" si="53"/>
        <v>1.4438063986874492</v>
      </c>
      <c r="HB5" s="17" t="s">
        <v>46</v>
      </c>
      <c r="HC5" s="20" t="s">
        <v>217</v>
      </c>
      <c r="HD5" s="17">
        <v>0.37</v>
      </c>
      <c r="HE5" s="159">
        <f t="shared" si="54"/>
        <v>0.80940661744599418</v>
      </c>
      <c r="HF5" s="17" t="s">
        <v>48</v>
      </c>
      <c r="HG5" s="20" t="s">
        <v>218</v>
      </c>
      <c r="HH5" s="17">
        <v>0.42</v>
      </c>
      <c r="HI5" s="110">
        <f t="shared" si="55"/>
        <v>0.91878589007383116</v>
      </c>
      <c r="HJ5" s="17" t="s">
        <v>46</v>
      </c>
      <c r="HK5" s="20" t="s">
        <v>219</v>
      </c>
      <c r="HL5" s="17">
        <v>0.49</v>
      </c>
      <c r="HM5" s="160">
        <f t="shared" si="56"/>
        <v>1.0719168717528031</v>
      </c>
      <c r="HN5" s="17" t="s">
        <v>46</v>
      </c>
      <c r="HO5" s="20" t="s">
        <v>220</v>
      </c>
      <c r="HP5" s="17">
        <v>0.18</v>
      </c>
      <c r="HQ5" s="161">
        <f t="shared" si="57"/>
        <v>0.39376538146021339</v>
      </c>
      <c r="HR5" s="17" t="s">
        <v>46</v>
      </c>
      <c r="HS5" s="73" t="s">
        <v>221</v>
      </c>
      <c r="HT5" s="17">
        <v>0.31</v>
      </c>
      <c r="HU5" s="162">
        <f t="shared" si="58"/>
        <v>0.6781514902925897</v>
      </c>
      <c r="HV5" s="17" t="s">
        <v>42</v>
      </c>
      <c r="HW5" s="75" t="s">
        <v>222</v>
      </c>
      <c r="HX5" s="17">
        <v>0.47</v>
      </c>
      <c r="HY5" s="141">
        <f t="shared" si="59"/>
        <v>1.0281651627016681</v>
      </c>
      <c r="HZ5" s="21" t="s">
        <v>70</v>
      </c>
      <c r="IA5" s="75" t="s">
        <v>223</v>
      </c>
      <c r="IB5" s="17">
        <v>0.27</v>
      </c>
      <c r="IC5" s="147">
        <f t="shared" si="60"/>
        <v>0.59064807219032012</v>
      </c>
      <c r="ID5" s="17" t="s">
        <v>48</v>
      </c>
      <c r="IE5" s="51" t="s">
        <v>224</v>
      </c>
      <c r="IF5" s="17">
        <v>0.3</v>
      </c>
      <c r="IG5" s="163">
        <f t="shared" si="61"/>
        <v>0.6562756357670223</v>
      </c>
      <c r="IH5" s="17" t="s">
        <v>48</v>
      </c>
      <c r="II5" s="67" t="s">
        <v>225</v>
      </c>
      <c r="IJ5" s="17">
        <v>0.33</v>
      </c>
      <c r="IK5" s="149">
        <f t="shared" si="62"/>
        <v>0.7219031993437246</v>
      </c>
      <c r="IL5" s="17" t="s">
        <v>48</v>
      </c>
      <c r="IM5" s="51" t="s">
        <v>226</v>
      </c>
      <c r="IN5" s="164">
        <v>0.56000000000000005</v>
      </c>
      <c r="IO5" s="48">
        <f t="shared" si="63"/>
        <v>1.225047853431775</v>
      </c>
      <c r="IP5" s="17" t="s">
        <v>42</v>
      </c>
      <c r="IQ5" s="40"/>
      <c r="IR5" s="17">
        <v>0.44</v>
      </c>
      <c r="IS5" s="55">
        <f t="shared" si="64"/>
        <v>0.96253759912496606</v>
      </c>
      <c r="IT5" s="17" t="s">
        <v>70</v>
      </c>
      <c r="IU5" s="40"/>
      <c r="IV5" s="17">
        <v>0.21</v>
      </c>
      <c r="IW5" s="113">
        <f t="shared" si="65"/>
        <v>0.45939294503691558</v>
      </c>
      <c r="IX5" s="17" t="s">
        <v>66</v>
      </c>
      <c r="IY5" s="40"/>
      <c r="IZ5" s="17">
        <v>0.26</v>
      </c>
      <c r="JA5" s="165">
        <f t="shared" si="66"/>
        <v>0.56877221766475272</v>
      </c>
      <c r="JB5" s="17" t="s">
        <v>48</v>
      </c>
      <c r="JC5" s="51" t="s">
        <v>227</v>
      </c>
      <c r="JD5" s="17">
        <v>0.27</v>
      </c>
      <c r="JE5" s="147">
        <f t="shared" si="67"/>
        <v>0.59064807219032012</v>
      </c>
      <c r="JF5" s="17" t="s">
        <v>48</v>
      </c>
      <c r="JG5" s="51" t="s">
        <v>228</v>
      </c>
      <c r="JH5" s="17">
        <v>0.25</v>
      </c>
      <c r="JI5" s="166">
        <f t="shared" si="68"/>
        <v>0.54689636313918522</v>
      </c>
      <c r="JJ5" s="17" t="s">
        <v>48</v>
      </c>
      <c r="JK5" s="40"/>
      <c r="JL5" s="21">
        <v>0.25</v>
      </c>
      <c r="JM5" s="166">
        <f t="shared" si="69"/>
        <v>0.54689636313918522</v>
      </c>
      <c r="JN5" s="21" t="s">
        <v>42</v>
      </c>
      <c r="JO5" s="63"/>
      <c r="JP5" s="21">
        <v>0.53</v>
      </c>
      <c r="JQ5" s="139">
        <f t="shared" si="70"/>
        <v>1.1594202898550727</v>
      </c>
      <c r="JR5" s="21" t="s">
        <v>48</v>
      </c>
      <c r="JS5" s="40"/>
      <c r="JT5" s="21">
        <v>0.39</v>
      </c>
      <c r="JU5" s="127">
        <f t="shared" si="71"/>
        <v>0.85315832649712897</v>
      </c>
      <c r="JV5" s="21" t="s">
        <v>48</v>
      </c>
      <c r="JW5" s="75" t="s">
        <v>229</v>
      </c>
      <c r="JX5" s="17">
        <v>0.82</v>
      </c>
      <c r="JY5" s="167">
        <f t="shared" si="72"/>
        <v>1.7938200710965275</v>
      </c>
      <c r="JZ5" s="51" t="s">
        <v>42</v>
      </c>
      <c r="KA5" s="51" t="s">
        <v>230</v>
      </c>
      <c r="KB5" s="21">
        <v>0.73</v>
      </c>
      <c r="KC5" s="168">
        <f t="shared" si="73"/>
        <v>1.5969373803664209</v>
      </c>
      <c r="KD5" s="75" t="s">
        <v>46</v>
      </c>
      <c r="KE5" s="75" t="s">
        <v>231</v>
      </c>
      <c r="KF5" s="17">
        <v>0.38</v>
      </c>
      <c r="KG5" s="137">
        <f t="shared" si="74"/>
        <v>0.83128247197156158</v>
      </c>
      <c r="KH5" s="51" t="s">
        <v>70</v>
      </c>
      <c r="KI5" s="51" t="s">
        <v>232</v>
      </c>
      <c r="KJ5" s="21">
        <v>0.37</v>
      </c>
      <c r="KK5" s="159">
        <f t="shared" si="75"/>
        <v>0.80940661744599418</v>
      </c>
      <c r="KL5" s="75" t="s">
        <v>108</v>
      </c>
      <c r="KM5" s="63"/>
      <c r="KN5" s="17">
        <v>0.3</v>
      </c>
      <c r="KO5" s="163">
        <f t="shared" si="76"/>
        <v>0.6562756357670223</v>
      </c>
      <c r="KP5" s="51" t="s">
        <v>108</v>
      </c>
      <c r="KQ5" s="40"/>
      <c r="KR5" s="21">
        <v>0.2</v>
      </c>
      <c r="KS5" s="99">
        <f t="shared" si="77"/>
        <v>0.43751709051134824</v>
      </c>
      <c r="KT5" s="75" t="s">
        <v>46</v>
      </c>
      <c r="KU5" s="75" t="s">
        <v>233</v>
      </c>
      <c r="KV5" s="82">
        <v>0.68</v>
      </c>
      <c r="KW5" s="169">
        <f t="shared" si="78"/>
        <v>1.487558107738584</v>
      </c>
      <c r="KX5" s="51" t="s">
        <v>42</v>
      </c>
      <c r="KY5" s="51" t="s">
        <v>234</v>
      </c>
      <c r="KZ5" s="83">
        <v>0.4</v>
      </c>
      <c r="LA5" s="145">
        <f t="shared" si="79"/>
        <v>0.87503418102269648</v>
      </c>
      <c r="LB5" s="75" t="s">
        <v>108</v>
      </c>
      <c r="LC5" s="63"/>
      <c r="LD5" s="82">
        <v>0.26</v>
      </c>
      <c r="LE5" s="165">
        <f t="shared" si="80"/>
        <v>0.56877221766475272</v>
      </c>
      <c r="LF5" s="51" t="s">
        <v>108</v>
      </c>
      <c r="LG5" s="40"/>
      <c r="LH5" s="83">
        <v>0.11</v>
      </c>
      <c r="LI5" s="84"/>
      <c r="LJ5" s="85"/>
      <c r="LK5" s="85"/>
      <c r="LL5" s="86">
        <f t="shared" si="81"/>
        <v>0.45810126582278471</v>
      </c>
      <c r="LM5" s="86">
        <f t="shared" si="82"/>
        <v>0.82951091461729776</v>
      </c>
      <c r="LN5" s="86">
        <f t="shared" si="90"/>
        <v>0.75006467276285904</v>
      </c>
      <c r="LO5" s="86">
        <f t="shared" si="83"/>
        <v>0.75006467276285904</v>
      </c>
      <c r="LP5" s="86">
        <f t="shared" ref="LP5:LQ5" si="93">0</f>
        <v>0</v>
      </c>
      <c r="LQ5" s="87">
        <f t="shared" si="93"/>
        <v>0</v>
      </c>
      <c r="LR5" s="86">
        <f t="shared" si="85"/>
        <v>0.75006467276285904</v>
      </c>
      <c r="LS5" s="86">
        <f>IFERROR(VLOOKUP(#REF!,'[1]GE - Média por Minuto TEMA'!$A:$F,6,0),1)</f>
        <v>1</v>
      </c>
      <c r="LT5" s="170" t="e">
        <f>IF(#REF!=F4,0,1)</f>
        <v>#REF!</v>
      </c>
      <c r="LU5" s="170" t="e">
        <f t="shared" si="92"/>
        <v>#REF!</v>
      </c>
      <c r="LV5" s="171" t="e">
        <f>IF(#REF!="",1,IF(LU5&lt;=1,MAX(0.92,LS5*0.92),IF(LU5&lt;=3,MAX(0.96,LS5*0.96),LS5)))</f>
        <v>#REF!</v>
      </c>
      <c r="LW5" s="88" t="str">
        <f>IF(LM5="","",IF(LM5&lt;0.9,"🔴 TROCAR",IF(AND(#REF!&lt;&gt;"",LU5&lt;=IFERROR(VLOOKUP(#REF!,[2]Calibragem!$AA$2:$AF$50,3,0),5)),"🟢 +" &amp; (IFERROR(VLOOKUP(#REF!,[2]Calibragem!$AA$2:$AF$50,3,0),5)-LU5),"🟢 OK")))</f>
        <v>🔴 TROCAR</v>
      </c>
      <c r="LX5" s="89" t="str">
        <f t="shared" si="87"/>
        <v>—</v>
      </c>
      <c r="LY5" s="88" t="str">
        <f t="shared" si="88"/>
        <v>Queda severa — trocar p/ inédito</v>
      </c>
      <c r="LZ5" s="5"/>
      <c r="MA5" s="89" t="e">
        <f>IF(#REF!="","",#REF!)</f>
        <v>#REF!</v>
      </c>
      <c r="MB5" s="89" t="s">
        <v>3808</v>
      </c>
    </row>
    <row r="6" spans="1:340" x14ac:dyDescent="0.2">
      <c r="A6" s="16">
        <v>0.75208333333333333</v>
      </c>
      <c r="B6" s="172">
        <f t="shared" si="0"/>
        <v>0.48224999999999996</v>
      </c>
      <c r="C6" s="173">
        <f t="shared" si="1"/>
        <v>-0.21202695697252449</v>
      </c>
      <c r="D6" s="17">
        <v>0.38</v>
      </c>
      <c r="E6" s="174">
        <f t="shared" si="2"/>
        <v>0.78797304302747551</v>
      </c>
      <c r="F6" s="17" t="s">
        <v>48</v>
      </c>
      <c r="G6" s="20" t="s">
        <v>235</v>
      </c>
      <c r="H6" s="21">
        <v>0.86</v>
      </c>
      <c r="I6" s="175">
        <f t="shared" si="3"/>
        <v>1.7833074131674445</v>
      </c>
      <c r="J6" s="21" t="s">
        <v>48</v>
      </c>
      <c r="K6" s="23" t="s">
        <v>236</v>
      </c>
      <c r="L6" s="17">
        <v>0.39</v>
      </c>
      <c r="M6" s="159">
        <f t="shared" si="4"/>
        <v>0.80870917573872481</v>
      </c>
      <c r="N6" s="17" t="s">
        <v>42</v>
      </c>
      <c r="O6" s="20" t="s">
        <v>237</v>
      </c>
      <c r="P6" s="21">
        <v>0.61</v>
      </c>
      <c r="Q6" s="95">
        <f t="shared" si="5"/>
        <v>1.2649040953862105</v>
      </c>
      <c r="R6" s="21" t="s">
        <v>46</v>
      </c>
      <c r="S6" s="23" t="s">
        <v>238</v>
      </c>
      <c r="T6" s="17">
        <v>0.39</v>
      </c>
      <c r="U6" s="159">
        <f t="shared" si="6"/>
        <v>0.80870917573872481</v>
      </c>
      <c r="V6" s="17" t="s">
        <v>48</v>
      </c>
      <c r="W6" s="5"/>
      <c r="X6" s="21">
        <v>0.52</v>
      </c>
      <c r="Y6" s="176">
        <f t="shared" si="7"/>
        <v>1.0782789009849665</v>
      </c>
      <c r="Z6" s="21" t="s">
        <v>49</v>
      </c>
      <c r="AA6" s="28"/>
      <c r="AB6" s="17">
        <v>0.7</v>
      </c>
      <c r="AC6" s="177">
        <f t="shared" si="8"/>
        <v>1.4515292897874548</v>
      </c>
      <c r="AD6" s="17" t="s">
        <v>42</v>
      </c>
      <c r="AE6" s="20" t="s">
        <v>239</v>
      </c>
      <c r="AF6" s="21">
        <v>0.32</v>
      </c>
      <c r="AG6" s="178">
        <f t="shared" si="9"/>
        <v>0.66355624675997937</v>
      </c>
      <c r="AH6" s="21" t="s">
        <v>42</v>
      </c>
      <c r="AI6" s="23" t="s">
        <v>240</v>
      </c>
      <c r="AJ6" s="17">
        <v>0.67</v>
      </c>
      <c r="AK6" s="179">
        <f t="shared" si="10"/>
        <v>1.3893208916537068</v>
      </c>
      <c r="AL6" s="17" t="s">
        <v>42</v>
      </c>
      <c r="AM6" s="20" t="s">
        <v>241</v>
      </c>
      <c r="AN6" s="21">
        <v>0.89</v>
      </c>
      <c r="AO6" s="180">
        <f t="shared" si="11"/>
        <v>1.8455158113011925</v>
      </c>
      <c r="AP6" s="21" t="s">
        <v>184</v>
      </c>
      <c r="AQ6" s="23" t="s">
        <v>242</v>
      </c>
      <c r="AR6" s="17">
        <v>0.6</v>
      </c>
      <c r="AS6" s="181">
        <f t="shared" si="12"/>
        <v>1.2441679626749611</v>
      </c>
      <c r="AT6" s="17" t="s">
        <v>42</v>
      </c>
      <c r="AU6" s="20" t="s">
        <v>243</v>
      </c>
      <c r="AV6" s="21">
        <v>0.7</v>
      </c>
      <c r="AW6" s="177">
        <f t="shared" si="13"/>
        <v>1.4515292897874548</v>
      </c>
      <c r="AX6" s="21" t="s">
        <v>42</v>
      </c>
      <c r="AY6" s="23" t="s">
        <v>244</v>
      </c>
      <c r="AZ6" s="17">
        <v>0.59</v>
      </c>
      <c r="BA6" s="48">
        <f t="shared" si="14"/>
        <v>1.2234318299637119</v>
      </c>
      <c r="BB6" s="17" t="s">
        <v>48</v>
      </c>
      <c r="BC6" s="20" t="s">
        <v>245</v>
      </c>
      <c r="BD6" s="17">
        <v>0.64</v>
      </c>
      <c r="BE6" s="182">
        <f t="shared" si="15"/>
        <v>1.3271124935199587</v>
      </c>
      <c r="BF6" s="17" t="s">
        <v>42</v>
      </c>
      <c r="BG6" s="20" t="s">
        <v>246</v>
      </c>
      <c r="BH6" s="37">
        <v>0.72</v>
      </c>
      <c r="BI6" s="114">
        <f t="shared" si="16"/>
        <v>1.4930015552099534</v>
      </c>
      <c r="BJ6" s="37" t="s">
        <v>42</v>
      </c>
      <c r="BK6" s="38" t="s">
        <v>247</v>
      </c>
      <c r="BL6" s="17">
        <v>0.53</v>
      </c>
      <c r="BM6" s="183">
        <f t="shared" si="17"/>
        <v>1.0990150336962159</v>
      </c>
      <c r="BN6" s="17" t="s">
        <v>48</v>
      </c>
      <c r="BO6" s="40"/>
      <c r="BP6" s="17">
        <v>0.64</v>
      </c>
      <c r="BQ6" s="182">
        <f t="shared" si="18"/>
        <v>1.3271124935199587</v>
      </c>
      <c r="BR6" s="40"/>
      <c r="BS6" s="41"/>
      <c r="BT6" s="37">
        <v>0.57999999999999996</v>
      </c>
      <c r="BU6" s="81">
        <f t="shared" si="19"/>
        <v>1.2026956972524625</v>
      </c>
      <c r="BV6" s="21" t="s">
        <v>42</v>
      </c>
      <c r="BW6" s="23" t="s">
        <v>248</v>
      </c>
      <c r="BX6" s="17">
        <v>0.53</v>
      </c>
      <c r="BY6" s="183">
        <f t="shared" si="20"/>
        <v>1.0990150336962159</v>
      </c>
      <c r="BZ6" s="17" t="s">
        <v>42</v>
      </c>
      <c r="CA6" s="20" t="s">
        <v>249</v>
      </c>
      <c r="CB6" s="37">
        <v>0.39</v>
      </c>
      <c r="CC6" s="159">
        <f t="shared" si="21"/>
        <v>0.80870917573872481</v>
      </c>
      <c r="CD6" s="21" t="s">
        <v>42</v>
      </c>
      <c r="CE6" s="23" t="s">
        <v>250</v>
      </c>
      <c r="CF6" s="17">
        <v>0.28000000000000003</v>
      </c>
      <c r="CG6" s="184">
        <f t="shared" si="22"/>
        <v>0.58061171591498195</v>
      </c>
      <c r="CH6" s="17" t="s">
        <v>108</v>
      </c>
      <c r="CI6" s="41"/>
      <c r="CJ6" s="37">
        <v>0.12</v>
      </c>
      <c r="CK6" s="185">
        <f t="shared" si="23"/>
        <v>0.24883359253499224</v>
      </c>
      <c r="CL6" s="21" t="s">
        <v>108</v>
      </c>
      <c r="CM6" s="28"/>
      <c r="CN6" s="17">
        <v>0.47</v>
      </c>
      <c r="CO6" s="186">
        <f t="shared" si="24"/>
        <v>0.97459823742871954</v>
      </c>
      <c r="CP6" s="17" t="s">
        <v>108</v>
      </c>
      <c r="CQ6" s="41"/>
      <c r="CR6" s="37">
        <v>0.51</v>
      </c>
      <c r="CS6" s="97">
        <f t="shared" si="25"/>
        <v>1.0575427682737171</v>
      </c>
      <c r="CT6" s="21" t="s">
        <v>108</v>
      </c>
      <c r="CU6" s="28"/>
      <c r="CV6" s="17">
        <v>0.27</v>
      </c>
      <c r="CW6" s="187">
        <f t="shared" si="26"/>
        <v>0.55987558320373254</v>
      </c>
      <c r="CX6" s="17" t="s">
        <v>108</v>
      </c>
      <c r="CY6" s="20" t="s">
        <v>251</v>
      </c>
      <c r="CZ6" s="37">
        <v>0.4</v>
      </c>
      <c r="DA6" s="137">
        <f t="shared" si="27"/>
        <v>0.82944530844997422</v>
      </c>
      <c r="DB6" s="21" t="s">
        <v>48</v>
      </c>
      <c r="DC6" s="23" t="s">
        <v>252</v>
      </c>
      <c r="DD6" s="17">
        <v>0.64</v>
      </c>
      <c r="DE6" s="182">
        <f t="shared" si="28"/>
        <v>1.3271124935199587</v>
      </c>
      <c r="DF6" s="17" t="s">
        <v>48</v>
      </c>
      <c r="DG6" s="20" t="s">
        <v>197</v>
      </c>
      <c r="DH6" s="37">
        <v>0.33</v>
      </c>
      <c r="DI6" s="188">
        <f t="shared" si="29"/>
        <v>0.68429237947122867</v>
      </c>
      <c r="DJ6" s="21" t="s">
        <v>48</v>
      </c>
      <c r="DK6" s="28"/>
      <c r="DL6" s="17">
        <v>0.26</v>
      </c>
      <c r="DM6" s="189">
        <f t="shared" si="30"/>
        <v>0.53913945049248324</v>
      </c>
      <c r="DN6" s="17" t="s">
        <v>70</v>
      </c>
      <c r="DO6" s="51" t="s">
        <v>198</v>
      </c>
      <c r="DP6" s="21">
        <v>0.79</v>
      </c>
      <c r="DQ6" s="190">
        <f t="shared" si="31"/>
        <v>1.638154484188699</v>
      </c>
      <c r="DR6" s="53" t="s">
        <v>70</v>
      </c>
      <c r="DS6" s="54" t="s">
        <v>253</v>
      </c>
      <c r="DT6" s="53">
        <v>0.61</v>
      </c>
      <c r="DU6" s="95">
        <f t="shared" si="32"/>
        <v>1.2649040953862105</v>
      </c>
      <c r="DV6" s="56" t="s">
        <v>48</v>
      </c>
      <c r="DW6" s="57" t="s">
        <v>254</v>
      </c>
      <c r="DX6" s="53">
        <v>0.45</v>
      </c>
      <c r="DY6" s="191">
        <f t="shared" si="33"/>
        <v>0.93312597200622094</v>
      </c>
      <c r="DZ6" s="53" t="s">
        <v>42</v>
      </c>
      <c r="EA6" s="54" t="s">
        <v>254</v>
      </c>
      <c r="EB6" s="56">
        <v>0.53</v>
      </c>
      <c r="EC6" s="183">
        <f t="shared" si="34"/>
        <v>1.0990150336962159</v>
      </c>
      <c r="ED6" s="56" t="s">
        <v>42</v>
      </c>
      <c r="EE6" s="57" t="s">
        <v>201</v>
      </c>
      <c r="EF6" s="53">
        <v>0.51</v>
      </c>
      <c r="EG6" s="97">
        <f t="shared" si="35"/>
        <v>1.0575427682737171</v>
      </c>
      <c r="EH6" s="53" t="s">
        <v>46</v>
      </c>
      <c r="EI6" s="57" t="s">
        <v>255</v>
      </c>
      <c r="EJ6" s="53">
        <v>0.7</v>
      </c>
      <c r="EK6" s="177">
        <f t="shared" si="36"/>
        <v>1.4515292897874548</v>
      </c>
      <c r="EL6" s="56" t="s">
        <v>48</v>
      </c>
      <c r="EM6" s="57" t="s">
        <v>256</v>
      </c>
      <c r="EN6" s="53">
        <v>0.59</v>
      </c>
      <c r="EO6" s="48">
        <f t="shared" si="37"/>
        <v>1.2234318299637119</v>
      </c>
      <c r="EP6" s="53" t="s">
        <v>48</v>
      </c>
      <c r="EQ6" s="23" t="s">
        <v>257</v>
      </c>
      <c r="ER6" s="53">
        <v>0.52</v>
      </c>
      <c r="ES6" s="176">
        <f t="shared" si="38"/>
        <v>1.0782789009849665</v>
      </c>
      <c r="ET6" s="53" t="s">
        <v>48</v>
      </c>
      <c r="EU6" s="20" t="s">
        <v>258</v>
      </c>
      <c r="EV6" s="53">
        <v>0.73</v>
      </c>
      <c r="EW6" s="60">
        <f t="shared" si="39"/>
        <v>1.5137376879212028</v>
      </c>
      <c r="EX6" s="21" t="s">
        <v>48</v>
      </c>
      <c r="EY6" s="57" t="s">
        <v>259</v>
      </c>
      <c r="EZ6" s="53">
        <v>0.33</v>
      </c>
      <c r="FA6" s="188">
        <f t="shared" si="40"/>
        <v>0.68429237947122867</v>
      </c>
      <c r="FB6" s="40"/>
      <c r="FC6" s="40"/>
      <c r="FD6" s="53">
        <v>0.54</v>
      </c>
      <c r="FE6" s="192">
        <f t="shared" si="41"/>
        <v>1.1197511664074651</v>
      </c>
      <c r="FF6" s="21" t="s">
        <v>48</v>
      </c>
      <c r="FG6" s="64"/>
      <c r="FH6" s="17">
        <v>0.78</v>
      </c>
      <c r="FI6" s="193">
        <f t="shared" si="42"/>
        <v>1.6174183514774496</v>
      </c>
      <c r="FJ6" s="17" t="s">
        <v>42</v>
      </c>
      <c r="FK6" s="51" t="s">
        <v>260</v>
      </c>
      <c r="FL6" s="17">
        <v>0.46</v>
      </c>
      <c r="FM6" s="194">
        <f t="shared" si="43"/>
        <v>0.95386210471747035</v>
      </c>
      <c r="FN6" s="21" t="s">
        <v>48</v>
      </c>
      <c r="FO6" s="51" t="s">
        <v>261</v>
      </c>
      <c r="FP6" s="17">
        <v>0.38</v>
      </c>
      <c r="FQ6" s="174">
        <f t="shared" si="44"/>
        <v>0.78797304302747551</v>
      </c>
      <c r="FR6" s="17" t="s">
        <v>48</v>
      </c>
      <c r="FS6" s="51" t="s">
        <v>262</v>
      </c>
      <c r="FT6" s="17">
        <v>0.55000000000000004</v>
      </c>
      <c r="FU6" s="195">
        <f t="shared" si="45"/>
        <v>1.1404872991187145</v>
      </c>
      <c r="FV6" s="17" t="s">
        <v>48</v>
      </c>
      <c r="FW6" s="51" t="s">
        <v>263</v>
      </c>
      <c r="FX6" s="17">
        <v>0.92</v>
      </c>
      <c r="FY6" s="196">
        <f t="shared" si="46"/>
        <v>1.9077242094349407</v>
      </c>
      <c r="FZ6" s="17" t="s">
        <v>42</v>
      </c>
      <c r="GA6" s="51" t="s">
        <v>264</v>
      </c>
      <c r="GB6" s="53">
        <v>0.33</v>
      </c>
      <c r="GC6" s="188">
        <f t="shared" si="47"/>
        <v>0.68429237947122867</v>
      </c>
      <c r="GD6" s="21" t="s">
        <v>108</v>
      </c>
      <c r="GE6" s="63"/>
      <c r="GF6" s="17">
        <v>0.44</v>
      </c>
      <c r="GG6" s="80">
        <f t="shared" si="48"/>
        <v>0.91238983929497153</v>
      </c>
      <c r="GH6" s="17" t="s">
        <v>42</v>
      </c>
      <c r="GI6" s="51" t="s">
        <v>265</v>
      </c>
      <c r="GJ6" s="17">
        <v>0.69</v>
      </c>
      <c r="GK6" s="197">
        <f t="shared" si="49"/>
        <v>1.4307931570762054</v>
      </c>
      <c r="GL6" s="17" t="s">
        <v>42</v>
      </c>
      <c r="GM6" s="67" t="s">
        <v>213</v>
      </c>
      <c r="GN6" s="17">
        <v>0.34</v>
      </c>
      <c r="GO6" s="198">
        <f t="shared" si="50"/>
        <v>0.70502851218247808</v>
      </c>
      <c r="GP6" s="17" t="s">
        <v>46</v>
      </c>
      <c r="GQ6" s="51" t="s">
        <v>266</v>
      </c>
      <c r="GR6" s="17">
        <v>0.2</v>
      </c>
      <c r="GS6" s="128">
        <f t="shared" si="51"/>
        <v>0.41472265422498711</v>
      </c>
      <c r="GT6" s="17" t="s">
        <v>42</v>
      </c>
      <c r="GU6" s="51" t="s">
        <v>267</v>
      </c>
      <c r="GV6" s="17">
        <v>0.79</v>
      </c>
      <c r="GW6" s="190">
        <f t="shared" si="52"/>
        <v>1.638154484188699</v>
      </c>
      <c r="GX6" s="17" t="s">
        <v>48</v>
      </c>
      <c r="GY6" s="67" t="s">
        <v>268</v>
      </c>
      <c r="GZ6" s="17">
        <v>0.6</v>
      </c>
      <c r="HA6" s="181">
        <f t="shared" si="53"/>
        <v>1.2441679626749611</v>
      </c>
      <c r="HB6" s="17" t="s">
        <v>48</v>
      </c>
      <c r="HC6" s="20" t="s">
        <v>269</v>
      </c>
      <c r="HD6" s="17">
        <v>0.43</v>
      </c>
      <c r="HE6" s="199">
        <f t="shared" si="54"/>
        <v>0.89165370658372223</v>
      </c>
      <c r="HF6" s="17" t="s">
        <v>42</v>
      </c>
      <c r="HG6" s="20" t="s">
        <v>270</v>
      </c>
      <c r="HH6" s="17">
        <v>0.49</v>
      </c>
      <c r="HI6" s="200">
        <f t="shared" si="55"/>
        <v>1.0160705028512182</v>
      </c>
      <c r="HJ6" s="17" t="s">
        <v>48</v>
      </c>
      <c r="HK6" s="20" t="s">
        <v>271</v>
      </c>
      <c r="HL6" s="17">
        <v>0.49</v>
      </c>
      <c r="HM6" s="200">
        <f t="shared" si="56"/>
        <v>1.0160705028512182</v>
      </c>
      <c r="HN6" s="17" t="s">
        <v>48</v>
      </c>
      <c r="HO6" s="20" t="s">
        <v>272</v>
      </c>
      <c r="HP6" s="17">
        <v>0.18</v>
      </c>
      <c r="HQ6" s="201">
        <f t="shared" si="57"/>
        <v>0.37325038880248834</v>
      </c>
      <c r="HR6" s="17" t="s">
        <v>108</v>
      </c>
      <c r="HS6" s="5"/>
      <c r="HT6" s="17">
        <v>0.37</v>
      </c>
      <c r="HU6" s="202">
        <f t="shared" si="58"/>
        <v>0.7672369103162261</v>
      </c>
      <c r="HV6" s="17" t="s">
        <v>48</v>
      </c>
      <c r="HW6" s="75" t="s">
        <v>273</v>
      </c>
      <c r="HX6" s="17">
        <v>0.47</v>
      </c>
      <c r="HY6" s="186">
        <f t="shared" si="59"/>
        <v>0.97459823742871954</v>
      </c>
      <c r="HZ6" s="21" t="s">
        <v>70</v>
      </c>
      <c r="IA6" s="75" t="s">
        <v>274</v>
      </c>
      <c r="IB6" s="17">
        <v>0.32</v>
      </c>
      <c r="IC6" s="178">
        <f t="shared" si="60"/>
        <v>0.66355624675997937</v>
      </c>
      <c r="ID6" s="17" t="s">
        <v>48</v>
      </c>
      <c r="IE6" s="51" t="s">
        <v>275</v>
      </c>
      <c r="IF6" s="17">
        <v>0.35</v>
      </c>
      <c r="IG6" s="203">
        <f t="shared" si="61"/>
        <v>0.72576464489372738</v>
      </c>
      <c r="IH6" s="17" t="s">
        <v>179</v>
      </c>
      <c r="II6" s="67" t="s">
        <v>276</v>
      </c>
      <c r="IJ6" s="17">
        <v>0.33</v>
      </c>
      <c r="IK6" s="188">
        <f t="shared" si="62"/>
        <v>0.68429237947122867</v>
      </c>
      <c r="IL6" s="17" t="s">
        <v>108</v>
      </c>
      <c r="IM6" s="40"/>
      <c r="IN6" s="204">
        <v>0.56000000000000005</v>
      </c>
      <c r="IO6" s="205">
        <f t="shared" si="63"/>
        <v>1.1612234318299639</v>
      </c>
      <c r="IP6" s="17" t="s">
        <v>42</v>
      </c>
      <c r="IQ6" s="40"/>
      <c r="IR6" s="17">
        <v>0.5</v>
      </c>
      <c r="IS6" s="206">
        <f t="shared" si="64"/>
        <v>1.0368066355624677</v>
      </c>
      <c r="IT6" s="17" t="s">
        <v>48</v>
      </c>
      <c r="IU6" s="40"/>
      <c r="IV6" s="17">
        <v>0.14000000000000001</v>
      </c>
      <c r="IW6" s="207">
        <f t="shared" si="65"/>
        <v>0.29030585795749098</v>
      </c>
      <c r="IX6" s="17" t="s">
        <v>108</v>
      </c>
      <c r="IY6" s="40"/>
      <c r="IZ6" s="17">
        <v>0.26</v>
      </c>
      <c r="JA6" s="189">
        <f t="shared" si="66"/>
        <v>0.53913945049248324</v>
      </c>
      <c r="JB6" s="17" t="s">
        <v>108</v>
      </c>
      <c r="JC6" s="40"/>
      <c r="JD6" s="17">
        <v>0.27</v>
      </c>
      <c r="JE6" s="187">
        <f t="shared" si="67"/>
        <v>0.55987558320373254</v>
      </c>
      <c r="JF6" s="17" t="s">
        <v>42</v>
      </c>
      <c r="JG6" s="51" t="s">
        <v>277</v>
      </c>
      <c r="JH6" s="17">
        <v>0.25</v>
      </c>
      <c r="JI6" s="208">
        <f t="shared" si="68"/>
        <v>0.51840331778123383</v>
      </c>
      <c r="JJ6" s="17" t="s">
        <v>108</v>
      </c>
      <c r="JK6" s="40"/>
      <c r="JL6" s="21">
        <v>0.33</v>
      </c>
      <c r="JM6" s="188">
        <f t="shared" si="69"/>
        <v>0.68429237947122867</v>
      </c>
      <c r="JN6" s="21" t="s">
        <v>42</v>
      </c>
      <c r="JO6" s="63"/>
      <c r="JP6" s="21">
        <v>0.53</v>
      </c>
      <c r="JQ6" s="183">
        <f t="shared" si="70"/>
        <v>1.0990150336962159</v>
      </c>
      <c r="JR6" s="21" t="s">
        <v>48</v>
      </c>
      <c r="JS6" s="40"/>
      <c r="JT6" s="21">
        <v>0.33</v>
      </c>
      <c r="JU6" s="188">
        <f t="shared" si="71"/>
        <v>0.68429237947122867</v>
      </c>
      <c r="JV6" s="21" t="s">
        <v>108</v>
      </c>
      <c r="JW6" s="63"/>
      <c r="JX6" s="17">
        <v>0.89</v>
      </c>
      <c r="JY6" s="180">
        <f t="shared" si="72"/>
        <v>1.8455158113011925</v>
      </c>
      <c r="JZ6" s="51" t="s">
        <v>46</v>
      </c>
      <c r="KA6" s="51" t="s">
        <v>278</v>
      </c>
      <c r="KB6" s="21">
        <v>0.74</v>
      </c>
      <c r="KC6" s="209">
        <f t="shared" si="73"/>
        <v>1.5344738206324522</v>
      </c>
      <c r="KD6" s="75" t="s">
        <v>42</v>
      </c>
      <c r="KE6" s="75" t="s">
        <v>279</v>
      </c>
      <c r="KF6" s="17">
        <v>0.45</v>
      </c>
      <c r="KG6" s="191">
        <f t="shared" si="74"/>
        <v>0.93312597200622094</v>
      </c>
      <c r="KH6" s="51" t="s">
        <v>108</v>
      </c>
      <c r="KI6" s="40"/>
      <c r="KJ6" s="21">
        <v>0.37</v>
      </c>
      <c r="KK6" s="202">
        <f t="shared" si="75"/>
        <v>0.7672369103162261</v>
      </c>
      <c r="KL6" s="75" t="s">
        <v>46</v>
      </c>
      <c r="KM6" s="75" t="s">
        <v>280</v>
      </c>
      <c r="KN6" s="17">
        <v>0.24</v>
      </c>
      <c r="KO6" s="210">
        <f t="shared" si="76"/>
        <v>0.49766718506998447</v>
      </c>
      <c r="KP6" s="51" t="s">
        <v>42</v>
      </c>
      <c r="KQ6" s="51" t="s">
        <v>281</v>
      </c>
      <c r="KR6" s="21">
        <v>0.26</v>
      </c>
      <c r="KS6" s="189">
        <f t="shared" si="77"/>
        <v>0.53913945049248324</v>
      </c>
      <c r="KT6" s="75" t="s">
        <v>110</v>
      </c>
      <c r="KU6" s="75" t="s">
        <v>282</v>
      </c>
      <c r="KV6" s="82">
        <v>0.61</v>
      </c>
      <c r="KW6" s="95">
        <f t="shared" si="78"/>
        <v>1.2649040953862105</v>
      </c>
      <c r="KX6" s="51" t="s">
        <v>42</v>
      </c>
      <c r="KY6" s="51" t="s">
        <v>283</v>
      </c>
      <c r="KZ6" s="83">
        <v>0.34</v>
      </c>
      <c r="LA6" s="198">
        <f t="shared" si="79"/>
        <v>0.70502851218247808</v>
      </c>
      <c r="LB6" s="75" t="s">
        <v>42</v>
      </c>
      <c r="LC6" s="75" t="s">
        <v>284</v>
      </c>
      <c r="LD6" s="82">
        <v>0.26</v>
      </c>
      <c r="LE6" s="189">
        <f t="shared" si="80"/>
        <v>0.53913945049248324</v>
      </c>
      <c r="LF6" s="51" t="s">
        <v>285</v>
      </c>
      <c r="LG6" s="51" t="s">
        <v>286</v>
      </c>
      <c r="LH6" s="83">
        <v>0.11</v>
      </c>
      <c r="LI6" s="84"/>
      <c r="LJ6" s="85"/>
      <c r="LK6" s="85"/>
      <c r="LL6" s="86">
        <f t="shared" si="81"/>
        <v>0.48354430379746838</v>
      </c>
      <c r="LM6" s="86">
        <f t="shared" si="82"/>
        <v>0.78586387434554972</v>
      </c>
      <c r="LN6" s="86">
        <f t="shared" si="90"/>
        <v>0.77654675338100532</v>
      </c>
      <c r="LO6" s="86">
        <f t="shared" ref="LO6:LO62" si="94">IF(ROW()&lt;6,LN6,0.5*INDEX(LM:LM,ROW()-1)+0.3*INDEX(LM:LM,ROW()-2)+0.2*INDEX(LM:LM,ROW()-3))</f>
        <v>0.7881417442895905</v>
      </c>
      <c r="LP6" s="86">
        <f t="shared" ref="LP6:LP62" si="95">IF(ROW()&lt;6,0,INDEX(LM:LM,ROW()-1)-INDEX(LM:LM,ROW()-3))</f>
        <v>6.2985747849559792E-2</v>
      </c>
      <c r="LQ6" s="87">
        <f t="shared" ref="LQ6:LQ62" si="96">IF(ROW()&lt;6,0,IF(AND(AVERAGE(INDEX(LM:LM,ROW()-1)-1,INDEX(LM:LM,ROW()-2)-1,INDEX(LM:LM,ROW()-3)-1)&lt;=-0.08,COUNTIF(INDEX(LM:LM,ROW()-3):INDEX(LM:LM,ROW()-1),"&lt;=0,90")&gt;=2),1,0))</f>
        <v>1</v>
      </c>
      <c r="LR6" s="86">
        <f t="shared" ref="LR6:LR62" si="97">IF(LQ6=1,MIN(1.4,MAX(0.3,0.65*LO6+0.25*INDEX(LM:LM,ROW()-1)+0.1*(LO6+LP6))),MIN(1.4,MAX(0.3,0.2*LN6+0.45*LO6+0.2*INDEX(LM:LM,ROW()-1)+0.15*(LO6+LP6))))</f>
        <v>0.80478261165647336</v>
      </c>
      <c r="LS6" s="84">
        <f>IFERROR(VLOOKUP(F5,'[1]GE - Média por Minuto TEMA'!$A:$F,6,0),1)</f>
        <v>1</v>
      </c>
      <c r="LT6" s="170" t="e">
        <f>IF(F5=#REF!,0,1)</f>
        <v>#REF!</v>
      </c>
      <c r="LU6" s="170" t="e">
        <f t="shared" si="92"/>
        <v>#REF!</v>
      </c>
      <c r="LV6" s="171" t="e">
        <f>IF(F5="",1,IF(LU6&lt;=1,MAX(0.92,LS6*0.92),IF(LU6&lt;=3,MAX(0.96,LS6*0.96),LS6)))</f>
        <v>#REF!</v>
      </c>
      <c r="LW6" s="88" t="str">
        <f>IF(LM6="","",IF(AND(LM5&lt;&gt;"",LM4&lt;&gt;"",LM3&lt;&gt;"",LM5&lt;0.9,LM4&lt;0.9,LM3&lt;0.9),"🔴 TROCAR",IF(AND(LM5&lt;&gt;"",LM4&lt;&gt;"",LM5&lt;0.93,LM4&lt;0.93),"🟡 ATENÇÃO",IF(F5="","🟢 OK",IF(LU6&gt;IFERROR(VLOOKUP(F5,[2]Calibragem!$AA$2:$AF$50,3,0),5),IF(LP6&lt;-0.03,"🟡 ESGOTANDO",IF(LU6&gt;IFERROR(VLOOKUP(F5,[2]Calibragem!$AA$2:$AF$50,4,0),7),"🟢 ONDA ⚡","🟢 ONDA 🌊")),"🟢 +" &amp; MAX(0,IFERROR(VLOOKUP(F5,[2]Calibragem!$AA$2:$AF$50,3,0),5)-LU6))))))</f>
        <v>🔴 TROCAR</v>
      </c>
      <c r="LX6" s="89" t="str">
        <f t="shared" si="87"/>
        <v>—</v>
      </c>
      <c r="LY6" s="88" t="str">
        <f t="shared" si="88"/>
        <v>Queda severa — trocar p/ inédito</v>
      </c>
      <c r="LZ6" s="5"/>
      <c r="MA6" s="67" t="str">
        <f>IF(F5="","",F5)</f>
        <v>PALMEIRAS</v>
      </c>
      <c r="MB6" s="89" t="s">
        <v>3808</v>
      </c>
    </row>
    <row r="7" spans="1:340" x14ac:dyDescent="0.2">
      <c r="A7" s="16">
        <v>0.75277777777777777</v>
      </c>
      <c r="B7" s="211">
        <f t="shared" si="0"/>
        <v>0.49187499999999984</v>
      </c>
      <c r="C7" s="212">
        <f t="shared" si="1"/>
        <v>0.11817026683608689</v>
      </c>
      <c r="D7" s="17">
        <v>0.55000000000000004</v>
      </c>
      <c r="E7" s="213">
        <f t="shared" si="2"/>
        <v>1.1181702668360869</v>
      </c>
      <c r="F7" s="17" t="s">
        <v>48</v>
      </c>
      <c r="G7" s="20" t="s">
        <v>287</v>
      </c>
      <c r="H7" s="21">
        <v>0.75</v>
      </c>
      <c r="I7" s="214">
        <f t="shared" si="3"/>
        <v>1.5247776365946637</v>
      </c>
      <c r="J7" s="21" t="s">
        <v>48</v>
      </c>
      <c r="K7" s="23" t="s">
        <v>288</v>
      </c>
      <c r="L7" s="17">
        <v>0.39</v>
      </c>
      <c r="M7" s="31">
        <f t="shared" si="4"/>
        <v>0.79288437102922515</v>
      </c>
      <c r="N7" s="17" t="s">
        <v>42</v>
      </c>
      <c r="O7" s="20" t="s">
        <v>289</v>
      </c>
      <c r="P7" s="21">
        <v>0.53</v>
      </c>
      <c r="Q7" s="176">
        <f t="shared" si="5"/>
        <v>1.0775095298602291</v>
      </c>
      <c r="R7" s="21" t="s">
        <v>46</v>
      </c>
      <c r="S7" s="23" t="s">
        <v>290</v>
      </c>
      <c r="T7" s="17">
        <v>0.31</v>
      </c>
      <c r="U7" s="215">
        <f t="shared" si="6"/>
        <v>0.63024142312579434</v>
      </c>
      <c r="V7" s="17" t="s">
        <v>48</v>
      </c>
      <c r="W7" s="5"/>
      <c r="X7" s="21">
        <v>0.53</v>
      </c>
      <c r="Y7" s="176">
        <f t="shared" si="7"/>
        <v>1.0775095298602291</v>
      </c>
      <c r="Z7" s="21" t="s">
        <v>49</v>
      </c>
      <c r="AA7" s="28"/>
      <c r="AB7" s="17">
        <v>0.76</v>
      </c>
      <c r="AC7" s="216">
        <f t="shared" si="8"/>
        <v>1.5451080050825927</v>
      </c>
      <c r="AD7" s="17" t="s">
        <v>42</v>
      </c>
      <c r="AE7" s="20" t="s">
        <v>291</v>
      </c>
      <c r="AF7" s="21">
        <v>0.38</v>
      </c>
      <c r="AG7" s="217">
        <f t="shared" si="9"/>
        <v>0.77255400254129636</v>
      </c>
      <c r="AH7" s="21" t="s">
        <v>42</v>
      </c>
      <c r="AI7" s="23" t="s">
        <v>292</v>
      </c>
      <c r="AJ7" s="17">
        <v>0.59</v>
      </c>
      <c r="AK7" s="218">
        <f t="shared" si="10"/>
        <v>1.1994917407878021</v>
      </c>
      <c r="AL7" s="17" t="s">
        <v>42</v>
      </c>
      <c r="AM7" s="20" t="s">
        <v>293</v>
      </c>
      <c r="AN7" s="21">
        <v>0.89</v>
      </c>
      <c r="AO7" s="219">
        <f t="shared" si="11"/>
        <v>1.8094027954256677</v>
      </c>
      <c r="AP7" s="21" t="s">
        <v>42</v>
      </c>
      <c r="AQ7" s="23" t="s">
        <v>294</v>
      </c>
      <c r="AR7" s="17">
        <v>0.46</v>
      </c>
      <c r="AS7" s="24">
        <f t="shared" si="12"/>
        <v>0.93519695044472717</v>
      </c>
      <c r="AT7" s="17" t="s">
        <v>42</v>
      </c>
      <c r="AU7" s="20" t="s">
        <v>295</v>
      </c>
      <c r="AV7" s="21">
        <v>0.64</v>
      </c>
      <c r="AW7" s="220">
        <f t="shared" si="13"/>
        <v>1.3011435832274465</v>
      </c>
      <c r="AX7" s="21" t="s">
        <v>42</v>
      </c>
      <c r="AY7" s="23" t="s">
        <v>296</v>
      </c>
      <c r="AZ7" s="17">
        <v>0.51</v>
      </c>
      <c r="BA7" s="206">
        <f t="shared" si="14"/>
        <v>1.0368487928843715</v>
      </c>
      <c r="BB7" s="17" t="s">
        <v>48</v>
      </c>
      <c r="BC7" s="20" t="s">
        <v>297</v>
      </c>
      <c r="BD7" s="17">
        <v>0.71</v>
      </c>
      <c r="BE7" s="144">
        <f t="shared" si="15"/>
        <v>1.4434561626429483</v>
      </c>
      <c r="BF7" s="17" t="s">
        <v>42</v>
      </c>
      <c r="BG7" s="20" t="s">
        <v>298</v>
      </c>
      <c r="BH7" s="37">
        <v>0.8</v>
      </c>
      <c r="BI7" s="221">
        <f t="shared" si="16"/>
        <v>1.6264294790343081</v>
      </c>
      <c r="BJ7" s="37" t="s">
        <v>42</v>
      </c>
      <c r="BK7" s="38" t="s">
        <v>299</v>
      </c>
      <c r="BL7" s="17">
        <v>0.53</v>
      </c>
      <c r="BM7" s="176">
        <f t="shared" si="17"/>
        <v>1.0775095298602291</v>
      </c>
      <c r="BN7" s="17" t="s">
        <v>48</v>
      </c>
      <c r="BO7" s="40"/>
      <c r="BP7" s="17">
        <v>0.52</v>
      </c>
      <c r="BQ7" s="71">
        <f t="shared" si="18"/>
        <v>1.0571791613723003</v>
      </c>
      <c r="BR7" s="40"/>
      <c r="BS7" s="41"/>
      <c r="BT7" s="37">
        <v>0.69</v>
      </c>
      <c r="BU7" s="105">
        <f t="shared" si="19"/>
        <v>1.4027954256670905</v>
      </c>
      <c r="BV7" s="21" t="s">
        <v>42</v>
      </c>
      <c r="BW7" s="23" t="s">
        <v>248</v>
      </c>
      <c r="BX7" s="17">
        <v>0.39</v>
      </c>
      <c r="BY7" s="31">
        <f t="shared" si="20"/>
        <v>0.79288437102922515</v>
      </c>
      <c r="BZ7" s="17" t="s">
        <v>42</v>
      </c>
      <c r="CA7" s="20" t="s">
        <v>300</v>
      </c>
      <c r="CB7" s="37">
        <v>0.52</v>
      </c>
      <c r="CC7" s="71">
        <f t="shared" si="21"/>
        <v>1.0571791613723003</v>
      </c>
      <c r="CD7" s="21" t="s">
        <v>42</v>
      </c>
      <c r="CE7" s="23" t="s">
        <v>301</v>
      </c>
      <c r="CF7" s="17">
        <v>0.28000000000000003</v>
      </c>
      <c r="CG7" s="165">
        <f t="shared" si="22"/>
        <v>0.56925031766200784</v>
      </c>
      <c r="CH7" s="17" t="s">
        <v>108</v>
      </c>
      <c r="CI7" s="20" t="s">
        <v>302</v>
      </c>
      <c r="CJ7" s="37">
        <v>0.24</v>
      </c>
      <c r="CK7" s="222">
        <f t="shared" si="23"/>
        <v>0.48792884371029238</v>
      </c>
      <c r="CL7" s="21" t="s">
        <v>108</v>
      </c>
      <c r="CM7" s="28"/>
      <c r="CN7" s="17">
        <v>0.47</v>
      </c>
      <c r="CO7" s="194">
        <f t="shared" si="24"/>
        <v>0.95552731893265586</v>
      </c>
      <c r="CP7" s="17" t="s">
        <v>108</v>
      </c>
      <c r="CQ7" s="41"/>
      <c r="CR7" s="37">
        <v>0.38</v>
      </c>
      <c r="CS7" s="217">
        <f t="shared" si="25"/>
        <v>0.77255400254129636</v>
      </c>
      <c r="CT7" s="21" t="s">
        <v>108</v>
      </c>
      <c r="CU7" s="28"/>
      <c r="CV7" s="17">
        <v>0.33</v>
      </c>
      <c r="CW7" s="66">
        <f t="shared" si="26"/>
        <v>0.67090216010165205</v>
      </c>
      <c r="CX7" s="17" t="s">
        <v>48</v>
      </c>
      <c r="CY7" s="20" t="s">
        <v>303</v>
      </c>
      <c r="CZ7" s="37">
        <v>0.4</v>
      </c>
      <c r="DA7" s="223">
        <f t="shared" si="27"/>
        <v>0.81321473951715406</v>
      </c>
      <c r="DB7" s="21" t="s">
        <v>48</v>
      </c>
      <c r="DC7" s="23" t="s">
        <v>304</v>
      </c>
      <c r="DD7" s="17">
        <v>0.77</v>
      </c>
      <c r="DE7" s="224">
        <f t="shared" si="28"/>
        <v>1.5654383735705215</v>
      </c>
      <c r="DF7" s="17" t="s">
        <v>48</v>
      </c>
      <c r="DG7" s="20" t="s">
        <v>305</v>
      </c>
      <c r="DH7" s="37">
        <v>0.39</v>
      </c>
      <c r="DI7" s="31">
        <f t="shared" si="29"/>
        <v>0.79288437102922515</v>
      </c>
      <c r="DJ7" s="21" t="s">
        <v>48</v>
      </c>
      <c r="DK7" s="28"/>
      <c r="DL7" s="17">
        <v>0.26</v>
      </c>
      <c r="DM7" s="225">
        <f t="shared" si="30"/>
        <v>0.52858958068615014</v>
      </c>
      <c r="DN7" s="17" t="s">
        <v>70</v>
      </c>
      <c r="DO7" s="51" t="s">
        <v>306</v>
      </c>
      <c r="DP7" s="21">
        <v>0.67</v>
      </c>
      <c r="DQ7" s="226">
        <f t="shared" si="31"/>
        <v>1.3621346886912331</v>
      </c>
      <c r="DR7" s="53" t="s">
        <v>70</v>
      </c>
      <c r="DS7" s="54" t="s">
        <v>307</v>
      </c>
      <c r="DT7" s="53">
        <v>0.53</v>
      </c>
      <c r="DU7" s="176">
        <f t="shared" si="32"/>
        <v>1.0775095298602291</v>
      </c>
      <c r="DV7" s="56" t="s">
        <v>48</v>
      </c>
      <c r="DW7" s="57" t="s">
        <v>254</v>
      </c>
      <c r="DX7" s="53">
        <v>0.45</v>
      </c>
      <c r="DY7" s="227">
        <f t="shared" si="33"/>
        <v>0.91486658195679826</v>
      </c>
      <c r="DZ7" s="53" t="s">
        <v>42</v>
      </c>
      <c r="EA7" s="54" t="s">
        <v>254</v>
      </c>
      <c r="EB7" s="56">
        <v>0.65</v>
      </c>
      <c r="EC7" s="42">
        <f t="shared" si="34"/>
        <v>1.3214739517153753</v>
      </c>
      <c r="ED7" s="56" t="s">
        <v>42</v>
      </c>
      <c r="EE7" s="57" t="s">
        <v>308</v>
      </c>
      <c r="EF7" s="53">
        <v>0.57999999999999996</v>
      </c>
      <c r="EG7" s="25">
        <f t="shared" si="35"/>
        <v>1.1791613722998733</v>
      </c>
      <c r="EH7" s="53" t="s">
        <v>46</v>
      </c>
      <c r="EI7" s="57" t="s">
        <v>309</v>
      </c>
      <c r="EJ7" s="53">
        <v>0.82</v>
      </c>
      <c r="EK7" s="228">
        <f t="shared" si="36"/>
        <v>1.6670902160101657</v>
      </c>
      <c r="EL7" s="56" t="s">
        <v>48</v>
      </c>
      <c r="EM7" s="57" t="s">
        <v>310</v>
      </c>
      <c r="EN7" s="53">
        <v>0.64</v>
      </c>
      <c r="EO7" s="220">
        <f t="shared" si="37"/>
        <v>1.3011435832274465</v>
      </c>
      <c r="EP7" s="53" t="s">
        <v>48</v>
      </c>
      <c r="EQ7" s="23" t="s">
        <v>311</v>
      </c>
      <c r="ER7" s="53">
        <v>0.46</v>
      </c>
      <c r="ES7" s="24">
        <f t="shared" si="38"/>
        <v>0.93519695044472717</v>
      </c>
      <c r="ET7" s="53" t="s">
        <v>48</v>
      </c>
      <c r="EU7" s="20" t="s">
        <v>312</v>
      </c>
      <c r="EV7" s="53">
        <v>0.66</v>
      </c>
      <c r="EW7" s="229">
        <f t="shared" si="39"/>
        <v>1.3418043202033041</v>
      </c>
      <c r="EX7" s="21" t="s">
        <v>48</v>
      </c>
      <c r="EY7" s="57" t="s">
        <v>313</v>
      </c>
      <c r="EZ7" s="53">
        <v>0.33</v>
      </c>
      <c r="FA7" s="66">
        <f t="shared" si="40"/>
        <v>0.67090216010165205</v>
      </c>
      <c r="FB7" s="40"/>
      <c r="FC7" s="40"/>
      <c r="FD7" s="53">
        <v>0.54</v>
      </c>
      <c r="FE7" s="183">
        <f t="shared" si="41"/>
        <v>1.0978398983481581</v>
      </c>
      <c r="FF7" s="21" t="s">
        <v>48</v>
      </c>
      <c r="FG7" s="64"/>
      <c r="FH7" s="17">
        <v>0.76</v>
      </c>
      <c r="FI7" s="216">
        <f t="shared" si="42"/>
        <v>1.5451080050825927</v>
      </c>
      <c r="FJ7" s="17" t="s">
        <v>42</v>
      </c>
      <c r="FK7" s="51" t="s">
        <v>314</v>
      </c>
      <c r="FL7" s="17">
        <v>0.56999999999999995</v>
      </c>
      <c r="FM7" s="230">
        <f t="shared" si="43"/>
        <v>1.1588310038119443</v>
      </c>
      <c r="FN7" s="21" t="s">
        <v>48</v>
      </c>
      <c r="FO7" s="51" t="s">
        <v>315</v>
      </c>
      <c r="FP7" s="17">
        <v>0.45</v>
      </c>
      <c r="FQ7" s="227">
        <f t="shared" si="44"/>
        <v>0.91486658195679826</v>
      </c>
      <c r="FR7" s="17" t="s">
        <v>48</v>
      </c>
      <c r="FS7" s="51" t="s">
        <v>262</v>
      </c>
      <c r="FT7" s="17">
        <v>0.49</v>
      </c>
      <c r="FU7" s="231">
        <f t="shared" si="45"/>
        <v>0.99618805590851367</v>
      </c>
      <c r="FV7" s="17" t="s">
        <v>48</v>
      </c>
      <c r="FW7" s="51" t="s">
        <v>316</v>
      </c>
      <c r="FX7" s="17">
        <v>0.92</v>
      </c>
      <c r="FY7" s="232">
        <f t="shared" si="46"/>
        <v>1.8703939008894543</v>
      </c>
      <c r="FZ7" s="17" t="s">
        <v>42</v>
      </c>
      <c r="GA7" s="51" t="s">
        <v>317</v>
      </c>
      <c r="GB7" s="53">
        <v>0.33</v>
      </c>
      <c r="GC7" s="66">
        <f t="shared" si="47"/>
        <v>0.67090216010165205</v>
      </c>
      <c r="GD7" s="21" t="s">
        <v>108</v>
      </c>
      <c r="GE7" s="63"/>
      <c r="GF7" s="17">
        <v>0.5</v>
      </c>
      <c r="GG7" s="200">
        <f t="shared" si="48"/>
        <v>1.0165184243964425</v>
      </c>
      <c r="GH7" s="17" t="s">
        <v>42</v>
      </c>
      <c r="GI7" s="51" t="s">
        <v>265</v>
      </c>
      <c r="GJ7" s="17">
        <v>0.75</v>
      </c>
      <c r="GK7" s="214">
        <f t="shared" si="49"/>
        <v>1.5247776365946637</v>
      </c>
      <c r="GL7" s="17" t="s">
        <v>42</v>
      </c>
      <c r="GM7" s="67" t="s">
        <v>318</v>
      </c>
      <c r="GN7" s="17">
        <v>0.27</v>
      </c>
      <c r="GO7" s="166">
        <f t="shared" si="50"/>
        <v>0.54891994917407905</v>
      </c>
      <c r="GP7" s="17" t="s">
        <v>48</v>
      </c>
      <c r="GQ7" s="51" t="s">
        <v>319</v>
      </c>
      <c r="GR7" s="17">
        <v>0.13</v>
      </c>
      <c r="GS7" s="233">
        <f t="shared" si="51"/>
        <v>0.26429479034307507</v>
      </c>
      <c r="GT7" s="17" t="s">
        <v>42</v>
      </c>
      <c r="GU7" s="51" t="s">
        <v>320</v>
      </c>
      <c r="GV7" s="17">
        <v>0.79</v>
      </c>
      <c r="GW7" s="234">
        <f t="shared" si="52"/>
        <v>1.6060991105463793</v>
      </c>
      <c r="GX7" s="17" t="s">
        <v>48</v>
      </c>
      <c r="GY7" s="67" t="s">
        <v>321</v>
      </c>
      <c r="GZ7" s="17">
        <v>0.59</v>
      </c>
      <c r="HA7" s="218">
        <f t="shared" si="53"/>
        <v>1.1994917407878021</v>
      </c>
      <c r="HB7" s="17" t="s">
        <v>48</v>
      </c>
      <c r="HC7" s="20" t="s">
        <v>322</v>
      </c>
      <c r="HD7" s="17">
        <v>0.49</v>
      </c>
      <c r="HE7" s="231">
        <f t="shared" si="54"/>
        <v>0.99618805590851367</v>
      </c>
      <c r="HF7" s="17" t="s">
        <v>48</v>
      </c>
      <c r="HG7" s="20" t="s">
        <v>323</v>
      </c>
      <c r="HH7" s="17">
        <v>0.49</v>
      </c>
      <c r="HI7" s="231">
        <f t="shared" si="55"/>
        <v>0.99618805590851367</v>
      </c>
      <c r="HJ7" s="17" t="s">
        <v>48</v>
      </c>
      <c r="HK7" s="20" t="s">
        <v>324</v>
      </c>
      <c r="HL7" s="17">
        <v>0.56000000000000005</v>
      </c>
      <c r="HM7" s="151">
        <f t="shared" si="56"/>
        <v>1.1385006353240157</v>
      </c>
      <c r="HN7" s="17" t="s">
        <v>42</v>
      </c>
      <c r="HO7" s="20" t="s">
        <v>325</v>
      </c>
      <c r="HP7" s="17">
        <v>0.18</v>
      </c>
      <c r="HQ7" s="235">
        <f t="shared" si="57"/>
        <v>0.36594663278271927</v>
      </c>
      <c r="HR7" s="17" t="s">
        <v>108</v>
      </c>
      <c r="HS7" s="5"/>
      <c r="HT7" s="17">
        <v>0.49</v>
      </c>
      <c r="HU7" s="231">
        <f t="shared" si="58"/>
        <v>0.99618805590851367</v>
      </c>
      <c r="HV7" s="17" t="s">
        <v>48</v>
      </c>
      <c r="HW7" s="75" t="s">
        <v>326</v>
      </c>
      <c r="HX7" s="17">
        <v>0.53</v>
      </c>
      <c r="HY7" s="176">
        <f t="shared" si="59"/>
        <v>1.0775095298602291</v>
      </c>
      <c r="HZ7" s="21" t="s">
        <v>70</v>
      </c>
      <c r="IA7" s="75" t="s">
        <v>327</v>
      </c>
      <c r="IB7" s="17">
        <v>0.52</v>
      </c>
      <c r="IC7" s="71">
        <f t="shared" si="60"/>
        <v>1.0571791613723003</v>
      </c>
      <c r="ID7" s="17" t="s">
        <v>46</v>
      </c>
      <c r="IE7" s="51" t="s">
        <v>328</v>
      </c>
      <c r="IF7" s="17">
        <v>0.48</v>
      </c>
      <c r="IG7" s="186">
        <f t="shared" si="61"/>
        <v>0.97585768742058476</v>
      </c>
      <c r="IH7" s="17" t="s">
        <v>42</v>
      </c>
      <c r="II7" s="67" t="s">
        <v>329</v>
      </c>
      <c r="IJ7" s="17">
        <v>0.39</v>
      </c>
      <c r="IK7" s="31">
        <f t="shared" si="62"/>
        <v>0.79288437102922515</v>
      </c>
      <c r="IL7" s="17" t="s">
        <v>108</v>
      </c>
      <c r="IM7" s="40"/>
      <c r="IN7" s="236">
        <v>0.48</v>
      </c>
      <c r="IO7" s="186">
        <f t="shared" si="63"/>
        <v>0.97585768742058476</v>
      </c>
      <c r="IP7" s="17" t="s">
        <v>42</v>
      </c>
      <c r="IQ7" s="51" t="s">
        <v>330</v>
      </c>
      <c r="IR7" s="17">
        <v>0.43</v>
      </c>
      <c r="IS7" s="115">
        <f t="shared" si="64"/>
        <v>0.87420584498094056</v>
      </c>
      <c r="IT7" s="17" t="s">
        <v>42</v>
      </c>
      <c r="IU7" s="75" t="s">
        <v>331</v>
      </c>
      <c r="IV7" s="17">
        <v>0.21</v>
      </c>
      <c r="IW7" s="237">
        <f t="shared" si="65"/>
        <v>0.42693773824650583</v>
      </c>
      <c r="IX7" s="17" t="s">
        <v>108</v>
      </c>
      <c r="IY7" s="40"/>
      <c r="IZ7" s="17">
        <v>0.31</v>
      </c>
      <c r="JA7" s="215">
        <f t="shared" si="66"/>
        <v>0.63024142312579434</v>
      </c>
      <c r="JB7" s="17" t="s">
        <v>108</v>
      </c>
      <c r="JC7" s="40"/>
      <c r="JD7" s="17">
        <v>0.39</v>
      </c>
      <c r="JE7" s="31">
        <f t="shared" si="67"/>
        <v>0.79288437102922515</v>
      </c>
      <c r="JF7" s="17" t="s">
        <v>42</v>
      </c>
      <c r="JG7" s="51" t="s">
        <v>332</v>
      </c>
      <c r="JH7" s="17">
        <v>0.12</v>
      </c>
      <c r="JI7" s="238">
        <f t="shared" si="68"/>
        <v>0.24396442185514619</v>
      </c>
      <c r="JJ7" s="17" t="s">
        <v>108</v>
      </c>
      <c r="JK7" s="40"/>
      <c r="JL7" s="21">
        <v>0.25</v>
      </c>
      <c r="JM7" s="239">
        <f t="shared" si="69"/>
        <v>0.50825921219822123</v>
      </c>
      <c r="JN7" s="21" t="s">
        <v>108</v>
      </c>
      <c r="JO7" s="63"/>
      <c r="JP7" s="21">
        <v>0.46</v>
      </c>
      <c r="JQ7" s="24">
        <f t="shared" si="70"/>
        <v>0.93519695044472717</v>
      </c>
      <c r="JR7" s="21" t="s">
        <v>48</v>
      </c>
      <c r="JS7" s="51" t="s">
        <v>333</v>
      </c>
      <c r="JT7" s="21">
        <v>0.32</v>
      </c>
      <c r="JU7" s="240">
        <f t="shared" si="71"/>
        <v>0.65057179161372325</v>
      </c>
      <c r="JV7" s="21" t="s">
        <v>108</v>
      </c>
      <c r="JW7" s="63"/>
      <c r="JX7" s="17">
        <v>0.95</v>
      </c>
      <c r="JY7" s="241">
        <f t="shared" si="72"/>
        <v>1.9313850063532407</v>
      </c>
      <c r="JZ7" s="51" t="s">
        <v>46</v>
      </c>
      <c r="KA7" s="51" t="s">
        <v>334</v>
      </c>
      <c r="KB7" s="21">
        <v>0.75</v>
      </c>
      <c r="KC7" s="214">
        <f t="shared" si="73"/>
        <v>1.5247776365946637</v>
      </c>
      <c r="KD7" s="75" t="s">
        <v>42</v>
      </c>
      <c r="KE7" s="75" t="s">
        <v>335</v>
      </c>
      <c r="KF7" s="17">
        <v>0.5</v>
      </c>
      <c r="KG7" s="200">
        <f t="shared" si="74"/>
        <v>1.0165184243964425</v>
      </c>
      <c r="KH7" s="51" t="s">
        <v>108</v>
      </c>
      <c r="KI7" s="40"/>
      <c r="KJ7" s="21">
        <v>0.37</v>
      </c>
      <c r="KK7" s="242">
        <f t="shared" si="75"/>
        <v>0.75222363405336745</v>
      </c>
      <c r="KL7" s="75" t="s">
        <v>46</v>
      </c>
      <c r="KM7" s="75" t="s">
        <v>280</v>
      </c>
      <c r="KN7" s="17">
        <v>0.31</v>
      </c>
      <c r="KO7" s="215">
        <f t="shared" si="76"/>
        <v>0.63024142312579434</v>
      </c>
      <c r="KP7" s="51" t="s">
        <v>42</v>
      </c>
      <c r="KQ7" s="51" t="s">
        <v>281</v>
      </c>
      <c r="KR7" s="21">
        <v>0.32</v>
      </c>
      <c r="KS7" s="240">
        <f t="shared" si="77"/>
        <v>0.65057179161372325</v>
      </c>
      <c r="KT7" s="75" t="s">
        <v>42</v>
      </c>
      <c r="KU7" s="75" t="s">
        <v>336</v>
      </c>
      <c r="KV7" s="82">
        <v>0.61</v>
      </c>
      <c r="KW7" s="243">
        <f t="shared" si="78"/>
        <v>1.2401524777636599</v>
      </c>
      <c r="KX7" s="51" t="s">
        <v>42</v>
      </c>
      <c r="KY7" s="51" t="s">
        <v>337</v>
      </c>
      <c r="KZ7" s="83">
        <v>0.28000000000000003</v>
      </c>
      <c r="LA7" s="165">
        <f t="shared" si="79"/>
        <v>0.56925031766200784</v>
      </c>
      <c r="LB7" s="75" t="s">
        <v>42</v>
      </c>
      <c r="LC7" s="75" t="s">
        <v>338</v>
      </c>
      <c r="LD7" s="82">
        <v>0.26</v>
      </c>
      <c r="LE7" s="225">
        <f t="shared" si="80"/>
        <v>0.52858958068615014</v>
      </c>
      <c r="LF7" s="51" t="s">
        <v>285</v>
      </c>
      <c r="LG7" s="51" t="s">
        <v>339</v>
      </c>
      <c r="LH7" s="83">
        <v>0.05</v>
      </c>
      <c r="LI7" s="84"/>
      <c r="LJ7" s="85"/>
      <c r="LK7" s="85"/>
      <c r="LL7" s="86">
        <f t="shared" si="81"/>
        <v>0.49113924050632901</v>
      </c>
      <c r="LM7" s="86">
        <f t="shared" si="82"/>
        <v>1.1198453608247425</v>
      </c>
      <c r="LN7" s="86">
        <f t="shared" si="90"/>
        <v>0.77887603362214142</v>
      </c>
      <c r="LO7" s="86">
        <f t="shared" si="94"/>
        <v>0.7885060473095602</v>
      </c>
      <c r="LP7" s="86">
        <f t="shared" si="95"/>
        <v>5.2259695587569488E-2</v>
      </c>
      <c r="LQ7" s="87">
        <f t="shared" si="96"/>
        <v>1</v>
      </c>
      <c r="LR7" s="86">
        <f t="shared" si="97"/>
        <v>0.79307147362731456</v>
      </c>
      <c r="LS7" s="84">
        <v>1</v>
      </c>
      <c r="LT7" s="87">
        <f>IF(F7=F5,0,1)</f>
        <v>0</v>
      </c>
      <c r="LU7" s="170" t="e">
        <f t="shared" si="92"/>
        <v>#REF!</v>
      </c>
      <c r="LV7" s="171" t="e">
        <f t="shared" ref="LV7:LV62" si="98">IF(F7="",1,IF(LU7&lt;=1,MAX(0.92,LS7*0.92),IF(LU7&lt;=3,MAX(0.96,LS7*0.96),LS7)))</f>
        <v>#REF!</v>
      </c>
      <c r="LW7" s="88" t="s">
        <v>3807</v>
      </c>
      <c r="LX7" s="89" t="str">
        <f t="shared" si="87"/>
        <v>—</v>
      </c>
      <c r="LY7" s="88" t="str">
        <f t="shared" si="88"/>
        <v>Queda severa — trocar p/ inédito</v>
      </c>
      <c r="LZ7" s="5"/>
      <c r="MA7" s="67" t="str">
        <f t="shared" ref="MA7:MA62" si="99">IF(F7="","",F7)</f>
        <v>PALMEIRAS</v>
      </c>
      <c r="MB7" s="89" t="s">
        <v>3808</v>
      </c>
    </row>
    <row r="8" spans="1:340" x14ac:dyDescent="0.2">
      <c r="A8" s="16">
        <v>0.75347222222222221</v>
      </c>
      <c r="B8" s="244">
        <f t="shared" si="0"/>
        <v>0.5123749999999998</v>
      </c>
      <c r="C8" s="245">
        <f t="shared" si="1"/>
        <v>0.3271529641375952</v>
      </c>
      <c r="D8" s="17">
        <v>0.68</v>
      </c>
      <c r="E8" s="182">
        <f t="shared" si="2"/>
        <v>1.3271529641375952</v>
      </c>
      <c r="F8" s="17" t="s">
        <v>48</v>
      </c>
      <c r="G8" s="20" t="s">
        <v>340</v>
      </c>
      <c r="H8" s="21">
        <v>0.75</v>
      </c>
      <c r="I8" s="246">
        <f t="shared" si="3"/>
        <v>1.4637716516223476</v>
      </c>
      <c r="J8" s="21" t="s">
        <v>48</v>
      </c>
      <c r="K8" s="23" t="s">
        <v>341</v>
      </c>
      <c r="L8" s="17">
        <v>0.46</v>
      </c>
      <c r="M8" s="108">
        <f t="shared" si="4"/>
        <v>0.89777994632837321</v>
      </c>
      <c r="N8" s="17" t="s">
        <v>42</v>
      </c>
      <c r="O8" s="20" t="s">
        <v>342</v>
      </c>
      <c r="P8" s="21">
        <v>0.53</v>
      </c>
      <c r="Q8" s="94">
        <f t="shared" si="5"/>
        <v>1.0343986338131257</v>
      </c>
      <c r="R8" s="21" t="s">
        <v>46</v>
      </c>
      <c r="S8" s="23" t="s">
        <v>343</v>
      </c>
      <c r="T8" s="17">
        <v>0.31</v>
      </c>
      <c r="U8" s="247">
        <f t="shared" si="6"/>
        <v>0.60502561600390359</v>
      </c>
      <c r="V8" s="17" t="s">
        <v>48</v>
      </c>
      <c r="W8" s="5"/>
      <c r="X8" s="21">
        <v>0.46</v>
      </c>
      <c r="Y8" s="108">
        <f t="shared" si="7"/>
        <v>0.89777994632837321</v>
      </c>
      <c r="Z8" s="21" t="s">
        <v>49</v>
      </c>
      <c r="AA8" s="28"/>
      <c r="AB8" s="17">
        <v>0.77</v>
      </c>
      <c r="AC8" s="248">
        <f t="shared" si="8"/>
        <v>1.5028055623322767</v>
      </c>
      <c r="AD8" s="17" t="s">
        <v>42</v>
      </c>
      <c r="AE8" s="20" t="s">
        <v>344</v>
      </c>
      <c r="AF8" s="21">
        <v>0.38</v>
      </c>
      <c r="AG8" s="58">
        <f t="shared" si="9"/>
        <v>0.74164430348865606</v>
      </c>
      <c r="AH8" s="21" t="s">
        <v>42</v>
      </c>
      <c r="AI8" s="23" t="s">
        <v>345</v>
      </c>
      <c r="AJ8" s="17">
        <v>0.66</v>
      </c>
      <c r="AK8" s="124">
        <f t="shared" si="10"/>
        <v>1.2881190534276659</v>
      </c>
      <c r="AL8" s="17" t="s">
        <v>42</v>
      </c>
      <c r="AM8" s="20" t="s">
        <v>346</v>
      </c>
      <c r="AN8" s="21">
        <v>0.89</v>
      </c>
      <c r="AO8" s="249">
        <f t="shared" si="11"/>
        <v>1.7370090265918523</v>
      </c>
      <c r="AP8" s="21" t="s">
        <v>48</v>
      </c>
      <c r="AQ8" s="23" t="s">
        <v>347</v>
      </c>
      <c r="AR8" s="17">
        <v>0.52</v>
      </c>
      <c r="AS8" s="250">
        <f t="shared" si="12"/>
        <v>1.0148816784581609</v>
      </c>
      <c r="AT8" s="17" t="s">
        <v>42</v>
      </c>
      <c r="AU8" s="20" t="s">
        <v>348</v>
      </c>
      <c r="AV8" s="21">
        <v>0.64</v>
      </c>
      <c r="AW8" s="47">
        <f t="shared" si="13"/>
        <v>1.2490851427177365</v>
      </c>
      <c r="AX8" s="21" t="s">
        <v>42</v>
      </c>
      <c r="AY8" s="23" t="s">
        <v>349</v>
      </c>
      <c r="AZ8" s="17">
        <v>0.51</v>
      </c>
      <c r="BA8" s="251">
        <f t="shared" si="14"/>
        <v>0.99536472310319635</v>
      </c>
      <c r="BB8" s="17" t="s">
        <v>42</v>
      </c>
      <c r="BC8" s="20" t="s">
        <v>350</v>
      </c>
      <c r="BD8" s="17">
        <v>0.71</v>
      </c>
      <c r="BE8" s="252">
        <f t="shared" si="15"/>
        <v>1.3857038302024889</v>
      </c>
      <c r="BF8" s="17" t="s">
        <v>42</v>
      </c>
      <c r="BG8" s="20" t="s">
        <v>351</v>
      </c>
      <c r="BH8" s="37">
        <v>0.8</v>
      </c>
      <c r="BI8" s="253">
        <f t="shared" si="16"/>
        <v>1.5613564283971708</v>
      </c>
      <c r="BJ8" s="37" t="s">
        <v>42</v>
      </c>
      <c r="BK8" s="38" t="s">
        <v>352</v>
      </c>
      <c r="BL8" s="17">
        <v>0.61</v>
      </c>
      <c r="BM8" s="254">
        <f t="shared" si="17"/>
        <v>1.1905342766528426</v>
      </c>
      <c r="BN8" s="17" t="s">
        <v>48</v>
      </c>
      <c r="BO8" s="40"/>
      <c r="BP8" s="17">
        <v>0.51</v>
      </c>
      <c r="BQ8" s="251">
        <f t="shared" si="18"/>
        <v>0.99536472310319635</v>
      </c>
      <c r="BR8" s="17" t="s">
        <v>48</v>
      </c>
      <c r="BS8" s="41"/>
      <c r="BT8" s="37">
        <v>0.69</v>
      </c>
      <c r="BU8" s="36">
        <f t="shared" si="19"/>
        <v>1.3466699194925595</v>
      </c>
      <c r="BV8" s="21" t="s">
        <v>42</v>
      </c>
      <c r="BW8" s="23" t="s">
        <v>353</v>
      </c>
      <c r="BX8" s="17">
        <v>0.45</v>
      </c>
      <c r="BY8" s="145">
        <f t="shared" si="20"/>
        <v>0.87826299097340854</v>
      </c>
      <c r="BZ8" s="17" t="s">
        <v>42</v>
      </c>
      <c r="CA8" s="20" t="s">
        <v>354</v>
      </c>
      <c r="CB8" s="37">
        <v>0.52</v>
      </c>
      <c r="CC8" s="250">
        <f t="shared" si="21"/>
        <v>1.0148816784581609</v>
      </c>
      <c r="CD8" s="21" t="s">
        <v>42</v>
      </c>
      <c r="CE8" s="23" t="s">
        <v>355</v>
      </c>
      <c r="CF8" s="17">
        <v>0.28000000000000003</v>
      </c>
      <c r="CG8" s="166">
        <f t="shared" si="22"/>
        <v>0.5464747499390098</v>
      </c>
      <c r="CH8" s="17" t="s">
        <v>356</v>
      </c>
      <c r="CI8" s="20" t="s">
        <v>357</v>
      </c>
      <c r="CJ8" s="37">
        <v>0.24</v>
      </c>
      <c r="CK8" s="255">
        <f t="shared" si="23"/>
        <v>0.46840692851915117</v>
      </c>
      <c r="CL8" s="21" t="s">
        <v>108</v>
      </c>
      <c r="CM8" s="28"/>
      <c r="CN8" s="17">
        <v>0.47</v>
      </c>
      <c r="CO8" s="227">
        <f t="shared" si="24"/>
        <v>0.91729690168333766</v>
      </c>
      <c r="CP8" s="17" t="s">
        <v>42</v>
      </c>
      <c r="CQ8" s="41"/>
      <c r="CR8" s="37">
        <v>0.31</v>
      </c>
      <c r="CS8" s="247">
        <f t="shared" si="25"/>
        <v>0.60502561600390359</v>
      </c>
      <c r="CT8" s="21" t="s">
        <v>108</v>
      </c>
      <c r="CU8" s="28"/>
      <c r="CV8" s="17">
        <v>0.33</v>
      </c>
      <c r="CW8" s="256">
        <f t="shared" si="26"/>
        <v>0.64405952671383293</v>
      </c>
      <c r="CX8" s="17" t="s">
        <v>46</v>
      </c>
      <c r="CY8" s="20" t="s">
        <v>358</v>
      </c>
      <c r="CZ8" s="37">
        <v>0.53</v>
      </c>
      <c r="DA8" s="94">
        <f t="shared" si="27"/>
        <v>1.0343986338131257</v>
      </c>
      <c r="DB8" s="21" t="s">
        <v>48</v>
      </c>
      <c r="DC8" s="23" t="s">
        <v>359</v>
      </c>
      <c r="DD8" s="17">
        <v>0.71</v>
      </c>
      <c r="DE8" s="252">
        <f t="shared" si="28"/>
        <v>1.3857038302024889</v>
      </c>
      <c r="DF8" s="17" t="s">
        <v>48</v>
      </c>
      <c r="DG8" s="20" t="s">
        <v>360</v>
      </c>
      <c r="DH8" s="37">
        <v>0.45</v>
      </c>
      <c r="DI8" s="145">
        <f t="shared" si="29"/>
        <v>0.87826299097340854</v>
      </c>
      <c r="DJ8" s="21" t="s">
        <v>48</v>
      </c>
      <c r="DK8" s="28"/>
      <c r="DL8" s="17">
        <v>0.26</v>
      </c>
      <c r="DM8" s="239">
        <f t="shared" si="30"/>
        <v>0.50744083922908045</v>
      </c>
      <c r="DN8" s="17" t="s">
        <v>70</v>
      </c>
      <c r="DO8" s="51" t="s">
        <v>361</v>
      </c>
      <c r="DP8" s="21">
        <v>0.73</v>
      </c>
      <c r="DQ8" s="257">
        <f t="shared" si="31"/>
        <v>1.4247377409124182</v>
      </c>
      <c r="DR8" s="53" t="s">
        <v>70</v>
      </c>
      <c r="DS8" s="54" t="s">
        <v>362</v>
      </c>
      <c r="DT8" s="53">
        <v>0.46</v>
      </c>
      <c r="DU8" s="108">
        <f t="shared" si="32"/>
        <v>0.89777994632837321</v>
      </c>
      <c r="DV8" s="56" t="s">
        <v>48</v>
      </c>
      <c r="DW8" s="57" t="s">
        <v>363</v>
      </c>
      <c r="DX8" s="53">
        <v>0.45</v>
      </c>
      <c r="DY8" s="145">
        <f t="shared" si="33"/>
        <v>0.87826299097340854</v>
      </c>
      <c r="DZ8" s="53" t="s">
        <v>42</v>
      </c>
      <c r="EA8" s="54" t="s">
        <v>363</v>
      </c>
      <c r="EB8" s="56">
        <v>0.77</v>
      </c>
      <c r="EC8" s="248">
        <f t="shared" si="34"/>
        <v>1.5028055623322767</v>
      </c>
      <c r="ED8" s="56" t="s">
        <v>42</v>
      </c>
      <c r="EE8" s="57" t="s">
        <v>364</v>
      </c>
      <c r="EF8" s="53">
        <v>0.57999999999999996</v>
      </c>
      <c r="EG8" s="258">
        <f t="shared" si="35"/>
        <v>1.1319834105879487</v>
      </c>
      <c r="EH8" s="53" t="s">
        <v>46</v>
      </c>
      <c r="EI8" s="57" t="s">
        <v>365</v>
      </c>
      <c r="EJ8" s="53">
        <v>0.88</v>
      </c>
      <c r="EK8" s="259">
        <f t="shared" si="36"/>
        <v>1.7174920712368877</v>
      </c>
      <c r="EL8" s="56" t="s">
        <v>48</v>
      </c>
      <c r="EM8" s="57" t="s">
        <v>366</v>
      </c>
      <c r="EN8" s="53">
        <v>0.82</v>
      </c>
      <c r="EO8" s="260">
        <f t="shared" si="37"/>
        <v>1.6003903391070997</v>
      </c>
      <c r="EP8" s="53" t="s">
        <v>48</v>
      </c>
      <c r="EQ8" s="23" t="s">
        <v>367</v>
      </c>
      <c r="ER8" s="53">
        <v>0.57999999999999996</v>
      </c>
      <c r="ES8" s="258">
        <f t="shared" si="38"/>
        <v>1.1319834105879487</v>
      </c>
      <c r="ET8" s="53" t="s">
        <v>48</v>
      </c>
      <c r="EU8" s="20" t="s">
        <v>368</v>
      </c>
      <c r="EV8" s="53">
        <v>0.65</v>
      </c>
      <c r="EW8" s="261">
        <f t="shared" si="39"/>
        <v>1.2686020980727013</v>
      </c>
      <c r="EX8" s="21" t="s">
        <v>48</v>
      </c>
      <c r="EY8" s="57" t="s">
        <v>369</v>
      </c>
      <c r="EZ8" s="53">
        <v>0.34</v>
      </c>
      <c r="FA8" s="178">
        <f t="shared" si="40"/>
        <v>0.6635764820687976</v>
      </c>
      <c r="FB8" s="40"/>
      <c r="FC8" s="40"/>
      <c r="FD8" s="53">
        <v>0.61</v>
      </c>
      <c r="FE8" s="254">
        <f t="shared" si="41"/>
        <v>1.1905342766528426</v>
      </c>
      <c r="FF8" s="21" t="s">
        <v>48</v>
      </c>
      <c r="FG8" s="64"/>
      <c r="FH8" s="17">
        <v>0.85</v>
      </c>
      <c r="FI8" s="262">
        <f t="shared" si="42"/>
        <v>1.6589412051719938</v>
      </c>
      <c r="FJ8" s="17" t="s">
        <v>42</v>
      </c>
      <c r="FK8" s="51" t="s">
        <v>370</v>
      </c>
      <c r="FL8" s="17">
        <v>0.77</v>
      </c>
      <c r="FM8" s="248">
        <f t="shared" si="43"/>
        <v>1.5028055623322767</v>
      </c>
      <c r="FN8" s="21" t="s">
        <v>48</v>
      </c>
      <c r="FO8" s="51" t="s">
        <v>315</v>
      </c>
      <c r="FP8" s="17">
        <v>0.5</v>
      </c>
      <c r="FQ8" s="186">
        <f t="shared" si="44"/>
        <v>0.97584776774823168</v>
      </c>
      <c r="FR8" s="17" t="s">
        <v>48</v>
      </c>
      <c r="FS8" s="51" t="s">
        <v>371</v>
      </c>
      <c r="FT8" s="17">
        <v>0.56999999999999995</v>
      </c>
      <c r="FU8" s="263">
        <f t="shared" si="45"/>
        <v>1.1124664552329839</v>
      </c>
      <c r="FV8" s="17" t="s">
        <v>48</v>
      </c>
      <c r="FW8" s="51" t="s">
        <v>372</v>
      </c>
      <c r="FX8" s="17">
        <v>0.93</v>
      </c>
      <c r="FY8" s="264">
        <f t="shared" si="46"/>
        <v>1.815076848011711</v>
      </c>
      <c r="FZ8" s="17" t="s">
        <v>42</v>
      </c>
      <c r="GA8" s="51" t="s">
        <v>373</v>
      </c>
      <c r="GB8" s="53">
        <v>0.33</v>
      </c>
      <c r="GC8" s="256">
        <f t="shared" si="47"/>
        <v>0.64405952671383293</v>
      </c>
      <c r="GD8" s="21" t="s">
        <v>108</v>
      </c>
      <c r="GE8" s="63"/>
      <c r="GF8" s="17">
        <v>0.55000000000000004</v>
      </c>
      <c r="GG8" s="265">
        <f t="shared" si="48"/>
        <v>1.0734325445230548</v>
      </c>
      <c r="GH8" s="17" t="s">
        <v>42</v>
      </c>
      <c r="GI8" s="51" t="s">
        <v>374</v>
      </c>
      <c r="GJ8" s="17">
        <v>0.81</v>
      </c>
      <c r="GK8" s="266">
        <f t="shared" si="49"/>
        <v>1.5808733837521354</v>
      </c>
      <c r="GL8" s="17" t="s">
        <v>42</v>
      </c>
      <c r="GM8" s="67" t="s">
        <v>375</v>
      </c>
      <c r="GN8" s="17">
        <v>0.27</v>
      </c>
      <c r="GO8" s="225">
        <f t="shared" si="50"/>
        <v>0.52695779458404512</v>
      </c>
      <c r="GP8" s="17" t="s">
        <v>48</v>
      </c>
      <c r="GQ8" s="51" t="s">
        <v>376</v>
      </c>
      <c r="GR8" s="17">
        <v>0.2</v>
      </c>
      <c r="GS8" s="267">
        <f t="shared" si="51"/>
        <v>0.3903391070992927</v>
      </c>
      <c r="GT8" s="17" t="s">
        <v>42</v>
      </c>
      <c r="GU8" s="51" t="s">
        <v>377</v>
      </c>
      <c r="GV8" s="17">
        <v>0.71</v>
      </c>
      <c r="GW8" s="252">
        <f t="shared" si="52"/>
        <v>1.3857038302024889</v>
      </c>
      <c r="GX8" s="17" t="s">
        <v>48</v>
      </c>
      <c r="GY8" s="67" t="s">
        <v>378</v>
      </c>
      <c r="GZ8" s="17">
        <v>0.53</v>
      </c>
      <c r="HA8" s="94">
        <f t="shared" si="53"/>
        <v>1.0343986338131257</v>
      </c>
      <c r="HB8" s="17" t="s">
        <v>48</v>
      </c>
      <c r="HC8" s="20" t="s">
        <v>379</v>
      </c>
      <c r="HD8" s="17">
        <v>0.41</v>
      </c>
      <c r="HE8" s="268">
        <f t="shared" si="54"/>
        <v>0.80019516955354986</v>
      </c>
      <c r="HF8" s="17" t="s">
        <v>48</v>
      </c>
      <c r="HG8" s="20" t="s">
        <v>323</v>
      </c>
      <c r="HH8" s="17">
        <v>0.28999999999999998</v>
      </c>
      <c r="HI8" s="269">
        <f t="shared" si="55"/>
        <v>0.56599170529397436</v>
      </c>
      <c r="HJ8" s="17" t="s">
        <v>48</v>
      </c>
      <c r="HK8" s="20" t="s">
        <v>380</v>
      </c>
      <c r="HL8" s="17">
        <v>0.56000000000000005</v>
      </c>
      <c r="HM8" s="270">
        <f t="shared" si="56"/>
        <v>1.0929494998780196</v>
      </c>
      <c r="HN8" s="17" t="s">
        <v>48</v>
      </c>
      <c r="HO8" s="20" t="s">
        <v>381</v>
      </c>
      <c r="HP8" s="17">
        <v>0.25</v>
      </c>
      <c r="HQ8" s="222">
        <f t="shared" si="57"/>
        <v>0.48792388387411584</v>
      </c>
      <c r="HR8" s="17" t="s">
        <v>108</v>
      </c>
      <c r="HS8" s="5"/>
      <c r="HT8" s="17">
        <v>0.75</v>
      </c>
      <c r="HU8" s="246">
        <f t="shared" si="58"/>
        <v>1.4637716516223476</v>
      </c>
      <c r="HV8" s="17" t="s">
        <v>48</v>
      </c>
      <c r="HW8" s="75" t="s">
        <v>326</v>
      </c>
      <c r="HX8" s="17">
        <v>0.6</v>
      </c>
      <c r="HY8" s="271">
        <f t="shared" si="59"/>
        <v>1.1710173212978778</v>
      </c>
      <c r="HZ8" s="21" t="s">
        <v>70</v>
      </c>
      <c r="IA8" s="75" t="s">
        <v>382</v>
      </c>
      <c r="IB8" s="17">
        <v>0.59</v>
      </c>
      <c r="IC8" s="44">
        <f t="shared" si="60"/>
        <v>1.1515003659429133</v>
      </c>
      <c r="ID8" s="17" t="s">
        <v>46</v>
      </c>
      <c r="IE8" s="51" t="s">
        <v>383</v>
      </c>
      <c r="IF8" s="17">
        <v>0.48</v>
      </c>
      <c r="IG8" s="24">
        <f t="shared" si="61"/>
        <v>0.93681385703830233</v>
      </c>
      <c r="IH8" s="17" t="s">
        <v>42</v>
      </c>
      <c r="II8" s="67" t="s">
        <v>384</v>
      </c>
      <c r="IJ8" s="17">
        <v>0.44</v>
      </c>
      <c r="IK8" s="272">
        <f t="shared" si="62"/>
        <v>0.85874603561844387</v>
      </c>
      <c r="IL8" s="17" t="s">
        <v>108</v>
      </c>
      <c r="IM8" s="40"/>
      <c r="IN8" s="17">
        <v>0.34</v>
      </c>
      <c r="IO8" s="178">
        <f t="shared" si="63"/>
        <v>0.6635764820687976</v>
      </c>
      <c r="IP8" s="17" t="s">
        <v>42</v>
      </c>
      <c r="IQ8" s="51" t="s">
        <v>385</v>
      </c>
      <c r="IR8" s="17">
        <v>0.43</v>
      </c>
      <c r="IS8" s="78">
        <f t="shared" si="64"/>
        <v>0.8392290802634792</v>
      </c>
      <c r="IT8" s="17" t="s">
        <v>42</v>
      </c>
      <c r="IU8" s="75" t="s">
        <v>386</v>
      </c>
      <c r="IV8" s="17">
        <v>0.21</v>
      </c>
      <c r="IW8" s="273">
        <f t="shared" si="65"/>
        <v>0.40985606245425726</v>
      </c>
      <c r="IX8" s="17" t="s">
        <v>108</v>
      </c>
      <c r="IY8" s="274"/>
      <c r="IZ8" s="17">
        <v>0.32</v>
      </c>
      <c r="JA8" s="26">
        <f t="shared" si="66"/>
        <v>0.62454257135886826</v>
      </c>
      <c r="JB8" s="17" t="s">
        <v>108</v>
      </c>
      <c r="JC8" s="40"/>
      <c r="JD8" s="17">
        <v>0.47</v>
      </c>
      <c r="JE8" s="227">
        <f t="shared" si="67"/>
        <v>0.91729690168333766</v>
      </c>
      <c r="JF8" s="17" t="s">
        <v>42</v>
      </c>
      <c r="JG8" s="51" t="s">
        <v>387</v>
      </c>
      <c r="JH8" s="17">
        <v>0.18</v>
      </c>
      <c r="JI8" s="275">
        <f t="shared" si="68"/>
        <v>0.35130519638936336</v>
      </c>
      <c r="JJ8" s="17" t="s">
        <v>108</v>
      </c>
      <c r="JK8" s="40"/>
      <c r="JL8" s="21">
        <v>0.25</v>
      </c>
      <c r="JM8" s="222">
        <f t="shared" si="69"/>
        <v>0.48792388387411584</v>
      </c>
      <c r="JN8" s="21" t="s">
        <v>108</v>
      </c>
      <c r="JO8" s="75" t="s">
        <v>388</v>
      </c>
      <c r="JP8" s="21">
        <v>0.4</v>
      </c>
      <c r="JQ8" s="109">
        <f t="shared" si="70"/>
        <v>0.78067821419858541</v>
      </c>
      <c r="JR8" s="21" t="s">
        <v>48</v>
      </c>
      <c r="JS8" s="51" t="s">
        <v>389</v>
      </c>
      <c r="JT8" s="21">
        <v>0.32</v>
      </c>
      <c r="JU8" s="26">
        <f t="shared" si="71"/>
        <v>0.62454257135886826</v>
      </c>
      <c r="JV8" s="21" t="s">
        <v>108</v>
      </c>
      <c r="JW8" s="63"/>
      <c r="JX8" s="17">
        <v>0.76</v>
      </c>
      <c r="JY8" s="276">
        <f t="shared" si="72"/>
        <v>1.4832886069773121</v>
      </c>
      <c r="JZ8" s="51" t="s">
        <v>46</v>
      </c>
      <c r="KA8" s="51" t="s">
        <v>390</v>
      </c>
      <c r="KB8" s="21">
        <v>0.75</v>
      </c>
      <c r="KC8" s="246">
        <f t="shared" si="73"/>
        <v>1.4637716516223476</v>
      </c>
      <c r="KD8" s="75" t="s">
        <v>48</v>
      </c>
      <c r="KE8" s="75" t="s">
        <v>391</v>
      </c>
      <c r="KF8" s="17">
        <v>0.5</v>
      </c>
      <c r="KG8" s="186">
        <f t="shared" si="74"/>
        <v>0.97584776774823168</v>
      </c>
      <c r="KH8" s="51" t="s">
        <v>108</v>
      </c>
      <c r="KI8" s="40"/>
      <c r="KJ8" s="21">
        <v>0.37</v>
      </c>
      <c r="KK8" s="149">
        <f t="shared" si="75"/>
        <v>0.72212734813369139</v>
      </c>
      <c r="KL8" s="75" t="s">
        <v>46</v>
      </c>
      <c r="KM8" s="75" t="s">
        <v>392</v>
      </c>
      <c r="KN8" s="17">
        <v>0.3</v>
      </c>
      <c r="KO8" s="277">
        <f t="shared" si="76"/>
        <v>0.58550866064893892</v>
      </c>
      <c r="KP8" s="51" t="s">
        <v>42</v>
      </c>
      <c r="KQ8" s="51" t="s">
        <v>393</v>
      </c>
      <c r="KR8" s="21">
        <v>0.38</v>
      </c>
      <c r="KS8" s="58">
        <f t="shared" si="77"/>
        <v>0.74164430348865606</v>
      </c>
      <c r="KT8" s="75" t="s">
        <v>48</v>
      </c>
      <c r="KU8" s="75" t="s">
        <v>394</v>
      </c>
      <c r="KV8" s="82">
        <v>0.61</v>
      </c>
      <c r="KW8" s="254">
        <f t="shared" si="78"/>
        <v>1.1905342766528426</v>
      </c>
      <c r="KX8" s="51" t="s">
        <v>46</v>
      </c>
      <c r="KY8" s="51" t="s">
        <v>395</v>
      </c>
      <c r="KZ8" s="83">
        <v>0.2</v>
      </c>
      <c r="LA8" s="267">
        <f t="shared" si="79"/>
        <v>0.3903391070992927</v>
      </c>
      <c r="LB8" s="75" t="s">
        <v>46</v>
      </c>
      <c r="LC8" s="75" t="s">
        <v>396</v>
      </c>
      <c r="LD8" s="82">
        <v>0.33</v>
      </c>
      <c r="LE8" s="256">
        <f t="shared" si="80"/>
        <v>0.64405952671383293</v>
      </c>
      <c r="LF8" s="51" t="s">
        <v>285</v>
      </c>
      <c r="LG8" s="51" t="s">
        <v>339</v>
      </c>
      <c r="LH8" s="83">
        <v>0.18</v>
      </c>
      <c r="LI8" s="84"/>
      <c r="LJ8" s="85"/>
      <c r="LK8" s="85"/>
      <c r="LL8" s="86">
        <f t="shared" si="81"/>
        <v>0.51025316455696179</v>
      </c>
      <c r="LM8" s="86">
        <f t="shared" si="82"/>
        <v>1.3326717935996037</v>
      </c>
      <c r="LN8" s="86">
        <f t="shared" si="90"/>
        <v>0.84706989906266161</v>
      </c>
      <c r="LO8" s="86">
        <f t="shared" si="94"/>
        <v>0.96158402563949574</v>
      </c>
      <c r="LP8" s="86">
        <f t="shared" si="95"/>
        <v>0.29033444620744475</v>
      </c>
      <c r="LQ8" s="87">
        <f t="shared" si="96"/>
        <v>1</v>
      </c>
      <c r="LR8" s="86">
        <f t="shared" si="97"/>
        <v>1.0301828040565519</v>
      </c>
      <c r="LS8" s="84">
        <v>1</v>
      </c>
      <c r="LT8" s="87">
        <f t="shared" ref="LT8:LT62" si="100">IF(F8=F7,0,1)</f>
        <v>0</v>
      </c>
      <c r="LU8" s="170" t="e">
        <f t="shared" si="92"/>
        <v>#REF!</v>
      </c>
      <c r="LV8" s="171" t="e">
        <f t="shared" si="98"/>
        <v>#REF!</v>
      </c>
      <c r="LW8" s="89" t="s">
        <v>3809</v>
      </c>
      <c r="LX8" s="89" t="str">
        <f t="shared" si="87"/>
        <v/>
      </c>
      <c r="LY8" s="89" t="str">
        <f t="shared" si="88"/>
        <v/>
      </c>
      <c r="LZ8" s="5"/>
      <c r="MA8" s="67" t="str">
        <f t="shared" si="99"/>
        <v>PALMEIRAS</v>
      </c>
      <c r="MB8" s="89" t="s">
        <v>3808</v>
      </c>
    </row>
    <row r="9" spans="1:340" x14ac:dyDescent="0.2">
      <c r="A9" s="16">
        <v>0.75416666666666665</v>
      </c>
      <c r="B9" s="278">
        <f t="shared" si="0"/>
        <v>0.5303749999999996</v>
      </c>
      <c r="C9" s="279">
        <f t="shared" si="1"/>
        <v>0.28211171341032393</v>
      </c>
      <c r="D9" s="17">
        <v>0.68</v>
      </c>
      <c r="E9" s="280">
        <f t="shared" si="2"/>
        <v>1.2821117134103239</v>
      </c>
      <c r="F9" s="17" t="s">
        <v>48</v>
      </c>
      <c r="G9" s="20" t="s">
        <v>397</v>
      </c>
      <c r="H9" s="21">
        <v>0.75</v>
      </c>
      <c r="I9" s="281">
        <f t="shared" si="3"/>
        <v>1.4140938015555042</v>
      </c>
      <c r="J9" s="21" t="s">
        <v>48</v>
      </c>
      <c r="K9" s="23" t="s">
        <v>398</v>
      </c>
      <c r="L9" s="17">
        <v>0.46</v>
      </c>
      <c r="M9" s="282">
        <f t="shared" si="4"/>
        <v>0.86731086495404264</v>
      </c>
      <c r="N9" s="17" t="s">
        <v>42</v>
      </c>
      <c r="O9" s="20" t="s">
        <v>399</v>
      </c>
      <c r="P9" s="21">
        <v>0.59</v>
      </c>
      <c r="Q9" s="263">
        <f t="shared" si="5"/>
        <v>1.1124204572236633</v>
      </c>
      <c r="R9" s="21" t="s">
        <v>46</v>
      </c>
      <c r="S9" s="23" t="s">
        <v>400</v>
      </c>
      <c r="T9" s="17">
        <v>0.39</v>
      </c>
      <c r="U9" s="92">
        <f t="shared" si="6"/>
        <v>0.73532877680886222</v>
      </c>
      <c r="V9" s="17" t="s">
        <v>48</v>
      </c>
      <c r="W9" s="5"/>
      <c r="X9" s="21">
        <v>0.57999999999999996</v>
      </c>
      <c r="Y9" s="270">
        <f t="shared" si="7"/>
        <v>1.0935658732029232</v>
      </c>
      <c r="Z9" s="21" t="s">
        <v>49</v>
      </c>
      <c r="AA9" s="28"/>
      <c r="AB9" s="17">
        <v>0.83</v>
      </c>
      <c r="AC9" s="224">
        <f t="shared" si="8"/>
        <v>1.5649304737214247</v>
      </c>
      <c r="AD9" s="17" t="s">
        <v>42</v>
      </c>
      <c r="AE9" s="20" t="s">
        <v>401</v>
      </c>
      <c r="AF9" s="21">
        <v>0.53</v>
      </c>
      <c r="AG9" s="231">
        <f t="shared" si="9"/>
        <v>0.99929295309922306</v>
      </c>
      <c r="AH9" s="21" t="s">
        <v>42</v>
      </c>
      <c r="AI9" s="23" t="s">
        <v>402</v>
      </c>
      <c r="AJ9" s="17">
        <v>0.72</v>
      </c>
      <c r="AK9" s="104">
        <f t="shared" si="10"/>
        <v>1.357530049493284</v>
      </c>
      <c r="AL9" s="17" t="s">
        <v>42</v>
      </c>
      <c r="AM9" s="20" t="s">
        <v>403</v>
      </c>
      <c r="AN9" s="21">
        <v>0.89</v>
      </c>
      <c r="AO9" s="283">
        <f t="shared" si="11"/>
        <v>1.6780579778458651</v>
      </c>
      <c r="AP9" s="21" t="s">
        <v>42</v>
      </c>
      <c r="AQ9" s="23" t="s">
        <v>404</v>
      </c>
      <c r="AR9" s="17">
        <v>0.52</v>
      </c>
      <c r="AS9" s="284">
        <f t="shared" si="12"/>
        <v>0.98043836907848303</v>
      </c>
      <c r="AT9" s="17" t="s">
        <v>42</v>
      </c>
      <c r="AU9" s="20" t="s">
        <v>405</v>
      </c>
      <c r="AV9" s="21">
        <v>0.64</v>
      </c>
      <c r="AW9" s="285">
        <f t="shared" si="13"/>
        <v>1.2066933773273636</v>
      </c>
      <c r="AX9" s="21" t="s">
        <v>42</v>
      </c>
      <c r="AY9" s="23" t="s">
        <v>406</v>
      </c>
      <c r="AZ9" s="17">
        <v>0.56999999999999995</v>
      </c>
      <c r="BA9" s="265">
        <f t="shared" si="14"/>
        <v>1.0747112891821831</v>
      </c>
      <c r="BB9" s="17" t="s">
        <v>42</v>
      </c>
      <c r="BC9" s="20" t="s">
        <v>407</v>
      </c>
      <c r="BD9" s="17">
        <v>0.76</v>
      </c>
      <c r="BE9" s="286">
        <f t="shared" si="15"/>
        <v>1.4329483855762444</v>
      </c>
      <c r="BF9" s="17" t="s">
        <v>42</v>
      </c>
      <c r="BG9" s="20" t="s">
        <v>408</v>
      </c>
      <c r="BH9" s="37">
        <v>0.87</v>
      </c>
      <c r="BI9" s="287">
        <f t="shared" si="16"/>
        <v>1.640348809804385</v>
      </c>
      <c r="BJ9" s="37" t="s">
        <v>42</v>
      </c>
      <c r="BK9" s="38" t="s">
        <v>409</v>
      </c>
      <c r="BL9" s="17">
        <v>0.61</v>
      </c>
      <c r="BM9" s="131">
        <f t="shared" si="17"/>
        <v>1.1501296252651434</v>
      </c>
      <c r="BN9" s="17" t="s">
        <v>48</v>
      </c>
      <c r="BO9" s="40"/>
      <c r="BP9" s="17">
        <v>0.5</v>
      </c>
      <c r="BQ9" s="121">
        <f t="shared" si="18"/>
        <v>0.94272920103700286</v>
      </c>
      <c r="BR9" s="17" t="s">
        <v>48</v>
      </c>
      <c r="BS9" s="41"/>
      <c r="BT9" s="37">
        <v>0.76</v>
      </c>
      <c r="BU9" s="286">
        <f t="shared" si="19"/>
        <v>1.4329483855762444</v>
      </c>
      <c r="BV9" s="21" t="s">
        <v>42</v>
      </c>
      <c r="BW9" s="23" t="s">
        <v>410</v>
      </c>
      <c r="BX9" s="17">
        <v>0.45</v>
      </c>
      <c r="BY9" s="288">
        <f t="shared" si="20"/>
        <v>0.84845628093330261</v>
      </c>
      <c r="BZ9" s="17" t="s">
        <v>42</v>
      </c>
      <c r="CA9" s="20" t="s">
        <v>411</v>
      </c>
      <c r="CB9" s="37">
        <v>0.59</v>
      </c>
      <c r="CC9" s="263">
        <f t="shared" si="21"/>
        <v>1.1124204572236633</v>
      </c>
      <c r="CD9" s="21" t="s">
        <v>42</v>
      </c>
      <c r="CE9" s="23" t="s">
        <v>412</v>
      </c>
      <c r="CF9" s="17">
        <v>0.34</v>
      </c>
      <c r="CG9" s="289">
        <f t="shared" si="22"/>
        <v>0.64105585670516196</v>
      </c>
      <c r="CH9" s="17" t="s">
        <v>356</v>
      </c>
      <c r="CI9" s="20" t="s">
        <v>413</v>
      </c>
      <c r="CJ9" s="37">
        <v>0.24</v>
      </c>
      <c r="CK9" s="290">
        <f t="shared" si="23"/>
        <v>0.45251001649776135</v>
      </c>
      <c r="CL9" s="46" t="s">
        <v>414</v>
      </c>
      <c r="CM9" s="23" t="s">
        <v>415</v>
      </c>
      <c r="CN9" s="17">
        <v>0.53</v>
      </c>
      <c r="CO9" s="231">
        <f t="shared" si="24"/>
        <v>0.99929295309922306</v>
      </c>
      <c r="CP9" s="17" t="s">
        <v>42</v>
      </c>
      <c r="CQ9" s="20" t="s">
        <v>416</v>
      </c>
      <c r="CR9" s="37">
        <v>0.38</v>
      </c>
      <c r="CS9" s="291">
        <f t="shared" si="25"/>
        <v>0.71647419278812219</v>
      </c>
      <c r="CT9" s="21" t="s">
        <v>42</v>
      </c>
      <c r="CU9" s="23" t="s">
        <v>417</v>
      </c>
      <c r="CV9" s="17">
        <v>0.39</v>
      </c>
      <c r="CW9" s="92">
        <f t="shared" si="26"/>
        <v>0.73532877680886222</v>
      </c>
      <c r="CX9" s="17" t="s">
        <v>48</v>
      </c>
      <c r="CY9" s="20" t="s">
        <v>418</v>
      </c>
      <c r="CZ9" s="37">
        <v>0.53</v>
      </c>
      <c r="DA9" s="231">
        <f t="shared" si="27"/>
        <v>0.99929295309922306</v>
      </c>
      <c r="DB9" s="21" t="s">
        <v>48</v>
      </c>
      <c r="DC9" s="23" t="s">
        <v>419</v>
      </c>
      <c r="DD9" s="17">
        <v>0.71</v>
      </c>
      <c r="DE9" s="292">
        <f t="shared" si="28"/>
        <v>1.3386754654725439</v>
      </c>
      <c r="DF9" s="17" t="s">
        <v>48</v>
      </c>
      <c r="DG9" s="20" t="s">
        <v>420</v>
      </c>
      <c r="DH9" s="37">
        <v>0.52</v>
      </c>
      <c r="DI9" s="284">
        <f t="shared" si="29"/>
        <v>0.98043836907848303</v>
      </c>
      <c r="DJ9" s="21" t="s">
        <v>48</v>
      </c>
      <c r="DK9" s="28"/>
      <c r="DL9" s="17">
        <v>0.14000000000000001</v>
      </c>
      <c r="DM9" s="233">
        <f t="shared" si="30"/>
        <v>0.26396417629036084</v>
      </c>
      <c r="DN9" s="17" t="s">
        <v>70</v>
      </c>
      <c r="DO9" s="51" t="s">
        <v>421</v>
      </c>
      <c r="DP9" s="21">
        <v>0.66</v>
      </c>
      <c r="DQ9" s="181">
        <f t="shared" si="31"/>
        <v>1.2444025453688439</v>
      </c>
      <c r="DR9" s="53" t="s">
        <v>70</v>
      </c>
      <c r="DS9" s="54" t="s">
        <v>422</v>
      </c>
      <c r="DT9" s="53">
        <v>0.52</v>
      </c>
      <c r="DU9" s="284">
        <f t="shared" si="32"/>
        <v>0.98043836907848303</v>
      </c>
      <c r="DV9" s="56" t="s">
        <v>48</v>
      </c>
      <c r="DW9" s="57" t="s">
        <v>423</v>
      </c>
      <c r="DX9" s="53">
        <v>0.33</v>
      </c>
      <c r="DY9" s="125">
        <f t="shared" si="33"/>
        <v>0.62220127268442194</v>
      </c>
      <c r="DZ9" s="53" t="s">
        <v>42</v>
      </c>
      <c r="EA9" s="54" t="s">
        <v>423</v>
      </c>
      <c r="EB9" s="56">
        <v>0.65</v>
      </c>
      <c r="EC9" s="48">
        <f t="shared" si="34"/>
        <v>1.2255479613481037</v>
      </c>
      <c r="ED9" s="56" t="s">
        <v>42</v>
      </c>
      <c r="EE9" s="57" t="s">
        <v>424</v>
      </c>
      <c r="EF9" s="53">
        <v>0.57999999999999996</v>
      </c>
      <c r="EG9" s="270">
        <f t="shared" si="35"/>
        <v>1.0935658732029232</v>
      </c>
      <c r="EH9" s="53" t="s">
        <v>46</v>
      </c>
      <c r="EI9" s="57" t="s">
        <v>425</v>
      </c>
      <c r="EJ9" s="53">
        <v>0.88</v>
      </c>
      <c r="EK9" s="262">
        <f t="shared" si="36"/>
        <v>1.6592033938251249</v>
      </c>
      <c r="EL9" s="56" t="s">
        <v>48</v>
      </c>
      <c r="EM9" s="57" t="s">
        <v>426</v>
      </c>
      <c r="EN9" s="53">
        <v>0.77</v>
      </c>
      <c r="EO9" s="177">
        <f t="shared" si="37"/>
        <v>1.4518029695969843</v>
      </c>
      <c r="EP9" s="53" t="s">
        <v>48</v>
      </c>
      <c r="EQ9" s="23" t="s">
        <v>427</v>
      </c>
      <c r="ER9" s="53">
        <v>0.65</v>
      </c>
      <c r="ES9" s="48">
        <f t="shared" si="38"/>
        <v>1.2255479613481037</v>
      </c>
      <c r="ET9" s="53" t="s">
        <v>48</v>
      </c>
      <c r="EU9" s="20" t="s">
        <v>428</v>
      </c>
      <c r="EV9" s="53">
        <v>0.65</v>
      </c>
      <c r="EW9" s="48">
        <f t="shared" si="39"/>
        <v>1.2255479613481037</v>
      </c>
      <c r="EX9" s="21" t="s">
        <v>48</v>
      </c>
      <c r="EY9" s="57" t="s">
        <v>429</v>
      </c>
      <c r="EZ9" s="53">
        <v>0.34</v>
      </c>
      <c r="FA9" s="289">
        <f t="shared" si="40"/>
        <v>0.64105585670516196</v>
      </c>
      <c r="FB9" s="40"/>
      <c r="FC9" s="40"/>
      <c r="FD9" s="53">
        <v>0.75</v>
      </c>
      <c r="FE9" s="281">
        <f t="shared" si="41"/>
        <v>1.4140938015555042</v>
      </c>
      <c r="FF9" s="21" t="s">
        <v>48</v>
      </c>
      <c r="FG9" s="64"/>
      <c r="FH9" s="17">
        <v>0.92</v>
      </c>
      <c r="FI9" s="249">
        <f t="shared" si="42"/>
        <v>1.7346217299080853</v>
      </c>
      <c r="FJ9" s="17" t="s">
        <v>42</v>
      </c>
      <c r="FK9" s="51" t="s">
        <v>430</v>
      </c>
      <c r="FL9" s="17">
        <v>0.81</v>
      </c>
      <c r="FM9" s="293">
        <f t="shared" si="43"/>
        <v>1.5272213056799446</v>
      </c>
      <c r="FN9" s="21" t="s">
        <v>48</v>
      </c>
      <c r="FO9" s="51" t="s">
        <v>431</v>
      </c>
      <c r="FP9" s="17">
        <v>0.56999999999999995</v>
      </c>
      <c r="FQ9" s="265">
        <f t="shared" si="44"/>
        <v>1.0747112891821831</v>
      </c>
      <c r="FR9" s="17" t="s">
        <v>48</v>
      </c>
      <c r="FS9" s="51" t="s">
        <v>432</v>
      </c>
      <c r="FT9" s="17">
        <v>0.7</v>
      </c>
      <c r="FU9" s="294">
        <f t="shared" si="45"/>
        <v>1.319820881451804</v>
      </c>
      <c r="FV9" s="17" t="s">
        <v>48</v>
      </c>
      <c r="FW9" s="51" t="s">
        <v>433</v>
      </c>
      <c r="FX9" s="17">
        <v>0.92</v>
      </c>
      <c r="FY9" s="249">
        <f t="shared" si="46"/>
        <v>1.7346217299080853</v>
      </c>
      <c r="FZ9" s="17" t="s">
        <v>42</v>
      </c>
      <c r="GA9" s="51" t="s">
        <v>434</v>
      </c>
      <c r="GB9" s="53">
        <v>0.39</v>
      </c>
      <c r="GC9" s="92">
        <f t="shared" si="47"/>
        <v>0.73532877680886222</v>
      </c>
      <c r="GD9" s="21" t="s">
        <v>42</v>
      </c>
      <c r="GE9" s="63"/>
      <c r="GF9" s="17">
        <v>0.55000000000000004</v>
      </c>
      <c r="GG9" s="206">
        <f t="shared" si="48"/>
        <v>1.0370021211407032</v>
      </c>
      <c r="GH9" s="17" t="s">
        <v>42</v>
      </c>
      <c r="GI9" s="51" t="s">
        <v>435</v>
      </c>
      <c r="GJ9" s="17">
        <v>0.88</v>
      </c>
      <c r="GK9" s="262">
        <f t="shared" si="49"/>
        <v>1.6592033938251249</v>
      </c>
      <c r="GL9" s="17" t="s">
        <v>42</v>
      </c>
      <c r="GM9" s="67" t="s">
        <v>436</v>
      </c>
      <c r="GN9" s="17">
        <v>0.27</v>
      </c>
      <c r="GO9" s="239">
        <f t="shared" si="50"/>
        <v>0.50907376855998154</v>
      </c>
      <c r="GP9" s="17" t="s">
        <v>48</v>
      </c>
      <c r="GQ9" s="51" t="s">
        <v>437</v>
      </c>
      <c r="GR9" s="17">
        <v>0.2</v>
      </c>
      <c r="GS9" s="295">
        <f t="shared" si="51"/>
        <v>0.37709168041480118</v>
      </c>
      <c r="GT9" s="17" t="s">
        <v>42</v>
      </c>
      <c r="GU9" s="51" t="s">
        <v>438</v>
      </c>
      <c r="GV9" s="17">
        <v>0.59</v>
      </c>
      <c r="GW9" s="263">
        <f t="shared" si="52"/>
        <v>1.1124204572236633</v>
      </c>
      <c r="GX9" s="17" t="s">
        <v>48</v>
      </c>
      <c r="GY9" s="67" t="s">
        <v>439</v>
      </c>
      <c r="GZ9" s="17">
        <v>0.6</v>
      </c>
      <c r="HA9" s="296">
        <f t="shared" si="53"/>
        <v>1.1312750412444033</v>
      </c>
      <c r="HB9" s="17" t="s">
        <v>48</v>
      </c>
      <c r="HC9" s="20" t="s">
        <v>440</v>
      </c>
      <c r="HD9" s="17">
        <v>0.41</v>
      </c>
      <c r="HE9" s="217">
        <f t="shared" si="54"/>
        <v>0.77303794485034227</v>
      </c>
      <c r="HF9" s="17" t="s">
        <v>48</v>
      </c>
      <c r="HG9" s="20" t="s">
        <v>441</v>
      </c>
      <c r="HH9" s="17">
        <v>0.38</v>
      </c>
      <c r="HI9" s="291">
        <f t="shared" si="55"/>
        <v>0.71647419278812219</v>
      </c>
      <c r="HJ9" s="17" t="s">
        <v>48</v>
      </c>
      <c r="HK9" s="20" t="s">
        <v>442</v>
      </c>
      <c r="HL9" s="17">
        <v>0.49</v>
      </c>
      <c r="HM9" s="297">
        <f t="shared" si="56"/>
        <v>0.92387461701626272</v>
      </c>
      <c r="HN9" s="17" t="s">
        <v>42</v>
      </c>
      <c r="HO9" s="20" t="s">
        <v>443</v>
      </c>
      <c r="HP9" s="17">
        <v>0.31</v>
      </c>
      <c r="HQ9" s="277">
        <f t="shared" si="57"/>
        <v>0.58449210464294177</v>
      </c>
      <c r="HR9" s="17" t="s">
        <v>42</v>
      </c>
      <c r="HS9" s="73" t="s">
        <v>444</v>
      </c>
      <c r="HT9" s="17">
        <v>0.73</v>
      </c>
      <c r="HU9" s="298">
        <f t="shared" si="58"/>
        <v>1.3763846335140242</v>
      </c>
      <c r="HV9" s="17" t="s">
        <v>48</v>
      </c>
      <c r="HW9" s="75" t="s">
        <v>445</v>
      </c>
      <c r="HX9" s="17">
        <v>0.56999999999999995</v>
      </c>
      <c r="HY9" s="265">
        <f t="shared" si="59"/>
        <v>1.0747112891821831</v>
      </c>
      <c r="HZ9" s="21" t="s">
        <v>70</v>
      </c>
      <c r="IA9" s="63"/>
      <c r="IB9" s="17">
        <v>0.59</v>
      </c>
      <c r="IC9" s="263">
        <f t="shared" si="60"/>
        <v>1.1124204572236633</v>
      </c>
      <c r="ID9" s="17" t="s">
        <v>46</v>
      </c>
      <c r="IE9" s="51" t="s">
        <v>446</v>
      </c>
      <c r="IF9" s="17">
        <v>0.41</v>
      </c>
      <c r="IG9" s="217">
        <f t="shared" si="61"/>
        <v>0.77303794485034227</v>
      </c>
      <c r="IH9" s="17" t="s">
        <v>42</v>
      </c>
      <c r="II9" s="67" t="s">
        <v>447</v>
      </c>
      <c r="IJ9" s="164">
        <v>0.23</v>
      </c>
      <c r="IK9" s="299">
        <f t="shared" si="62"/>
        <v>0.43365543247702132</v>
      </c>
      <c r="IL9" s="17" t="s">
        <v>46</v>
      </c>
      <c r="IM9" s="51" t="s">
        <v>448</v>
      </c>
      <c r="IN9" s="17">
        <v>0.28999999999999998</v>
      </c>
      <c r="IO9" s="166">
        <f t="shared" si="63"/>
        <v>0.5467829366014616</v>
      </c>
      <c r="IP9" s="17" t="s">
        <v>42</v>
      </c>
      <c r="IQ9" s="51" t="s">
        <v>449</v>
      </c>
      <c r="IR9" s="17">
        <v>0.48</v>
      </c>
      <c r="IS9" s="300">
        <f t="shared" si="64"/>
        <v>0.90502003299552269</v>
      </c>
      <c r="IT9" s="17" t="s">
        <v>42</v>
      </c>
      <c r="IU9" s="75" t="s">
        <v>450</v>
      </c>
      <c r="IV9" s="17">
        <v>0.21</v>
      </c>
      <c r="IW9" s="161">
        <f t="shared" si="65"/>
        <v>0.39594626443554115</v>
      </c>
      <c r="IX9" s="17" t="s">
        <v>66</v>
      </c>
      <c r="IY9" s="51" t="s">
        <v>451</v>
      </c>
      <c r="IZ9" s="17">
        <v>0.32</v>
      </c>
      <c r="JA9" s="39">
        <f t="shared" si="66"/>
        <v>0.6033466886636818</v>
      </c>
      <c r="JB9" s="17" t="s">
        <v>108</v>
      </c>
      <c r="JC9" s="51" t="s">
        <v>452</v>
      </c>
      <c r="JD9" s="17">
        <v>0.46</v>
      </c>
      <c r="JE9" s="282">
        <f t="shared" si="67"/>
        <v>0.86731086495404264</v>
      </c>
      <c r="JF9" s="17" t="s">
        <v>42</v>
      </c>
      <c r="JG9" s="51" t="s">
        <v>453</v>
      </c>
      <c r="JH9" s="17">
        <v>0.18</v>
      </c>
      <c r="JI9" s="301">
        <f t="shared" si="68"/>
        <v>0.33938251237332101</v>
      </c>
      <c r="JJ9" s="17" t="s">
        <v>46</v>
      </c>
      <c r="JK9" s="51" t="s">
        <v>454</v>
      </c>
      <c r="JL9" s="21">
        <v>0.31</v>
      </c>
      <c r="JM9" s="277">
        <f t="shared" si="69"/>
        <v>0.58449210464294177</v>
      </c>
      <c r="JN9" s="21" t="s">
        <v>108</v>
      </c>
      <c r="JO9" s="75" t="s">
        <v>455</v>
      </c>
      <c r="JP9" s="21">
        <v>0.4</v>
      </c>
      <c r="JQ9" s="302">
        <f t="shared" si="70"/>
        <v>0.75418336082960236</v>
      </c>
      <c r="JR9" s="21" t="s">
        <v>48</v>
      </c>
      <c r="JS9" s="51" t="s">
        <v>456</v>
      </c>
      <c r="JT9" s="21">
        <v>0.39</v>
      </c>
      <c r="JU9" s="92">
        <f t="shared" si="71"/>
        <v>0.73532877680886222</v>
      </c>
      <c r="JV9" s="21" t="s">
        <v>42</v>
      </c>
      <c r="JW9" s="75" t="s">
        <v>457</v>
      </c>
      <c r="JX9" s="17">
        <v>0.76</v>
      </c>
      <c r="JY9" s="286">
        <f t="shared" si="72"/>
        <v>1.4329483855762444</v>
      </c>
      <c r="JZ9" s="51" t="s">
        <v>46</v>
      </c>
      <c r="KA9" s="51" t="s">
        <v>458</v>
      </c>
      <c r="KB9" s="21">
        <v>0.94</v>
      </c>
      <c r="KC9" s="303">
        <f t="shared" si="73"/>
        <v>1.7723308979495653</v>
      </c>
      <c r="KD9" s="75" t="s">
        <v>48</v>
      </c>
      <c r="KE9" s="75" t="s">
        <v>459</v>
      </c>
      <c r="KF9" s="17">
        <v>0.28999999999999998</v>
      </c>
      <c r="KG9" s="166">
        <f t="shared" si="74"/>
        <v>0.5467829366014616</v>
      </c>
      <c r="KH9" s="51" t="s">
        <v>108</v>
      </c>
      <c r="KI9" s="40"/>
      <c r="KJ9" s="21">
        <v>0.44</v>
      </c>
      <c r="KK9" s="137">
        <f t="shared" si="75"/>
        <v>0.82960169691256247</v>
      </c>
      <c r="KL9" s="75" t="s">
        <v>42</v>
      </c>
      <c r="KM9" s="75" t="s">
        <v>460</v>
      </c>
      <c r="KN9" s="17">
        <v>0.49</v>
      </c>
      <c r="KO9" s="297">
        <f t="shared" si="76"/>
        <v>0.92387461701626272</v>
      </c>
      <c r="KP9" s="51" t="s">
        <v>42</v>
      </c>
      <c r="KQ9" s="51" t="s">
        <v>461</v>
      </c>
      <c r="KR9" s="21">
        <v>0.32</v>
      </c>
      <c r="KS9" s="39">
        <f t="shared" si="77"/>
        <v>0.6033466886636818</v>
      </c>
      <c r="KT9" s="75" t="s">
        <v>48</v>
      </c>
      <c r="KU9" s="75" t="s">
        <v>462</v>
      </c>
      <c r="KV9" s="82">
        <v>0.61</v>
      </c>
      <c r="KW9" s="131">
        <f t="shared" si="78"/>
        <v>1.1501296252651434</v>
      </c>
      <c r="KX9" s="51" t="s">
        <v>46</v>
      </c>
      <c r="KY9" s="51" t="s">
        <v>463</v>
      </c>
      <c r="KZ9" s="83">
        <v>0.26</v>
      </c>
      <c r="LA9" s="304">
        <f t="shared" si="79"/>
        <v>0.49021918453924151</v>
      </c>
      <c r="LB9" s="75" t="s">
        <v>46</v>
      </c>
      <c r="LC9" s="75" t="s">
        <v>396</v>
      </c>
      <c r="LD9" s="82">
        <v>0.33</v>
      </c>
      <c r="LE9" s="125">
        <f t="shared" si="80"/>
        <v>0.62220127268442194</v>
      </c>
      <c r="LF9" s="51" t="s">
        <v>464</v>
      </c>
      <c r="LG9" s="51" t="s">
        <v>465</v>
      </c>
      <c r="LH9" s="83">
        <v>0.18</v>
      </c>
      <c r="LI9" s="84"/>
      <c r="LJ9" s="85"/>
      <c r="LK9" s="85"/>
      <c r="LL9" s="86">
        <f t="shared" si="81"/>
        <v>0.52848101265822744</v>
      </c>
      <c r="LM9" s="86">
        <f t="shared" si="82"/>
        <v>1.2867065868263483</v>
      </c>
      <c r="LN9" s="86">
        <f t="shared" si="90"/>
        <v>0.92800354815215191</v>
      </c>
      <c r="LO9" s="86">
        <f t="shared" si="94"/>
        <v>1.1594622799163345</v>
      </c>
      <c r="LP9" s="86">
        <f t="shared" si="95"/>
        <v>0.54680791925405403</v>
      </c>
      <c r="LQ9" s="87">
        <f t="shared" si="96"/>
        <v>0</v>
      </c>
      <c r="LR9" s="86">
        <f t="shared" si="97"/>
        <v>1.2298336241882599</v>
      </c>
      <c r="LS9" s="84">
        <v>1</v>
      </c>
      <c r="LT9" s="87">
        <f t="shared" si="100"/>
        <v>0</v>
      </c>
      <c r="LU9" s="170" t="e">
        <f t="shared" si="92"/>
        <v>#REF!</v>
      </c>
      <c r="LV9" s="171" t="e">
        <f t="shared" si="98"/>
        <v>#REF!</v>
      </c>
      <c r="LW9" s="89" t="s">
        <v>3809</v>
      </c>
      <c r="LX9" s="89" t="str">
        <f t="shared" si="87"/>
        <v/>
      </c>
      <c r="LY9" s="89" t="str">
        <f t="shared" si="88"/>
        <v/>
      </c>
      <c r="LZ9" s="5"/>
      <c r="MA9" s="67" t="str">
        <f t="shared" si="99"/>
        <v>PALMEIRAS</v>
      </c>
      <c r="MB9" s="89" t="s">
        <v>3808</v>
      </c>
    </row>
    <row r="10" spans="1:340" x14ac:dyDescent="0.2">
      <c r="A10" s="16">
        <v>0.75486111111111109</v>
      </c>
      <c r="B10" s="305">
        <f t="shared" si="0"/>
        <v>0.55774999999999997</v>
      </c>
      <c r="C10" s="306">
        <f t="shared" si="1"/>
        <v>0.21918422232182899</v>
      </c>
      <c r="D10" s="17">
        <v>0.68</v>
      </c>
      <c r="E10" s="107">
        <f t="shared" si="2"/>
        <v>1.219184222321829</v>
      </c>
      <c r="F10" s="17" t="s">
        <v>48</v>
      </c>
      <c r="G10" s="20" t="s">
        <v>466</v>
      </c>
      <c r="H10" s="21">
        <v>0.82</v>
      </c>
      <c r="I10" s="103">
        <f t="shared" si="3"/>
        <v>1.4701927386822053</v>
      </c>
      <c r="J10" s="21" t="s">
        <v>48</v>
      </c>
      <c r="K10" s="23" t="s">
        <v>467</v>
      </c>
      <c r="L10" s="17">
        <v>0.52</v>
      </c>
      <c r="M10" s="191">
        <f t="shared" si="4"/>
        <v>0.93231734648139852</v>
      </c>
      <c r="N10" s="17" t="s">
        <v>42</v>
      </c>
      <c r="O10" s="20" t="s">
        <v>468</v>
      </c>
      <c r="P10" s="21">
        <v>0.59</v>
      </c>
      <c r="Q10" s="97">
        <f t="shared" si="5"/>
        <v>1.0578216046615867</v>
      </c>
      <c r="R10" s="21" t="s">
        <v>42</v>
      </c>
      <c r="S10" s="23" t="s">
        <v>469</v>
      </c>
      <c r="T10" s="17">
        <v>0.33</v>
      </c>
      <c r="U10" s="147">
        <f t="shared" si="6"/>
        <v>0.59166293142088755</v>
      </c>
      <c r="V10" s="17" t="s">
        <v>48</v>
      </c>
      <c r="W10" s="5"/>
      <c r="X10" s="21">
        <v>0.57999999999999996</v>
      </c>
      <c r="Y10" s="307">
        <f t="shared" si="7"/>
        <v>1.0398924249215598</v>
      </c>
      <c r="Z10" s="21" t="s">
        <v>49</v>
      </c>
      <c r="AA10" s="28"/>
      <c r="AB10" s="17">
        <v>0.83</v>
      </c>
      <c r="AC10" s="169">
        <f t="shared" si="8"/>
        <v>1.4881219184222323</v>
      </c>
      <c r="AD10" s="17" t="s">
        <v>42</v>
      </c>
      <c r="AE10" s="20" t="s">
        <v>470</v>
      </c>
      <c r="AF10" s="21">
        <v>0.57999999999999996</v>
      </c>
      <c r="AG10" s="307">
        <f t="shared" si="9"/>
        <v>1.0398924249215598</v>
      </c>
      <c r="AH10" s="21" t="s">
        <v>42</v>
      </c>
      <c r="AI10" s="23" t="s">
        <v>471</v>
      </c>
      <c r="AJ10" s="17">
        <v>0.79</v>
      </c>
      <c r="AK10" s="308">
        <f t="shared" si="10"/>
        <v>1.4164051994621247</v>
      </c>
      <c r="AL10" s="17" t="s">
        <v>42</v>
      </c>
      <c r="AM10" s="20" t="s">
        <v>472</v>
      </c>
      <c r="AN10" s="21">
        <v>0.96</v>
      </c>
      <c r="AO10" s="309">
        <f t="shared" si="11"/>
        <v>1.7212012550425819</v>
      </c>
      <c r="AP10" s="21" t="s">
        <v>48</v>
      </c>
      <c r="AQ10" s="23" t="s">
        <v>473</v>
      </c>
      <c r="AR10" s="17">
        <v>0.52</v>
      </c>
      <c r="AS10" s="191">
        <f t="shared" si="12"/>
        <v>0.93231734648139852</v>
      </c>
      <c r="AT10" s="17" t="s">
        <v>42</v>
      </c>
      <c r="AU10" s="20" t="s">
        <v>474</v>
      </c>
      <c r="AV10" s="21">
        <v>0.7</v>
      </c>
      <c r="AW10" s="310">
        <f t="shared" si="13"/>
        <v>1.2550425818018827</v>
      </c>
      <c r="AX10" s="21" t="s">
        <v>42</v>
      </c>
      <c r="AY10" s="23" t="s">
        <v>475</v>
      </c>
      <c r="AZ10" s="17">
        <v>0.63</v>
      </c>
      <c r="BA10" s="33">
        <f t="shared" si="14"/>
        <v>1.1295383236216945</v>
      </c>
      <c r="BB10" s="17" t="s">
        <v>42</v>
      </c>
      <c r="BC10" s="20" t="s">
        <v>476</v>
      </c>
      <c r="BD10" s="17">
        <v>0.82</v>
      </c>
      <c r="BE10" s="103">
        <f t="shared" si="15"/>
        <v>1.4701927386822053</v>
      </c>
      <c r="BF10" s="17" t="s">
        <v>42</v>
      </c>
      <c r="BG10" s="20" t="s">
        <v>477</v>
      </c>
      <c r="BH10" s="37">
        <v>1</v>
      </c>
      <c r="BI10" s="167">
        <f t="shared" si="16"/>
        <v>1.7929179740026895</v>
      </c>
      <c r="BJ10" s="37" t="s">
        <v>42</v>
      </c>
      <c r="BK10" s="38" t="s">
        <v>478</v>
      </c>
      <c r="BL10" s="17">
        <v>0.61</v>
      </c>
      <c r="BM10" s="270">
        <f t="shared" si="17"/>
        <v>1.0936799641416406</v>
      </c>
      <c r="BN10" s="17" t="s">
        <v>48</v>
      </c>
      <c r="BO10" s="40"/>
      <c r="BP10" s="17">
        <v>0.65</v>
      </c>
      <c r="BQ10" s="311">
        <f t="shared" si="18"/>
        <v>1.1653966831017482</v>
      </c>
      <c r="BR10" s="17" t="s">
        <v>48</v>
      </c>
      <c r="BS10" s="41"/>
      <c r="BT10" s="37">
        <v>0.76</v>
      </c>
      <c r="BU10" s="226">
        <f t="shared" si="19"/>
        <v>1.3626176602420441</v>
      </c>
      <c r="BV10" s="21" t="s">
        <v>42</v>
      </c>
      <c r="BW10" s="23" t="s">
        <v>479</v>
      </c>
      <c r="BX10" s="17">
        <v>0.38</v>
      </c>
      <c r="BY10" s="312">
        <f t="shared" si="20"/>
        <v>0.68130883012102206</v>
      </c>
      <c r="BZ10" s="17" t="s">
        <v>42</v>
      </c>
      <c r="CA10" s="20" t="s">
        <v>480</v>
      </c>
      <c r="CB10" s="37">
        <v>0.65</v>
      </c>
      <c r="CC10" s="311">
        <f t="shared" si="21"/>
        <v>1.1653966831017482</v>
      </c>
      <c r="CD10" s="21" t="s">
        <v>42</v>
      </c>
      <c r="CE10" s="23" t="s">
        <v>481</v>
      </c>
      <c r="CF10" s="17">
        <v>0.34</v>
      </c>
      <c r="CG10" s="313">
        <f t="shared" si="22"/>
        <v>0.6095921111609145</v>
      </c>
      <c r="CH10" s="17" t="s">
        <v>356</v>
      </c>
      <c r="CI10" s="20" t="s">
        <v>482</v>
      </c>
      <c r="CJ10" s="37">
        <v>0.24</v>
      </c>
      <c r="CK10" s="314">
        <f t="shared" si="23"/>
        <v>0.43030031376064548</v>
      </c>
      <c r="CL10" s="46" t="s">
        <v>48</v>
      </c>
      <c r="CM10" s="23" t="s">
        <v>483</v>
      </c>
      <c r="CN10" s="17">
        <v>0.59</v>
      </c>
      <c r="CO10" s="97">
        <f t="shared" si="24"/>
        <v>1.0578216046615867</v>
      </c>
      <c r="CP10" s="17" t="s">
        <v>42</v>
      </c>
      <c r="CQ10" s="20" t="s">
        <v>484</v>
      </c>
      <c r="CR10" s="37">
        <v>0.38</v>
      </c>
      <c r="CS10" s="312">
        <f t="shared" si="25"/>
        <v>0.68130883012102206</v>
      </c>
      <c r="CT10" s="21" t="s">
        <v>42</v>
      </c>
      <c r="CU10" s="23" t="s">
        <v>485</v>
      </c>
      <c r="CV10" s="17">
        <v>0.47</v>
      </c>
      <c r="CW10" s="78">
        <f t="shared" si="26"/>
        <v>0.84267144778126402</v>
      </c>
      <c r="CX10" s="17" t="s">
        <v>48</v>
      </c>
      <c r="CY10" s="20" t="s">
        <v>486</v>
      </c>
      <c r="CZ10" s="37">
        <v>0.53</v>
      </c>
      <c r="DA10" s="37">
        <f t="shared" si="27"/>
        <v>0.95024652622142547</v>
      </c>
      <c r="DB10" s="21" t="s">
        <v>48</v>
      </c>
      <c r="DC10" s="23" t="s">
        <v>487</v>
      </c>
      <c r="DD10" s="17">
        <v>0.65</v>
      </c>
      <c r="DE10" s="311">
        <f t="shared" si="28"/>
        <v>1.1653966831017482</v>
      </c>
      <c r="DF10" s="17" t="s">
        <v>48</v>
      </c>
      <c r="DG10" s="20" t="s">
        <v>420</v>
      </c>
      <c r="DH10" s="37">
        <v>0.52</v>
      </c>
      <c r="DI10" s="191">
        <f t="shared" si="29"/>
        <v>0.93231734648139852</v>
      </c>
      <c r="DJ10" s="21" t="s">
        <v>48</v>
      </c>
      <c r="DK10" s="28"/>
      <c r="DL10" s="17">
        <v>0.19</v>
      </c>
      <c r="DM10" s="301">
        <f t="shared" si="30"/>
        <v>0.34065441506051103</v>
      </c>
      <c r="DN10" s="17" t="s">
        <v>70</v>
      </c>
      <c r="DO10" s="51" t="s">
        <v>488</v>
      </c>
      <c r="DP10" s="21">
        <v>0.73</v>
      </c>
      <c r="DQ10" s="315">
        <f t="shared" si="31"/>
        <v>1.3088301210219633</v>
      </c>
      <c r="DR10" s="53" t="s">
        <v>70</v>
      </c>
      <c r="DS10" s="54" t="s">
        <v>489</v>
      </c>
      <c r="DT10" s="53">
        <v>0.52</v>
      </c>
      <c r="DU10" s="191">
        <f t="shared" si="32"/>
        <v>0.93231734648139852</v>
      </c>
      <c r="DV10" s="56" t="s">
        <v>48</v>
      </c>
      <c r="DW10" s="57" t="s">
        <v>490</v>
      </c>
      <c r="DX10" s="53">
        <v>0.26</v>
      </c>
      <c r="DY10" s="316">
        <f t="shared" si="33"/>
        <v>0.46615867324069926</v>
      </c>
      <c r="DZ10" s="53" t="s">
        <v>42</v>
      </c>
      <c r="EA10" s="54" t="s">
        <v>490</v>
      </c>
      <c r="EB10" s="56">
        <v>0.57999999999999996</v>
      </c>
      <c r="EC10" s="307">
        <f t="shared" si="34"/>
        <v>1.0398924249215598</v>
      </c>
      <c r="ED10" s="56" t="s">
        <v>42</v>
      </c>
      <c r="EE10" s="57" t="s">
        <v>491</v>
      </c>
      <c r="EF10" s="53">
        <v>0.56999999999999995</v>
      </c>
      <c r="EG10" s="317">
        <f t="shared" si="35"/>
        <v>1.0219632451815328</v>
      </c>
      <c r="EH10" s="53" t="s">
        <v>46</v>
      </c>
      <c r="EI10" s="57" t="s">
        <v>492</v>
      </c>
      <c r="EJ10" s="53">
        <v>0.89</v>
      </c>
      <c r="EK10" s="168">
        <f t="shared" si="36"/>
        <v>1.5956969968623937</v>
      </c>
      <c r="EL10" s="56" t="s">
        <v>48</v>
      </c>
      <c r="EM10" s="57" t="s">
        <v>493</v>
      </c>
      <c r="EN10" s="53">
        <v>0.77</v>
      </c>
      <c r="EO10" s="318">
        <f t="shared" si="37"/>
        <v>1.3805468399820708</v>
      </c>
      <c r="EP10" s="53" t="s">
        <v>48</v>
      </c>
      <c r="EQ10" s="23" t="s">
        <v>494</v>
      </c>
      <c r="ER10" s="53">
        <v>0.65</v>
      </c>
      <c r="ES10" s="311">
        <f t="shared" si="38"/>
        <v>1.1653966831017482</v>
      </c>
      <c r="ET10" s="53" t="s">
        <v>48</v>
      </c>
      <c r="EU10" s="20" t="s">
        <v>428</v>
      </c>
      <c r="EV10" s="53">
        <v>0.56999999999999995</v>
      </c>
      <c r="EW10" s="317">
        <f t="shared" si="39"/>
        <v>1.0219632451815328</v>
      </c>
      <c r="EX10" s="21" t="s">
        <v>48</v>
      </c>
      <c r="EY10" s="57" t="s">
        <v>495</v>
      </c>
      <c r="EZ10" s="53">
        <v>0.34</v>
      </c>
      <c r="FA10" s="313">
        <f t="shared" si="40"/>
        <v>0.6095921111609145</v>
      </c>
      <c r="FB10" s="40"/>
      <c r="FC10" s="40"/>
      <c r="FD10" s="53">
        <v>0.89</v>
      </c>
      <c r="FE10" s="168">
        <f t="shared" si="41"/>
        <v>1.5956969968623937</v>
      </c>
      <c r="FF10" s="21" t="s">
        <v>48</v>
      </c>
      <c r="FG10" s="64"/>
      <c r="FH10" s="17">
        <v>0.99</v>
      </c>
      <c r="FI10" s="319">
        <f t="shared" si="42"/>
        <v>1.7749887942626625</v>
      </c>
      <c r="FJ10" s="17" t="s">
        <v>42</v>
      </c>
      <c r="FK10" s="51" t="s">
        <v>496</v>
      </c>
      <c r="FL10" s="17">
        <v>0.77</v>
      </c>
      <c r="FM10" s="318">
        <f t="shared" si="43"/>
        <v>1.3805468399820708</v>
      </c>
      <c r="FN10" s="21" t="s">
        <v>48</v>
      </c>
      <c r="FO10" s="51" t="s">
        <v>497</v>
      </c>
      <c r="FP10" s="17">
        <v>0.51</v>
      </c>
      <c r="FQ10" s="227">
        <f t="shared" si="44"/>
        <v>0.91438816674137169</v>
      </c>
      <c r="FR10" s="17" t="s">
        <v>48</v>
      </c>
      <c r="FS10" s="51" t="s">
        <v>498</v>
      </c>
      <c r="FT10" s="17">
        <v>0.94</v>
      </c>
      <c r="FU10" s="320">
        <f t="shared" si="45"/>
        <v>1.685342895562528</v>
      </c>
      <c r="FV10" s="17" t="s">
        <v>48</v>
      </c>
      <c r="FW10" s="51" t="s">
        <v>499</v>
      </c>
      <c r="FX10" s="17">
        <v>1.05</v>
      </c>
      <c r="FY10" s="321">
        <f t="shared" si="46"/>
        <v>1.882563872702824</v>
      </c>
      <c r="FZ10" s="17" t="s">
        <v>42</v>
      </c>
      <c r="GA10" s="51" t="s">
        <v>500</v>
      </c>
      <c r="GB10" s="53">
        <v>0.47</v>
      </c>
      <c r="GC10" s="78">
        <f t="shared" si="47"/>
        <v>0.84267144778126402</v>
      </c>
      <c r="GD10" s="21" t="s">
        <v>42</v>
      </c>
      <c r="GE10" s="63"/>
      <c r="GF10" s="17">
        <v>0.55000000000000004</v>
      </c>
      <c r="GG10" s="61">
        <f t="shared" si="48"/>
        <v>0.98610488570147925</v>
      </c>
      <c r="GH10" s="17" t="s">
        <v>42</v>
      </c>
      <c r="GI10" s="51" t="s">
        <v>501</v>
      </c>
      <c r="GJ10" s="17">
        <v>0.88</v>
      </c>
      <c r="GK10" s="322">
        <f t="shared" si="49"/>
        <v>1.5777678171223668</v>
      </c>
      <c r="GL10" s="17" t="s">
        <v>42</v>
      </c>
      <c r="GM10" s="67" t="s">
        <v>436</v>
      </c>
      <c r="GN10" s="17">
        <v>0.33</v>
      </c>
      <c r="GO10" s="147">
        <f t="shared" si="50"/>
        <v>0.59166293142088755</v>
      </c>
      <c r="GP10" s="17" t="s">
        <v>48</v>
      </c>
      <c r="GQ10" s="51" t="s">
        <v>502</v>
      </c>
      <c r="GR10" s="17">
        <v>0.13</v>
      </c>
      <c r="GS10" s="323">
        <f t="shared" si="51"/>
        <v>0.23307933662034963</v>
      </c>
      <c r="GT10" s="17" t="s">
        <v>42</v>
      </c>
      <c r="GU10" s="51" t="s">
        <v>503</v>
      </c>
      <c r="GV10" s="17">
        <v>0.59</v>
      </c>
      <c r="GW10" s="97">
        <f t="shared" si="52"/>
        <v>1.0578216046615867</v>
      </c>
      <c r="GX10" s="17" t="s">
        <v>48</v>
      </c>
      <c r="GY10" s="67" t="s">
        <v>504</v>
      </c>
      <c r="GZ10" s="17">
        <v>0.59</v>
      </c>
      <c r="HA10" s="97">
        <f t="shared" si="53"/>
        <v>1.0578216046615867</v>
      </c>
      <c r="HB10" s="17" t="s">
        <v>48</v>
      </c>
      <c r="HC10" s="20" t="s">
        <v>505</v>
      </c>
      <c r="HD10" s="17">
        <v>0.48</v>
      </c>
      <c r="HE10" s="324">
        <f t="shared" si="54"/>
        <v>0.86060062752129096</v>
      </c>
      <c r="HF10" s="17" t="s">
        <v>48</v>
      </c>
      <c r="HG10" s="20" t="s">
        <v>506</v>
      </c>
      <c r="HH10" s="17">
        <v>0.63</v>
      </c>
      <c r="HI10" s="33">
        <f t="shared" si="55"/>
        <v>1.1295383236216945</v>
      </c>
      <c r="HJ10" s="17" t="s">
        <v>48</v>
      </c>
      <c r="HK10" s="20" t="s">
        <v>507</v>
      </c>
      <c r="HL10" s="17">
        <v>0.48</v>
      </c>
      <c r="HM10" s="324">
        <f t="shared" si="56"/>
        <v>0.86060062752129096</v>
      </c>
      <c r="HN10" s="17" t="s">
        <v>48</v>
      </c>
      <c r="HO10" s="20" t="s">
        <v>443</v>
      </c>
      <c r="HP10" s="17">
        <v>0.31</v>
      </c>
      <c r="HQ10" s="325">
        <f t="shared" si="57"/>
        <v>0.55580457194083377</v>
      </c>
      <c r="HR10" s="17" t="s">
        <v>42</v>
      </c>
      <c r="HS10" s="73" t="s">
        <v>508</v>
      </c>
      <c r="HT10" s="17">
        <v>0.66</v>
      </c>
      <c r="HU10" s="326">
        <f t="shared" si="58"/>
        <v>1.1833258628417751</v>
      </c>
      <c r="HV10" s="17" t="s">
        <v>48</v>
      </c>
      <c r="HW10" s="75" t="s">
        <v>509</v>
      </c>
      <c r="HX10" s="17">
        <v>0.56999999999999995</v>
      </c>
      <c r="HY10" s="317">
        <f t="shared" si="59"/>
        <v>1.0219632451815328</v>
      </c>
      <c r="HZ10" s="21" t="s">
        <v>70</v>
      </c>
      <c r="IA10" s="63"/>
      <c r="IB10" s="17">
        <v>0.59</v>
      </c>
      <c r="IC10" s="97">
        <f t="shared" si="60"/>
        <v>1.0578216046615867</v>
      </c>
      <c r="ID10" s="17" t="s">
        <v>46</v>
      </c>
      <c r="IE10" s="51" t="s">
        <v>510</v>
      </c>
      <c r="IF10" s="17">
        <v>0.56000000000000005</v>
      </c>
      <c r="IG10" s="17">
        <f t="shared" si="61"/>
        <v>1.0040340654415063</v>
      </c>
      <c r="IH10" s="17" t="s">
        <v>42</v>
      </c>
      <c r="II10" s="67" t="s">
        <v>511</v>
      </c>
      <c r="IJ10" s="204">
        <v>0.36</v>
      </c>
      <c r="IK10" s="256">
        <f t="shared" si="62"/>
        <v>0.64545047064096817</v>
      </c>
      <c r="IL10" s="17" t="s">
        <v>46</v>
      </c>
      <c r="IM10" s="51" t="s">
        <v>512</v>
      </c>
      <c r="IN10" s="17">
        <v>0.28999999999999998</v>
      </c>
      <c r="IO10" s="208">
        <f t="shared" si="63"/>
        <v>0.51994621246077988</v>
      </c>
      <c r="IP10" s="17" t="s">
        <v>42</v>
      </c>
      <c r="IQ10" s="51" t="s">
        <v>449</v>
      </c>
      <c r="IR10" s="17">
        <v>0.48</v>
      </c>
      <c r="IS10" s="324">
        <f t="shared" si="64"/>
        <v>0.86060062752129096</v>
      </c>
      <c r="IT10" s="17" t="s">
        <v>42</v>
      </c>
      <c r="IU10" s="75" t="s">
        <v>513</v>
      </c>
      <c r="IV10" s="17">
        <v>0.14000000000000001</v>
      </c>
      <c r="IW10" s="327">
        <f t="shared" si="65"/>
        <v>0.25100851636037658</v>
      </c>
      <c r="IX10" s="17" t="s">
        <v>66</v>
      </c>
      <c r="IY10" s="51" t="s">
        <v>514</v>
      </c>
      <c r="IZ10" s="17">
        <v>0.32</v>
      </c>
      <c r="JA10" s="133">
        <f t="shared" si="66"/>
        <v>0.5737337516808606</v>
      </c>
      <c r="JB10" s="17" t="s">
        <v>42</v>
      </c>
      <c r="JC10" s="51" t="s">
        <v>515</v>
      </c>
      <c r="JD10" s="17">
        <v>0.68</v>
      </c>
      <c r="JE10" s="107">
        <f t="shared" si="67"/>
        <v>1.219184222321829</v>
      </c>
      <c r="JF10" s="17" t="s">
        <v>42</v>
      </c>
      <c r="JG10" s="51" t="s">
        <v>516</v>
      </c>
      <c r="JH10" s="17">
        <v>0.18</v>
      </c>
      <c r="JI10" s="126">
        <f t="shared" si="68"/>
        <v>0.32272523532048408</v>
      </c>
      <c r="JJ10" s="17" t="s">
        <v>46</v>
      </c>
      <c r="JK10" s="51" t="s">
        <v>517</v>
      </c>
      <c r="JL10" s="21">
        <v>0.31</v>
      </c>
      <c r="JM10" s="325">
        <f t="shared" si="69"/>
        <v>0.55580457194083377</v>
      </c>
      <c r="JN10" s="21" t="s">
        <v>108</v>
      </c>
      <c r="JO10" s="75" t="s">
        <v>518</v>
      </c>
      <c r="JP10" s="21">
        <v>0.4</v>
      </c>
      <c r="JQ10" s="291">
        <f t="shared" si="70"/>
        <v>0.71716718960107584</v>
      </c>
      <c r="JR10" s="21" t="s">
        <v>48</v>
      </c>
      <c r="JS10" s="51" t="s">
        <v>519</v>
      </c>
      <c r="JT10" s="21">
        <v>0.39</v>
      </c>
      <c r="JU10" s="154">
        <f t="shared" si="71"/>
        <v>0.69923800986104889</v>
      </c>
      <c r="JV10" s="21" t="s">
        <v>42</v>
      </c>
      <c r="JW10" s="75" t="s">
        <v>520</v>
      </c>
      <c r="JX10" s="17">
        <v>0.76</v>
      </c>
      <c r="JY10" s="226">
        <f t="shared" si="72"/>
        <v>1.3626176602420441</v>
      </c>
      <c r="JZ10" s="51" t="s">
        <v>46</v>
      </c>
      <c r="KA10" s="51" t="s">
        <v>521</v>
      </c>
      <c r="KB10" s="21">
        <v>0.94</v>
      </c>
      <c r="KC10" s="320">
        <f t="shared" si="73"/>
        <v>1.685342895562528</v>
      </c>
      <c r="KD10" s="75" t="s">
        <v>48</v>
      </c>
      <c r="KE10" s="75" t="s">
        <v>459</v>
      </c>
      <c r="KF10" s="17">
        <v>0.31</v>
      </c>
      <c r="KG10" s="325">
        <f t="shared" si="74"/>
        <v>0.55580457194083377</v>
      </c>
      <c r="KH10" s="51" t="s">
        <v>48</v>
      </c>
      <c r="KI10" s="51" t="s">
        <v>522</v>
      </c>
      <c r="KJ10" s="21">
        <v>0.56999999999999995</v>
      </c>
      <c r="KK10" s="317">
        <f t="shared" si="75"/>
        <v>1.0219632451815328</v>
      </c>
      <c r="KL10" s="75" t="s">
        <v>42</v>
      </c>
      <c r="KM10" s="75" t="s">
        <v>523</v>
      </c>
      <c r="KN10" s="17">
        <v>0.61</v>
      </c>
      <c r="KO10" s="270">
        <f t="shared" si="76"/>
        <v>1.0936799641416406</v>
      </c>
      <c r="KP10" s="51" t="s">
        <v>42</v>
      </c>
      <c r="KQ10" s="51" t="s">
        <v>524</v>
      </c>
      <c r="KR10" s="21">
        <v>0.28000000000000003</v>
      </c>
      <c r="KS10" s="68">
        <f t="shared" si="77"/>
        <v>0.50201703272075315</v>
      </c>
      <c r="KT10" s="75" t="s">
        <v>46</v>
      </c>
      <c r="KU10" s="75" t="s">
        <v>525</v>
      </c>
      <c r="KV10" s="82">
        <v>0.61</v>
      </c>
      <c r="KW10" s="270">
        <f t="shared" si="78"/>
        <v>1.0936799641416406</v>
      </c>
      <c r="KX10" s="51" t="s">
        <v>46</v>
      </c>
      <c r="KY10" s="51" t="s">
        <v>463</v>
      </c>
      <c r="KZ10" s="83">
        <v>0.33</v>
      </c>
      <c r="LA10" s="147">
        <f t="shared" si="79"/>
        <v>0.59166293142088755</v>
      </c>
      <c r="LB10" s="75" t="s">
        <v>46</v>
      </c>
      <c r="LC10" s="75" t="s">
        <v>526</v>
      </c>
      <c r="LD10" s="82">
        <v>0.32</v>
      </c>
      <c r="LE10" s="133">
        <f t="shared" si="80"/>
        <v>0.5737337516808606</v>
      </c>
      <c r="LF10" s="51" t="s">
        <v>70</v>
      </c>
      <c r="LG10" s="51" t="s">
        <v>527</v>
      </c>
      <c r="LH10" s="83">
        <v>0.18</v>
      </c>
      <c r="LI10" s="84"/>
      <c r="LJ10" s="85"/>
      <c r="LK10" s="85"/>
      <c r="LL10" s="86">
        <f t="shared" si="81"/>
        <v>0.55620253164556954</v>
      </c>
      <c r="LM10" s="86">
        <f t="shared" si="82"/>
        <v>1.2225762403277198</v>
      </c>
      <c r="LN10" s="86">
        <f t="shared" si="90"/>
        <v>0.97924683939132273</v>
      </c>
      <c r="LO10" s="86">
        <f t="shared" si="94"/>
        <v>1.2671239036580038</v>
      </c>
      <c r="LP10" s="86">
        <f t="shared" si="95"/>
        <v>0.1668612260016058</v>
      </c>
      <c r="LQ10" s="87">
        <f t="shared" si="96"/>
        <v>0</v>
      </c>
      <c r="LR10" s="86">
        <f t="shared" si="97"/>
        <v>1.2384942113385775</v>
      </c>
      <c r="LS10" s="84">
        <v>1</v>
      </c>
      <c r="LT10" s="87">
        <f t="shared" si="100"/>
        <v>0</v>
      </c>
      <c r="LU10" s="170" t="e">
        <f t="shared" si="92"/>
        <v>#REF!</v>
      </c>
      <c r="LV10" s="171" t="e">
        <f t="shared" si="98"/>
        <v>#REF!</v>
      </c>
      <c r="LW10" s="89" t="s">
        <v>3809</v>
      </c>
      <c r="LX10" s="89" t="str">
        <f t="shared" si="87"/>
        <v/>
      </c>
      <c r="LY10" s="89" t="str">
        <f t="shared" si="88"/>
        <v/>
      </c>
      <c r="LZ10" s="5"/>
      <c r="MA10" s="67" t="str">
        <f t="shared" si="99"/>
        <v>PALMEIRAS</v>
      </c>
      <c r="MB10" s="89" t="s">
        <v>3808</v>
      </c>
    </row>
    <row r="11" spans="1:340" x14ac:dyDescent="0.2">
      <c r="A11" s="16">
        <v>0.75555555555555554</v>
      </c>
      <c r="B11" s="328">
        <f t="shared" si="0"/>
        <v>0.56462500000000015</v>
      </c>
      <c r="C11" s="329">
        <f t="shared" si="1"/>
        <v>0.20433916316139</v>
      </c>
      <c r="D11" s="17">
        <v>0.68</v>
      </c>
      <c r="E11" s="330">
        <f t="shared" si="2"/>
        <v>1.20433916316139</v>
      </c>
      <c r="F11" s="17" t="s">
        <v>48</v>
      </c>
      <c r="G11" s="20" t="s">
        <v>528</v>
      </c>
      <c r="H11" s="21">
        <v>0.76</v>
      </c>
      <c r="I11" s="36">
        <f t="shared" si="3"/>
        <v>1.3460261235333182</v>
      </c>
      <c r="J11" s="21" t="s">
        <v>48</v>
      </c>
      <c r="K11" s="23" t="s">
        <v>529</v>
      </c>
      <c r="L11" s="17">
        <v>0.59</v>
      </c>
      <c r="M11" s="331">
        <f t="shared" si="4"/>
        <v>1.0449413327429706</v>
      </c>
      <c r="N11" s="17" t="s">
        <v>42</v>
      </c>
      <c r="O11" s="20" t="s">
        <v>530</v>
      </c>
      <c r="P11" s="21">
        <v>0.59</v>
      </c>
      <c r="Q11" s="331">
        <f t="shared" si="5"/>
        <v>1.0449413327429706</v>
      </c>
      <c r="R11" s="21" t="s">
        <v>42</v>
      </c>
      <c r="S11" s="23" t="s">
        <v>531</v>
      </c>
      <c r="T11" s="17">
        <v>0.37</v>
      </c>
      <c r="U11" s="163">
        <f t="shared" si="6"/>
        <v>0.65530219172016801</v>
      </c>
      <c r="V11" s="17" t="s">
        <v>48</v>
      </c>
      <c r="W11" s="5"/>
      <c r="X11" s="21">
        <v>0.71</v>
      </c>
      <c r="Y11" s="332">
        <f t="shared" si="7"/>
        <v>1.2574717733008629</v>
      </c>
      <c r="Z11" s="21" t="s">
        <v>49</v>
      </c>
      <c r="AA11" s="28"/>
      <c r="AB11" s="17">
        <v>0.69</v>
      </c>
      <c r="AC11" s="48">
        <f t="shared" si="8"/>
        <v>1.222050033207881</v>
      </c>
      <c r="AD11" s="17" t="s">
        <v>42</v>
      </c>
      <c r="AE11" s="20" t="s">
        <v>532</v>
      </c>
      <c r="AF11" s="21">
        <v>0.57999999999999996</v>
      </c>
      <c r="AG11" s="141">
        <f t="shared" si="9"/>
        <v>1.0272304626964797</v>
      </c>
      <c r="AH11" s="21" t="s">
        <v>42</v>
      </c>
      <c r="AI11" s="23" t="s">
        <v>533</v>
      </c>
      <c r="AJ11" s="17">
        <v>0.79</v>
      </c>
      <c r="AK11" s="140">
        <f t="shared" si="10"/>
        <v>1.3991587336727913</v>
      </c>
      <c r="AL11" s="17" t="s">
        <v>42</v>
      </c>
      <c r="AM11" s="20" t="s">
        <v>534</v>
      </c>
      <c r="AN11" s="21">
        <v>1.04</v>
      </c>
      <c r="AO11" s="333">
        <f t="shared" si="11"/>
        <v>1.8419304848350671</v>
      </c>
      <c r="AP11" s="21" t="s">
        <v>42</v>
      </c>
      <c r="AQ11" s="23" t="s">
        <v>535</v>
      </c>
      <c r="AR11" s="17">
        <v>0.6</v>
      </c>
      <c r="AS11" s="334">
        <f t="shared" si="12"/>
        <v>1.0626522027894616</v>
      </c>
      <c r="AT11" s="17" t="s">
        <v>42</v>
      </c>
      <c r="AU11" s="20" t="s">
        <v>536</v>
      </c>
      <c r="AV11" s="21">
        <v>0.7</v>
      </c>
      <c r="AW11" s="243">
        <f t="shared" si="13"/>
        <v>1.2397609032543719</v>
      </c>
      <c r="AX11" s="21" t="s">
        <v>66</v>
      </c>
      <c r="AY11" s="23" t="s">
        <v>537</v>
      </c>
      <c r="AZ11" s="17">
        <v>0.7</v>
      </c>
      <c r="BA11" s="243">
        <f t="shared" si="14"/>
        <v>1.2397609032543719</v>
      </c>
      <c r="BB11" s="17" t="s">
        <v>42</v>
      </c>
      <c r="BC11" s="20" t="s">
        <v>538</v>
      </c>
      <c r="BD11" s="17">
        <v>0.81</v>
      </c>
      <c r="BE11" s="335">
        <f t="shared" si="15"/>
        <v>1.4345804737657735</v>
      </c>
      <c r="BF11" s="17" t="s">
        <v>42</v>
      </c>
      <c r="BG11" s="20" t="s">
        <v>539</v>
      </c>
      <c r="BH11" s="37">
        <v>1</v>
      </c>
      <c r="BI11" s="303">
        <f t="shared" si="16"/>
        <v>1.771087004649103</v>
      </c>
      <c r="BJ11" s="37" t="s">
        <v>42</v>
      </c>
      <c r="BK11" s="38" t="s">
        <v>540</v>
      </c>
      <c r="BL11" s="17">
        <v>0.61</v>
      </c>
      <c r="BM11" s="336">
        <f t="shared" si="17"/>
        <v>1.0803630728359528</v>
      </c>
      <c r="BN11" s="17" t="s">
        <v>48</v>
      </c>
      <c r="BO11" s="40"/>
      <c r="BP11" s="17">
        <v>0.65</v>
      </c>
      <c r="BQ11" s="44">
        <f t="shared" si="18"/>
        <v>1.1512065530219169</v>
      </c>
      <c r="BR11" s="17" t="s">
        <v>48</v>
      </c>
      <c r="BS11" s="41"/>
      <c r="BT11" s="37">
        <v>0.76</v>
      </c>
      <c r="BU11" s="36">
        <f t="shared" si="19"/>
        <v>1.3460261235333182</v>
      </c>
      <c r="BV11" s="21" t="s">
        <v>46</v>
      </c>
      <c r="BW11" s="23" t="s">
        <v>541</v>
      </c>
      <c r="BX11" s="17">
        <v>0.38</v>
      </c>
      <c r="BY11" s="66">
        <f t="shared" si="20"/>
        <v>0.67301306176665909</v>
      </c>
      <c r="BZ11" s="17" t="s">
        <v>42</v>
      </c>
      <c r="CA11" s="20" t="s">
        <v>542</v>
      </c>
      <c r="CB11" s="37">
        <v>0.57999999999999996</v>
      </c>
      <c r="CC11" s="141">
        <f t="shared" si="21"/>
        <v>1.0272304626964797</v>
      </c>
      <c r="CD11" s="21" t="s">
        <v>42</v>
      </c>
      <c r="CE11" s="23" t="s">
        <v>543</v>
      </c>
      <c r="CF11" s="17">
        <v>0.34</v>
      </c>
      <c r="CG11" s="39">
        <f t="shared" si="22"/>
        <v>0.602169581580695</v>
      </c>
      <c r="CH11" s="17" t="s">
        <v>356</v>
      </c>
      <c r="CI11" s="20" t="s">
        <v>544</v>
      </c>
      <c r="CJ11" s="37">
        <v>0.24</v>
      </c>
      <c r="CK11" s="237">
        <f t="shared" si="23"/>
        <v>0.42506088111578466</v>
      </c>
      <c r="CL11" s="46" t="s">
        <v>48</v>
      </c>
      <c r="CM11" s="23" t="s">
        <v>545</v>
      </c>
      <c r="CN11" s="17">
        <v>0.66</v>
      </c>
      <c r="CO11" s="337">
        <f t="shared" si="24"/>
        <v>1.1689174230684081</v>
      </c>
      <c r="CP11" s="17" t="s">
        <v>42</v>
      </c>
      <c r="CQ11" s="20" t="s">
        <v>546</v>
      </c>
      <c r="CR11" s="37">
        <v>0.38</v>
      </c>
      <c r="CS11" s="66">
        <f t="shared" si="25"/>
        <v>0.67301306176665909</v>
      </c>
      <c r="CT11" s="21" t="s">
        <v>42</v>
      </c>
      <c r="CU11" s="23" t="s">
        <v>547</v>
      </c>
      <c r="CV11" s="17">
        <v>0.53</v>
      </c>
      <c r="CW11" s="155">
        <f t="shared" si="26"/>
        <v>0.9386761124640246</v>
      </c>
      <c r="CX11" s="17" t="s">
        <v>48</v>
      </c>
      <c r="CY11" s="20" t="s">
        <v>548</v>
      </c>
      <c r="CZ11" s="37">
        <v>0.53</v>
      </c>
      <c r="DA11" s="155">
        <f t="shared" si="27"/>
        <v>0.9386761124640246</v>
      </c>
      <c r="DB11" s="21" t="s">
        <v>46</v>
      </c>
      <c r="DC11" s="23" t="s">
        <v>549</v>
      </c>
      <c r="DD11" s="17">
        <v>0.52</v>
      </c>
      <c r="DE11" s="110">
        <f t="shared" si="28"/>
        <v>0.92096524241753353</v>
      </c>
      <c r="DF11" s="17" t="s">
        <v>48</v>
      </c>
      <c r="DG11" s="20" t="s">
        <v>550</v>
      </c>
      <c r="DH11" s="37">
        <v>0.64</v>
      </c>
      <c r="DI11" s="338">
        <f t="shared" si="29"/>
        <v>1.1334956829754259</v>
      </c>
      <c r="DJ11" s="21" t="s">
        <v>48</v>
      </c>
      <c r="DK11" s="28"/>
      <c r="DL11" s="17">
        <v>0.19</v>
      </c>
      <c r="DM11" s="70">
        <f t="shared" si="30"/>
        <v>0.33650653088332955</v>
      </c>
      <c r="DN11" s="17" t="s">
        <v>70</v>
      </c>
      <c r="DO11" s="51" t="s">
        <v>488</v>
      </c>
      <c r="DP11" s="21">
        <v>0.73</v>
      </c>
      <c r="DQ11" s="339">
        <f t="shared" si="31"/>
        <v>1.2928935133938451</v>
      </c>
      <c r="DR11" s="53" t="s">
        <v>70</v>
      </c>
      <c r="DS11" s="54" t="s">
        <v>551</v>
      </c>
      <c r="DT11" s="53">
        <v>0.54</v>
      </c>
      <c r="DU11" s="194">
        <f t="shared" si="32"/>
        <v>0.95638698251051568</v>
      </c>
      <c r="DV11" s="56" t="s">
        <v>46</v>
      </c>
      <c r="DW11" s="57" t="s">
        <v>552</v>
      </c>
      <c r="DX11" s="53">
        <v>0.26</v>
      </c>
      <c r="DY11" s="113">
        <f t="shared" si="33"/>
        <v>0.46048262120876676</v>
      </c>
      <c r="DZ11" s="53" t="s">
        <v>42</v>
      </c>
      <c r="EA11" s="54" t="s">
        <v>552</v>
      </c>
      <c r="EB11" s="56">
        <v>0.52</v>
      </c>
      <c r="EC11" s="110">
        <f t="shared" si="34"/>
        <v>0.92096524241753353</v>
      </c>
      <c r="ED11" s="56" t="s">
        <v>42</v>
      </c>
      <c r="EE11" s="57" t="s">
        <v>553</v>
      </c>
      <c r="EF11" s="53">
        <v>0.63</v>
      </c>
      <c r="EG11" s="146">
        <f t="shared" si="35"/>
        <v>1.1157848129289349</v>
      </c>
      <c r="EH11" s="53" t="s">
        <v>46</v>
      </c>
      <c r="EI11" s="57" t="s">
        <v>554</v>
      </c>
      <c r="EJ11" s="53">
        <v>0.82</v>
      </c>
      <c r="EK11" s="340">
        <f t="shared" si="36"/>
        <v>1.4522913438122642</v>
      </c>
      <c r="EL11" s="56" t="s">
        <v>48</v>
      </c>
      <c r="EM11" s="57" t="s">
        <v>555</v>
      </c>
      <c r="EN11" s="53">
        <v>0.77</v>
      </c>
      <c r="EO11" s="341">
        <f t="shared" si="37"/>
        <v>1.3637369935798094</v>
      </c>
      <c r="EP11" s="53" t="s">
        <v>42</v>
      </c>
      <c r="EQ11" s="23" t="s">
        <v>556</v>
      </c>
      <c r="ER11" s="53">
        <v>0.65</v>
      </c>
      <c r="ES11" s="44">
        <f t="shared" si="38"/>
        <v>1.1512065530219169</v>
      </c>
      <c r="ET11" s="53" t="s">
        <v>48</v>
      </c>
      <c r="EU11" s="20" t="s">
        <v>557</v>
      </c>
      <c r="EV11" s="53">
        <v>0.69</v>
      </c>
      <c r="EW11" s="48">
        <f t="shared" si="39"/>
        <v>1.222050033207881</v>
      </c>
      <c r="EX11" s="21" t="s">
        <v>48</v>
      </c>
      <c r="EY11" s="57" t="s">
        <v>558</v>
      </c>
      <c r="EZ11" s="53">
        <v>0.52</v>
      </c>
      <c r="FA11" s="110">
        <f t="shared" si="40"/>
        <v>0.92096524241753353</v>
      </c>
      <c r="FB11" s="40"/>
      <c r="FC11" s="40"/>
      <c r="FD11" s="53">
        <v>0.82</v>
      </c>
      <c r="FE11" s="340">
        <f t="shared" si="41"/>
        <v>1.4522913438122642</v>
      </c>
      <c r="FF11" s="21" t="s">
        <v>48</v>
      </c>
      <c r="FG11" s="64"/>
      <c r="FH11" s="17">
        <v>0.91</v>
      </c>
      <c r="FI11" s="342">
        <f t="shared" si="42"/>
        <v>1.6116891742306836</v>
      </c>
      <c r="FJ11" s="17" t="s">
        <v>42</v>
      </c>
      <c r="FK11" s="51" t="s">
        <v>559</v>
      </c>
      <c r="FL11" s="17">
        <v>0.85</v>
      </c>
      <c r="FM11" s="343">
        <f t="shared" si="43"/>
        <v>1.5054239539517373</v>
      </c>
      <c r="FN11" s="21" t="s">
        <v>48</v>
      </c>
      <c r="FO11" s="51" t="s">
        <v>560</v>
      </c>
      <c r="FP11" s="17">
        <v>0.44</v>
      </c>
      <c r="FQ11" s="344">
        <f t="shared" si="44"/>
        <v>0.77927828204560523</v>
      </c>
      <c r="FR11" s="17" t="s">
        <v>42</v>
      </c>
      <c r="FS11" s="51" t="s">
        <v>561</v>
      </c>
      <c r="FT11" s="17">
        <v>0.92</v>
      </c>
      <c r="FU11" s="345">
        <f t="shared" si="45"/>
        <v>1.6294000442771748</v>
      </c>
      <c r="FV11" s="17" t="s">
        <v>48</v>
      </c>
      <c r="FW11" s="51" t="s">
        <v>562</v>
      </c>
      <c r="FX11" s="17">
        <v>0.99</v>
      </c>
      <c r="FY11" s="346">
        <f t="shared" si="46"/>
        <v>1.7533761346026118</v>
      </c>
      <c r="FZ11" s="17" t="s">
        <v>42</v>
      </c>
      <c r="GA11" s="51" t="s">
        <v>563</v>
      </c>
      <c r="GB11" s="53">
        <v>0.59</v>
      </c>
      <c r="GC11" s="331">
        <f t="shared" si="47"/>
        <v>1.0449413327429706</v>
      </c>
      <c r="GD11" s="21" t="s">
        <v>42</v>
      </c>
      <c r="GE11" s="63"/>
      <c r="GF11" s="17">
        <v>0.55000000000000004</v>
      </c>
      <c r="GG11" s="186">
        <f t="shared" si="48"/>
        <v>0.97409785255700665</v>
      </c>
      <c r="GH11" s="17" t="s">
        <v>42</v>
      </c>
      <c r="GI11" s="51" t="s">
        <v>564</v>
      </c>
      <c r="GJ11" s="17">
        <v>0.81</v>
      </c>
      <c r="GK11" s="335">
        <f t="shared" si="49"/>
        <v>1.4345804737657735</v>
      </c>
      <c r="GL11" s="17" t="s">
        <v>42</v>
      </c>
      <c r="GM11" s="67" t="s">
        <v>565</v>
      </c>
      <c r="GN11" s="17">
        <v>0.33</v>
      </c>
      <c r="GO11" s="277">
        <f t="shared" si="50"/>
        <v>0.58445871153420403</v>
      </c>
      <c r="GP11" s="17" t="s">
        <v>48</v>
      </c>
      <c r="GQ11" s="51" t="s">
        <v>566</v>
      </c>
      <c r="GR11" s="17">
        <v>0.13</v>
      </c>
      <c r="GS11" s="347">
        <f t="shared" si="51"/>
        <v>0.23024131060438338</v>
      </c>
      <c r="GT11" s="17" t="s">
        <v>42</v>
      </c>
      <c r="GU11" s="51" t="s">
        <v>567</v>
      </c>
      <c r="GV11" s="17">
        <v>0.73</v>
      </c>
      <c r="GW11" s="339">
        <f t="shared" si="52"/>
        <v>1.2928935133938451</v>
      </c>
      <c r="GX11" s="17" t="s">
        <v>48</v>
      </c>
      <c r="GY11" s="67" t="s">
        <v>504</v>
      </c>
      <c r="GZ11" s="17">
        <v>0.59</v>
      </c>
      <c r="HA11" s="331">
        <f t="shared" si="53"/>
        <v>1.0449413327429706</v>
      </c>
      <c r="HB11" s="17" t="s">
        <v>48</v>
      </c>
      <c r="HC11" s="20" t="s">
        <v>568</v>
      </c>
      <c r="HD11" s="17">
        <v>0.48</v>
      </c>
      <c r="HE11" s="288">
        <f t="shared" si="54"/>
        <v>0.85012176223156932</v>
      </c>
      <c r="HF11" s="17" t="s">
        <v>48</v>
      </c>
      <c r="HG11" s="20" t="s">
        <v>569</v>
      </c>
      <c r="HH11" s="17">
        <v>0.53</v>
      </c>
      <c r="HI11" s="155">
        <f t="shared" si="55"/>
        <v>0.9386761124640246</v>
      </c>
      <c r="HJ11" s="17" t="s">
        <v>48</v>
      </c>
      <c r="HK11" s="20" t="s">
        <v>570</v>
      </c>
      <c r="HL11" s="17">
        <v>0.48</v>
      </c>
      <c r="HM11" s="288">
        <f t="shared" si="56"/>
        <v>0.85012176223156932</v>
      </c>
      <c r="HN11" s="17" t="s">
        <v>42</v>
      </c>
      <c r="HO11" s="20" t="s">
        <v>571</v>
      </c>
      <c r="HP11" s="17">
        <v>0.31</v>
      </c>
      <c r="HQ11" s="348">
        <f t="shared" si="57"/>
        <v>0.54903697144122188</v>
      </c>
      <c r="HR11" s="17" t="s">
        <v>42</v>
      </c>
      <c r="HS11" s="73" t="s">
        <v>572</v>
      </c>
      <c r="HT11" s="17">
        <v>0.65</v>
      </c>
      <c r="HU11" s="44">
        <f t="shared" si="58"/>
        <v>1.1512065530219169</v>
      </c>
      <c r="HV11" s="17" t="s">
        <v>48</v>
      </c>
      <c r="HW11" s="75" t="s">
        <v>573</v>
      </c>
      <c r="HX11" s="17">
        <v>0.44</v>
      </c>
      <c r="HY11" s="344">
        <f t="shared" si="59"/>
        <v>0.77927828204560523</v>
      </c>
      <c r="HZ11" s="21" t="s">
        <v>70</v>
      </c>
      <c r="IA11" s="63"/>
      <c r="IB11" s="17">
        <v>0.59</v>
      </c>
      <c r="IC11" s="331">
        <f t="shared" si="60"/>
        <v>1.0449413327429706</v>
      </c>
      <c r="ID11" s="17" t="s">
        <v>46</v>
      </c>
      <c r="IE11" s="51" t="s">
        <v>574</v>
      </c>
      <c r="IF11" s="17">
        <v>0.63</v>
      </c>
      <c r="IG11" s="146">
        <f t="shared" si="61"/>
        <v>1.1157848129289349</v>
      </c>
      <c r="IH11" s="17" t="s">
        <v>42</v>
      </c>
      <c r="II11" s="67" t="s">
        <v>575</v>
      </c>
      <c r="IJ11" s="236">
        <v>0.36</v>
      </c>
      <c r="IK11" s="349">
        <f t="shared" si="62"/>
        <v>0.63759132167367705</v>
      </c>
      <c r="IL11" s="17" t="s">
        <v>46</v>
      </c>
      <c r="IM11" s="51" t="s">
        <v>512</v>
      </c>
      <c r="IN11" s="17">
        <v>0.28999999999999998</v>
      </c>
      <c r="IO11" s="350">
        <f t="shared" si="63"/>
        <v>0.51361523134823983</v>
      </c>
      <c r="IP11" s="17" t="s">
        <v>42</v>
      </c>
      <c r="IQ11" s="51" t="s">
        <v>576</v>
      </c>
      <c r="IR11" s="17">
        <v>0.56000000000000005</v>
      </c>
      <c r="IS11" s="122">
        <f t="shared" si="64"/>
        <v>0.99180872260349773</v>
      </c>
      <c r="IT11" s="17" t="s">
        <v>42</v>
      </c>
      <c r="IU11" s="75" t="s">
        <v>513</v>
      </c>
      <c r="IV11" s="17">
        <v>7.0000000000000007E-2</v>
      </c>
      <c r="IW11" s="351">
        <f t="shared" si="65"/>
        <v>0.12397609032543722</v>
      </c>
      <c r="IX11" s="17" t="s">
        <v>66</v>
      </c>
      <c r="IY11" s="51" t="s">
        <v>514</v>
      </c>
      <c r="IZ11" s="17">
        <v>0.38</v>
      </c>
      <c r="JA11" s="66">
        <f t="shared" si="66"/>
        <v>0.67301306176665909</v>
      </c>
      <c r="JB11" s="17" t="s">
        <v>42</v>
      </c>
      <c r="JC11" s="51" t="s">
        <v>577</v>
      </c>
      <c r="JD11" s="17">
        <v>0.74</v>
      </c>
      <c r="JE11" s="116">
        <f t="shared" si="67"/>
        <v>1.310604383440336</v>
      </c>
      <c r="JF11" s="17" t="s">
        <v>42</v>
      </c>
      <c r="JG11" s="51" t="s">
        <v>578</v>
      </c>
      <c r="JH11" s="17">
        <v>0.24</v>
      </c>
      <c r="JI11" s="237">
        <f t="shared" si="68"/>
        <v>0.42506088111578466</v>
      </c>
      <c r="JJ11" s="17" t="s">
        <v>46</v>
      </c>
      <c r="JK11" s="51" t="s">
        <v>579</v>
      </c>
      <c r="JL11" s="21">
        <v>0.25</v>
      </c>
      <c r="JM11" s="352">
        <f t="shared" si="69"/>
        <v>0.44277175116227574</v>
      </c>
      <c r="JN11" s="21" t="s">
        <v>46</v>
      </c>
      <c r="JO11" s="75" t="s">
        <v>580</v>
      </c>
      <c r="JP11" s="21">
        <v>0.4</v>
      </c>
      <c r="JQ11" s="353">
        <f t="shared" si="70"/>
        <v>0.70843480185964125</v>
      </c>
      <c r="JR11" s="21" t="s">
        <v>48</v>
      </c>
      <c r="JS11" s="51" t="s">
        <v>581</v>
      </c>
      <c r="JT11" s="21">
        <v>0.39</v>
      </c>
      <c r="JU11" s="354">
        <f t="shared" si="71"/>
        <v>0.69072393181315017</v>
      </c>
      <c r="JV11" s="21" t="s">
        <v>42</v>
      </c>
      <c r="JW11" s="75" t="s">
        <v>582</v>
      </c>
      <c r="JX11" s="17">
        <v>0.69</v>
      </c>
      <c r="JY11" s="48">
        <f t="shared" si="72"/>
        <v>1.222050033207881</v>
      </c>
      <c r="JZ11" s="51" t="s">
        <v>46</v>
      </c>
      <c r="KA11" s="51" t="s">
        <v>583</v>
      </c>
      <c r="KB11" s="21">
        <v>0.95</v>
      </c>
      <c r="KC11" s="355">
        <f t="shared" si="73"/>
        <v>1.6825326544166477</v>
      </c>
      <c r="KD11" s="75" t="s">
        <v>48</v>
      </c>
      <c r="KE11" s="75" t="s">
        <v>584</v>
      </c>
      <c r="KF11" s="17">
        <v>0.43</v>
      </c>
      <c r="KG11" s="356">
        <f t="shared" si="74"/>
        <v>0.76156741199911426</v>
      </c>
      <c r="KH11" s="51" t="s">
        <v>48</v>
      </c>
      <c r="KI11" s="51" t="s">
        <v>585</v>
      </c>
      <c r="KJ11" s="21">
        <v>0.51</v>
      </c>
      <c r="KK11" s="300">
        <f t="shared" si="75"/>
        <v>0.90325437237104245</v>
      </c>
      <c r="KL11" s="75" t="s">
        <v>66</v>
      </c>
      <c r="KM11" s="75" t="s">
        <v>586</v>
      </c>
      <c r="KN11" s="17">
        <v>0.61</v>
      </c>
      <c r="KO11" s="336">
        <f t="shared" si="76"/>
        <v>1.0803630728359528</v>
      </c>
      <c r="KP11" s="51" t="s">
        <v>42</v>
      </c>
      <c r="KQ11" s="51" t="s">
        <v>587</v>
      </c>
      <c r="KR11" s="21">
        <v>0.35</v>
      </c>
      <c r="KS11" s="125">
        <f t="shared" si="77"/>
        <v>0.61988045162718597</v>
      </c>
      <c r="KT11" s="75" t="s">
        <v>46</v>
      </c>
      <c r="KU11" s="75" t="s">
        <v>525</v>
      </c>
      <c r="KV11" s="82">
        <v>0.6</v>
      </c>
      <c r="KW11" s="334">
        <f t="shared" si="78"/>
        <v>1.0626522027894616</v>
      </c>
      <c r="KX11" s="51" t="s">
        <v>46</v>
      </c>
      <c r="KY11" s="51" t="s">
        <v>588</v>
      </c>
      <c r="KZ11" s="83">
        <v>0.33</v>
      </c>
      <c r="LA11" s="277">
        <f t="shared" si="79"/>
        <v>0.58445871153420403</v>
      </c>
      <c r="LB11" s="75" t="s">
        <v>46</v>
      </c>
      <c r="LC11" s="75" t="s">
        <v>589</v>
      </c>
      <c r="LD11" s="82">
        <v>0.32</v>
      </c>
      <c r="LE11" s="269">
        <f t="shared" si="80"/>
        <v>0.56674784148771296</v>
      </c>
      <c r="LF11" s="51" t="s">
        <v>70</v>
      </c>
      <c r="LG11" s="51" t="s">
        <v>590</v>
      </c>
      <c r="LH11" s="83">
        <v>0.18</v>
      </c>
      <c r="LI11" s="84"/>
      <c r="LJ11" s="85"/>
      <c r="LK11" s="85"/>
      <c r="LL11" s="86">
        <f t="shared" si="81"/>
        <v>0.56316455696202539</v>
      </c>
      <c r="LM11" s="86">
        <f t="shared" si="82"/>
        <v>1.2074623510901326</v>
      </c>
      <c r="LN11" s="86">
        <f t="shared" si="90"/>
        <v>1.0096630145083725</v>
      </c>
      <c r="LO11" s="86">
        <f t="shared" si="94"/>
        <v>1.2638344549316851</v>
      </c>
      <c r="LP11" s="86">
        <f t="shared" si="95"/>
        <v>-0.11009555327188392</v>
      </c>
      <c r="LQ11" s="87">
        <f t="shared" si="96"/>
        <v>0</v>
      </c>
      <c r="LR11" s="86">
        <f t="shared" si="97"/>
        <v>1.188234190935447</v>
      </c>
      <c r="LS11" s="84">
        <v>1</v>
      </c>
      <c r="LT11" s="87">
        <f t="shared" si="100"/>
        <v>0</v>
      </c>
      <c r="LU11" s="170" t="e">
        <f t="shared" si="92"/>
        <v>#REF!</v>
      </c>
      <c r="LV11" s="171" t="e">
        <f t="shared" si="98"/>
        <v>#REF!</v>
      </c>
      <c r="LW11" s="89" t="s">
        <v>3809</v>
      </c>
      <c r="LX11" s="89" t="str">
        <f t="shared" si="87"/>
        <v/>
      </c>
      <c r="LY11" s="89" t="str">
        <f t="shared" si="88"/>
        <v/>
      </c>
      <c r="LZ11" s="5"/>
      <c r="MA11" s="67" t="str">
        <f t="shared" si="99"/>
        <v>PALMEIRAS</v>
      </c>
      <c r="MB11" s="89" t="s">
        <v>3808</v>
      </c>
    </row>
    <row r="12" spans="1:340" x14ac:dyDescent="0.2">
      <c r="A12" s="16">
        <v>0.75624999999999998</v>
      </c>
      <c r="B12" s="357">
        <f t="shared" si="0"/>
        <v>0.58549999999999969</v>
      </c>
      <c r="C12" s="358">
        <f t="shared" si="1"/>
        <v>0.28095644748078641</v>
      </c>
      <c r="D12" s="17">
        <v>0.75</v>
      </c>
      <c r="E12" s="359">
        <f t="shared" si="2"/>
        <v>1.2809564474807864</v>
      </c>
      <c r="F12" s="17" t="s">
        <v>48</v>
      </c>
      <c r="G12" s="20" t="s">
        <v>591</v>
      </c>
      <c r="H12" s="21">
        <v>0.76</v>
      </c>
      <c r="I12" s="360">
        <f t="shared" si="3"/>
        <v>1.2980358667805301</v>
      </c>
      <c r="J12" s="21" t="s">
        <v>42</v>
      </c>
      <c r="K12" s="23" t="s">
        <v>592</v>
      </c>
      <c r="L12" s="17">
        <v>0.71</v>
      </c>
      <c r="M12" s="361">
        <f t="shared" si="4"/>
        <v>1.2126387702818111</v>
      </c>
      <c r="N12" s="17" t="s">
        <v>42</v>
      </c>
      <c r="O12" s="20" t="s">
        <v>593</v>
      </c>
      <c r="P12" s="21">
        <v>0.59</v>
      </c>
      <c r="Q12" s="362">
        <f t="shared" si="5"/>
        <v>1.0076857386848852</v>
      </c>
      <c r="R12" s="21" t="s">
        <v>42</v>
      </c>
      <c r="S12" s="23" t="s">
        <v>594</v>
      </c>
      <c r="T12" s="17">
        <v>0.42</v>
      </c>
      <c r="U12" s="291">
        <f t="shared" si="6"/>
        <v>0.71733561058924034</v>
      </c>
      <c r="V12" s="17" t="s">
        <v>48</v>
      </c>
      <c r="W12" s="5"/>
      <c r="X12" s="21">
        <v>0.71</v>
      </c>
      <c r="Y12" s="361">
        <f t="shared" si="7"/>
        <v>1.2126387702818111</v>
      </c>
      <c r="Z12" s="21" t="s">
        <v>48</v>
      </c>
      <c r="AA12" s="28"/>
      <c r="AB12" s="17">
        <v>0.69</v>
      </c>
      <c r="AC12" s="25">
        <f t="shared" si="8"/>
        <v>1.1784799316823233</v>
      </c>
      <c r="AD12" s="17" t="s">
        <v>66</v>
      </c>
      <c r="AE12" s="20" t="s">
        <v>595</v>
      </c>
      <c r="AF12" s="21">
        <v>0.57999999999999996</v>
      </c>
      <c r="AG12" s="122">
        <f t="shared" si="9"/>
        <v>0.99060631938514132</v>
      </c>
      <c r="AH12" s="21" t="s">
        <v>70</v>
      </c>
      <c r="AI12" s="23" t="s">
        <v>596</v>
      </c>
      <c r="AJ12" s="17">
        <v>0.84</v>
      </c>
      <c r="AK12" s="335">
        <f t="shared" si="10"/>
        <v>1.4346712211784807</v>
      </c>
      <c r="AL12" s="17" t="s">
        <v>42</v>
      </c>
      <c r="AM12" s="20" t="s">
        <v>597</v>
      </c>
      <c r="AN12" s="21">
        <v>1.04</v>
      </c>
      <c r="AO12" s="319">
        <f t="shared" si="11"/>
        <v>1.7762596071733572</v>
      </c>
      <c r="AP12" s="21" t="s">
        <v>48</v>
      </c>
      <c r="AQ12" s="23" t="s">
        <v>598</v>
      </c>
      <c r="AR12" s="17">
        <v>0.54</v>
      </c>
      <c r="AS12" s="297">
        <f t="shared" si="12"/>
        <v>0.92228864218616624</v>
      </c>
      <c r="AT12" s="17" t="s">
        <v>42</v>
      </c>
      <c r="AU12" s="20" t="s">
        <v>599</v>
      </c>
      <c r="AV12" s="21">
        <v>0.76</v>
      </c>
      <c r="AW12" s="360">
        <f t="shared" si="13"/>
        <v>1.2980358667805301</v>
      </c>
      <c r="AX12" s="21" t="s">
        <v>66</v>
      </c>
      <c r="AY12" s="23" t="s">
        <v>600</v>
      </c>
      <c r="AZ12" s="17">
        <v>0.7</v>
      </c>
      <c r="BA12" s="363">
        <f t="shared" si="14"/>
        <v>1.1955593509820672</v>
      </c>
      <c r="BB12" s="17" t="s">
        <v>42</v>
      </c>
      <c r="BC12" s="20" t="s">
        <v>601</v>
      </c>
      <c r="BD12" s="17">
        <v>0.83</v>
      </c>
      <c r="BE12" s="52">
        <f t="shared" si="15"/>
        <v>1.4175918018787368</v>
      </c>
      <c r="BF12" s="17" t="s">
        <v>42</v>
      </c>
      <c r="BG12" s="20" t="s">
        <v>602</v>
      </c>
      <c r="BH12" s="37">
        <v>1.05</v>
      </c>
      <c r="BI12" s="167">
        <f t="shared" si="16"/>
        <v>1.7933390264731008</v>
      </c>
      <c r="BJ12" s="37" t="s">
        <v>42</v>
      </c>
      <c r="BK12" s="38" t="s">
        <v>603</v>
      </c>
      <c r="BL12" s="17">
        <v>0.61</v>
      </c>
      <c r="BM12" s="364">
        <f t="shared" si="17"/>
        <v>1.041844577284373</v>
      </c>
      <c r="BN12" s="17" t="s">
        <v>48</v>
      </c>
      <c r="BO12" s="40"/>
      <c r="BP12" s="17">
        <v>0.65</v>
      </c>
      <c r="BQ12" s="365">
        <f t="shared" si="18"/>
        <v>1.1101622544833483</v>
      </c>
      <c r="BR12" s="17" t="s">
        <v>70</v>
      </c>
      <c r="BS12" s="41"/>
      <c r="BT12" s="37">
        <v>0.76</v>
      </c>
      <c r="BU12" s="360">
        <f t="shared" si="19"/>
        <v>1.2980358667805301</v>
      </c>
      <c r="BV12" s="21" t="s">
        <v>46</v>
      </c>
      <c r="BW12" s="23" t="s">
        <v>604</v>
      </c>
      <c r="BX12" s="17">
        <v>0.52</v>
      </c>
      <c r="BY12" s="366">
        <f t="shared" si="20"/>
        <v>0.88812980358667859</v>
      </c>
      <c r="BZ12" s="17" t="s">
        <v>42</v>
      </c>
      <c r="CA12" s="20" t="s">
        <v>605</v>
      </c>
      <c r="CB12" s="37">
        <v>0.46</v>
      </c>
      <c r="CC12" s="174">
        <f t="shared" si="21"/>
        <v>0.78565328778821564</v>
      </c>
      <c r="CD12" s="21" t="s">
        <v>42</v>
      </c>
      <c r="CE12" s="23" t="s">
        <v>606</v>
      </c>
      <c r="CF12" s="17">
        <v>0.34</v>
      </c>
      <c r="CG12" s="184">
        <f t="shared" si="22"/>
        <v>0.58070025619128984</v>
      </c>
      <c r="CH12" s="17" t="s">
        <v>356</v>
      </c>
      <c r="CI12" s="20" t="s">
        <v>607</v>
      </c>
      <c r="CJ12" s="37">
        <v>0.24</v>
      </c>
      <c r="CK12" s="273">
        <f t="shared" si="23"/>
        <v>0.40990606319385159</v>
      </c>
      <c r="CL12" s="46" t="s">
        <v>48</v>
      </c>
      <c r="CM12" s="23" t="s">
        <v>608</v>
      </c>
      <c r="CN12" s="17">
        <v>0.66</v>
      </c>
      <c r="CO12" s="367">
        <f t="shared" si="24"/>
        <v>1.1272416737830919</v>
      </c>
      <c r="CP12" s="17" t="s">
        <v>42</v>
      </c>
      <c r="CQ12" s="20" t="s">
        <v>609</v>
      </c>
      <c r="CR12" s="37">
        <v>0.38</v>
      </c>
      <c r="CS12" s="240">
        <f t="shared" si="25"/>
        <v>0.64901793339026503</v>
      </c>
      <c r="CT12" s="21" t="s">
        <v>42</v>
      </c>
      <c r="CU12" s="23" t="s">
        <v>610</v>
      </c>
      <c r="CV12" s="17">
        <v>0.6</v>
      </c>
      <c r="CW12" s="368">
        <f t="shared" si="26"/>
        <v>1.0247651579846291</v>
      </c>
      <c r="CX12" s="17" t="s">
        <v>48</v>
      </c>
      <c r="CY12" s="20" t="s">
        <v>611</v>
      </c>
      <c r="CZ12" s="37">
        <v>0.47</v>
      </c>
      <c r="DA12" s="268">
        <f t="shared" si="27"/>
        <v>0.80273270708795941</v>
      </c>
      <c r="DB12" s="21" t="s">
        <v>46</v>
      </c>
      <c r="DC12" s="23" t="s">
        <v>612</v>
      </c>
      <c r="DD12" s="17">
        <v>0.57999999999999996</v>
      </c>
      <c r="DE12" s="122">
        <f t="shared" si="28"/>
        <v>0.99060631938514132</v>
      </c>
      <c r="DF12" s="17" t="s">
        <v>48</v>
      </c>
      <c r="DG12" s="20" t="s">
        <v>613</v>
      </c>
      <c r="DH12" s="37">
        <v>0.77</v>
      </c>
      <c r="DI12" s="369">
        <f t="shared" si="29"/>
        <v>1.3151152860802739</v>
      </c>
      <c r="DJ12" s="21" t="s">
        <v>48</v>
      </c>
      <c r="DK12" s="28"/>
      <c r="DL12" s="17">
        <v>0.2</v>
      </c>
      <c r="DM12" s="370">
        <f t="shared" si="30"/>
        <v>0.3415883859948764</v>
      </c>
      <c r="DN12" s="17" t="s">
        <v>70</v>
      </c>
      <c r="DO12" s="51" t="s">
        <v>614</v>
      </c>
      <c r="DP12" s="21">
        <v>0.86</v>
      </c>
      <c r="DQ12" s="371">
        <f t="shared" si="31"/>
        <v>1.4688300597779682</v>
      </c>
      <c r="DR12" s="53" t="s">
        <v>70</v>
      </c>
      <c r="DS12" s="54" t="s">
        <v>615</v>
      </c>
      <c r="DT12" s="53">
        <v>0.54</v>
      </c>
      <c r="DU12" s="297">
        <f t="shared" si="32"/>
        <v>0.92228864218616624</v>
      </c>
      <c r="DV12" s="56" t="s">
        <v>46</v>
      </c>
      <c r="DW12" s="57" t="s">
        <v>616</v>
      </c>
      <c r="DX12" s="53">
        <v>0.34</v>
      </c>
      <c r="DY12" s="184">
        <f t="shared" si="33"/>
        <v>0.58070025619128984</v>
      </c>
      <c r="DZ12" s="53" t="s">
        <v>42</v>
      </c>
      <c r="EA12" s="54" t="s">
        <v>616</v>
      </c>
      <c r="EB12" s="56">
        <v>0.45</v>
      </c>
      <c r="EC12" s="202">
        <f t="shared" si="34"/>
        <v>0.76857386848847187</v>
      </c>
      <c r="ED12" s="56" t="s">
        <v>42</v>
      </c>
      <c r="EE12" s="57" t="s">
        <v>553</v>
      </c>
      <c r="EF12" s="53">
        <v>0.56999999999999995</v>
      </c>
      <c r="EG12" s="186">
        <f t="shared" si="35"/>
        <v>0.97352690008539755</v>
      </c>
      <c r="EH12" s="53" t="s">
        <v>46</v>
      </c>
      <c r="EI12" s="57" t="s">
        <v>617</v>
      </c>
      <c r="EJ12" s="53">
        <v>0.77</v>
      </c>
      <c r="EK12" s="369">
        <f t="shared" si="36"/>
        <v>1.3151152860802739</v>
      </c>
      <c r="EL12" s="56" t="s">
        <v>48</v>
      </c>
      <c r="EM12" s="57" t="s">
        <v>618</v>
      </c>
      <c r="EN12" s="53">
        <v>0.71</v>
      </c>
      <c r="EO12" s="361">
        <f t="shared" si="37"/>
        <v>1.2126387702818111</v>
      </c>
      <c r="EP12" s="53" t="s">
        <v>42</v>
      </c>
      <c r="EQ12" s="23" t="s">
        <v>619</v>
      </c>
      <c r="ER12" s="53">
        <v>0.65</v>
      </c>
      <c r="ES12" s="365">
        <f t="shared" si="38"/>
        <v>1.1101622544833483</v>
      </c>
      <c r="ET12" s="53" t="s">
        <v>48</v>
      </c>
      <c r="EU12" s="20" t="s">
        <v>620</v>
      </c>
      <c r="EV12" s="53">
        <v>0.64</v>
      </c>
      <c r="EW12" s="270">
        <f t="shared" si="39"/>
        <v>1.0930828351836044</v>
      </c>
      <c r="EX12" s="21" t="s">
        <v>48</v>
      </c>
      <c r="EY12" s="57" t="s">
        <v>621</v>
      </c>
      <c r="EZ12" s="53">
        <v>0.52</v>
      </c>
      <c r="FA12" s="366">
        <f t="shared" si="40"/>
        <v>0.88812980358667859</v>
      </c>
      <c r="FB12" s="40"/>
      <c r="FC12" s="40"/>
      <c r="FD12" s="53">
        <v>0.82</v>
      </c>
      <c r="FE12" s="140">
        <f t="shared" si="41"/>
        <v>1.4005123825789929</v>
      </c>
      <c r="FF12" s="21" t="s">
        <v>48</v>
      </c>
      <c r="FG12" s="64"/>
      <c r="FH12" s="17">
        <v>0.91</v>
      </c>
      <c r="FI12" s="372">
        <f t="shared" si="42"/>
        <v>1.5542271562766874</v>
      </c>
      <c r="FJ12" s="17" t="s">
        <v>42</v>
      </c>
      <c r="FK12" s="51" t="s">
        <v>622</v>
      </c>
      <c r="FL12" s="17">
        <v>0.9</v>
      </c>
      <c r="FM12" s="373">
        <f t="shared" si="43"/>
        <v>1.5371477369769437</v>
      </c>
      <c r="FN12" s="21" t="s">
        <v>48</v>
      </c>
      <c r="FO12" s="51" t="s">
        <v>623</v>
      </c>
      <c r="FP12" s="17">
        <v>0.44</v>
      </c>
      <c r="FQ12" s="242">
        <f t="shared" si="44"/>
        <v>0.75149444918872799</v>
      </c>
      <c r="FR12" s="17" t="s">
        <v>42</v>
      </c>
      <c r="FS12" s="51" t="s">
        <v>624</v>
      </c>
      <c r="FT12" s="17">
        <v>1</v>
      </c>
      <c r="FU12" s="59">
        <f t="shared" si="45"/>
        <v>1.7079419299743819</v>
      </c>
      <c r="FV12" s="17" t="s">
        <v>48</v>
      </c>
      <c r="FW12" s="51" t="s">
        <v>625</v>
      </c>
      <c r="FX12" s="17">
        <v>0.92</v>
      </c>
      <c r="FY12" s="374">
        <f t="shared" si="46"/>
        <v>1.5713065755764313</v>
      </c>
      <c r="FZ12" s="17" t="s">
        <v>42</v>
      </c>
      <c r="GA12" s="51" t="s">
        <v>626</v>
      </c>
      <c r="GB12" s="53">
        <v>0.73</v>
      </c>
      <c r="GC12" s="375">
        <f t="shared" si="47"/>
        <v>1.2467976088812986</v>
      </c>
      <c r="GD12" s="21" t="s">
        <v>42</v>
      </c>
      <c r="GE12" s="63"/>
      <c r="GF12" s="17">
        <v>0.47</v>
      </c>
      <c r="GG12" s="268">
        <f t="shared" si="48"/>
        <v>0.80273270708795941</v>
      </c>
      <c r="GH12" s="17" t="s">
        <v>42</v>
      </c>
      <c r="GI12" s="51" t="s">
        <v>627</v>
      </c>
      <c r="GJ12" s="17">
        <v>0.75</v>
      </c>
      <c r="GK12" s="359">
        <f t="shared" si="49"/>
        <v>1.2809564474807864</v>
      </c>
      <c r="GL12" s="17" t="s">
        <v>42</v>
      </c>
      <c r="GM12" s="67" t="s">
        <v>628</v>
      </c>
      <c r="GN12" s="17">
        <v>0.33</v>
      </c>
      <c r="GO12" s="376">
        <f t="shared" si="50"/>
        <v>0.56362083689154596</v>
      </c>
      <c r="GP12" s="17" t="s">
        <v>48</v>
      </c>
      <c r="GQ12" s="51" t="s">
        <v>629</v>
      </c>
      <c r="GR12" s="17">
        <v>0.13</v>
      </c>
      <c r="GS12" s="377">
        <f t="shared" si="51"/>
        <v>0.22203245089666965</v>
      </c>
      <c r="GT12" s="17" t="s">
        <v>42</v>
      </c>
      <c r="GU12" s="51" t="s">
        <v>630</v>
      </c>
      <c r="GV12" s="17">
        <v>0.77</v>
      </c>
      <c r="GW12" s="369">
        <f t="shared" si="52"/>
        <v>1.3151152860802739</v>
      </c>
      <c r="GX12" s="17" t="s">
        <v>48</v>
      </c>
      <c r="GY12" s="67" t="s">
        <v>631</v>
      </c>
      <c r="GZ12" s="17">
        <v>0.53</v>
      </c>
      <c r="HA12" s="300">
        <f t="shared" si="53"/>
        <v>0.90520922288642236</v>
      </c>
      <c r="HB12" s="17" t="s">
        <v>46</v>
      </c>
      <c r="HC12" s="20" t="s">
        <v>632</v>
      </c>
      <c r="HD12" s="17">
        <v>0.48</v>
      </c>
      <c r="HE12" s="378">
        <f t="shared" si="54"/>
        <v>0.81981212638770318</v>
      </c>
      <c r="HF12" s="17" t="s">
        <v>48</v>
      </c>
      <c r="HG12" s="20" t="s">
        <v>633</v>
      </c>
      <c r="HH12" s="17">
        <v>0.65</v>
      </c>
      <c r="HI12" s="365">
        <f t="shared" si="55"/>
        <v>1.1101622544833483</v>
      </c>
      <c r="HJ12" s="17" t="s">
        <v>48</v>
      </c>
      <c r="HK12" s="20" t="s">
        <v>634</v>
      </c>
      <c r="HL12" s="17">
        <v>0.48</v>
      </c>
      <c r="HM12" s="378">
        <f t="shared" si="56"/>
        <v>0.81981212638770318</v>
      </c>
      <c r="HN12" s="17" t="s">
        <v>48</v>
      </c>
      <c r="HO12" s="20" t="s">
        <v>635</v>
      </c>
      <c r="HP12" s="17">
        <v>0.38</v>
      </c>
      <c r="HQ12" s="240">
        <f t="shared" si="57"/>
        <v>0.64901793339026503</v>
      </c>
      <c r="HR12" s="17" t="s">
        <v>42</v>
      </c>
      <c r="HS12" s="73" t="s">
        <v>636</v>
      </c>
      <c r="HT12" s="17">
        <v>0.77</v>
      </c>
      <c r="HU12" s="369">
        <f t="shared" si="58"/>
        <v>1.3151152860802739</v>
      </c>
      <c r="HV12" s="17" t="s">
        <v>48</v>
      </c>
      <c r="HW12" s="75" t="s">
        <v>637</v>
      </c>
      <c r="HX12" s="17">
        <v>0.44</v>
      </c>
      <c r="HY12" s="242">
        <f t="shared" si="59"/>
        <v>0.75149444918872799</v>
      </c>
      <c r="HZ12" s="21" t="s">
        <v>70</v>
      </c>
      <c r="IA12" s="75" t="s">
        <v>638</v>
      </c>
      <c r="IB12" s="17">
        <v>0.65</v>
      </c>
      <c r="IC12" s="365">
        <f t="shared" si="60"/>
        <v>1.1101622544833483</v>
      </c>
      <c r="ID12" s="17" t="s">
        <v>46</v>
      </c>
      <c r="IE12" s="51" t="s">
        <v>639</v>
      </c>
      <c r="IF12" s="17">
        <v>0.56999999999999995</v>
      </c>
      <c r="IG12" s="186">
        <f t="shared" si="61"/>
        <v>0.97352690008539755</v>
      </c>
      <c r="IH12" s="17" t="s">
        <v>42</v>
      </c>
      <c r="II12" s="67" t="s">
        <v>640</v>
      </c>
      <c r="IJ12" s="17">
        <v>0.41</v>
      </c>
      <c r="IK12" s="154">
        <f t="shared" si="62"/>
        <v>0.70025619128949645</v>
      </c>
      <c r="IL12" s="17" t="s">
        <v>46</v>
      </c>
      <c r="IM12" s="51" t="s">
        <v>641</v>
      </c>
      <c r="IN12" s="17">
        <v>0.28999999999999998</v>
      </c>
      <c r="IO12" s="210">
        <f t="shared" si="63"/>
        <v>0.49530315969257066</v>
      </c>
      <c r="IP12" s="17" t="s">
        <v>42</v>
      </c>
      <c r="IQ12" s="51" t="s">
        <v>642</v>
      </c>
      <c r="IR12" s="17">
        <v>0.64</v>
      </c>
      <c r="IS12" s="270">
        <f t="shared" si="64"/>
        <v>1.0930828351836044</v>
      </c>
      <c r="IT12" s="17" t="s">
        <v>42</v>
      </c>
      <c r="IU12" s="75" t="s">
        <v>643</v>
      </c>
      <c r="IV12" s="17">
        <v>7.0000000000000007E-2</v>
      </c>
      <c r="IW12" s="379">
        <f t="shared" si="65"/>
        <v>0.11955593509820674</v>
      </c>
      <c r="IX12" s="17" t="s">
        <v>66</v>
      </c>
      <c r="IY12" s="51" t="s">
        <v>644</v>
      </c>
      <c r="IZ12" s="17">
        <v>0.64</v>
      </c>
      <c r="JA12" s="270">
        <f t="shared" si="66"/>
        <v>1.0930828351836044</v>
      </c>
      <c r="JB12" s="17" t="s">
        <v>42</v>
      </c>
      <c r="JC12" s="51" t="s">
        <v>645</v>
      </c>
      <c r="JD12" s="17">
        <v>0.66</v>
      </c>
      <c r="JE12" s="367">
        <f t="shared" si="67"/>
        <v>1.1272416737830919</v>
      </c>
      <c r="JF12" s="17" t="s">
        <v>42</v>
      </c>
      <c r="JG12" s="51" t="s">
        <v>646</v>
      </c>
      <c r="JH12" s="17">
        <v>0.31</v>
      </c>
      <c r="JI12" s="380">
        <f t="shared" si="68"/>
        <v>0.52946199829205831</v>
      </c>
      <c r="JJ12" s="17" t="s">
        <v>46</v>
      </c>
      <c r="JK12" s="51" t="s">
        <v>647</v>
      </c>
      <c r="JL12" s="21">
        <v>0.25</v>
      </c>
      <c r="JM12" s="237">
        <f t="shared" si="69"/>
        <v>0.42698548249359547</v>
      </c>
      <c r="JN12" s="21" t="s">
        <v>46</v>
      </c>
      <c r="JO12" s="75" t="s">
        <v>648</v>
      </c>
      <c r="JP12" s="21">
        <v>0.47</v>
      </c>
      <c r="JQ12" s="268">
        <f t="shared" si="70"/>
        <v>0.80273270708795941</v>
      </c>
      <c r="JR12" s="21" t="s">
        <v>70</v>
      </c>
      <c r="JS12" s="51" t="s">
        <v>649</v>
      </c>
      <c r="JT12" s="21">
        <v>0.39</v>
      </c>
      <c r="JU12" s="178">
        <f t="shared" si="71"/>
        <v>0.66609735269000891</v>
      </c>
      <c r="JV12" s="21" t="s">
        <v>42</v>
      </c>
      <c r="JW12" s="75" t="s">
        <v>650</v>
      </c>
      <c r="JX12" s="17">
        <v>0.69</v>
      </c>
      <c r="JY12" s="25">
        <f t="shared" si="72"/>
        <v>1.1784799316823233</v>
      </c>
      <c r="JZ12" s="51" t="s">
        <v>46</v>
      </c>
      <c r="KA12" s="51" t="s">
        <v>651</v>
      </c>
      <c r="KB12" s="21">
        <v>1</v>
      </c>
      <c r="KC12" s="59">
        <f t="shared" si="73"/>
        <v>1.7079419299743819</v>
      </c>
      <c r="KD12" s="75" t="s">
        <v>48</v>
      </c>
      <c r="KE12" s="75" t="s">
        <v>652</v>
      </c>
      <c r="KF12" s="17">
        <v>0.48</v>
      </c>
      <c r="KG12" s="378">
        <f t="shared" si="74"/>
        <v>0.81981212638770318</v>
      </c>
      <c r="KH12" s="51" t="s">
        <v>48</v>
      </c>
      <c r="KI12" s="51" t="s">
        <v>653</v>
      </c>
      <c r="KJ12" s="21">
        <v>0.51</v>
      </c>
      <c r="KK12" s="115">
        <f t="shared" si="75"/>
        <v>0.87105038428693471</v>
      </c>
      <c r="KL12" s="75" t="s">
        <v>66</v>
      </c>
      <c r="KM12" s="75" t="s">
        <v>654</v>
      </c>
      <c r="KN12" s="17">
        <v>0.61</v>
      </c>
      <c r="KO12" s="364">
        <f t="shared" si="76"/>
        <v>1.041844577284373</v>
      </c>
      <c r="KP12" s="51" t="s">
        <v>70</v>
      </c>
      <c r="KQ12" s="51" t="s">
        <v>655</v>
      </c>
      <c r="KR12" s="21">
        <v>0.42</v>
      </c>
      <c r="KS12" s="291">
        <f t="shared" si="77"/>
        <v>0.71733561058924034</v>
      </c>
      <c r="KT12" s="75" t="s">
        <v>46</v>
      </c>
      <c r="KU12" s="75" t="s">
        <v>656</v>
      </c>
      <c r="KV12" s="82">
        <v>0.67</v>
      </c>
      <c r="KW12" s="381">
        <f t="shared" si="78"/>
        <v>1.1443210930828358</v>
      </c>
      <c r="KX12" s="51" t="s">
        <v>110</v>
      </c>
      <c r="KY12" s="51" t="s">
        <v>657</v>
      </c>
      <c r="KZ12" s="83">
        <v>0.33</v>
      </c>
      <c r="LA12" s="376">
        <f t="shared" si="79"/>
        <v>0.56362083689154596</v>
      </c>
      <c r="LB12" s="75" t="s">
        <v>46</v>
      </c>
      <c r="LC12" s="75" t="s">
        <v>658</v>
      </c>
      <c r="LD12" s="82">
        <v>0.37</v>
      </c>
      <c r="LE12" s="382">
        <f t="shared" si="80"/>
        <v>0.63193851409052126</v>
      </c>
      <c r="LF12" s="51" t="s">
        <v>70</v>
      </c>
      <c r="LG12" s="51" t="s">
        <v>659</v>
      </c>
      <c r="LH12" s="83">
        <v>0.25</v>
      </c>
      <c r="LI12" s="84"/>
      <c r="LJ12" s="85"/>
      <c r="LK12" s="85"/>
      <c r="LL12" s="86">
        <f t="shared" si="81"/>
        <v>0.58341772151898708</v>
      </c>
      <c r="LM12" s="86">
        <f t="shared" si="82"/>
        <v>1.2855283141679328</v>
      </c>
      <c r="LN12" s="86">
        <f t="shared" si="90"/>
        <v>1.0316407185730125</v>
      </c>
      <c r="LO12" s="86">
        <f t="shared" si="94"/>
        <v>1.2278453650086518</v>
      </c>
      <c r="LP12" s="86">
        <f t="shared" si="95"/>
        <v>-7.9244235736215751E-2</v>
      </c>
      <c r="LQ12" s="87">
        <f t="shared" si="96"/>
        <v>0</v>
      </c>
      <c r="LR12" s="86">
        <f t="shared" si="97"/>
        <v>1.1726411975773878</v>
      </c>
      <c r="LS12" s="84">
        <v>1</v>
      </c>
      <c r="LT12" s="87">
        <f t="shared" si="100"/>
        <v>0</v>
      </c>
      <c r="LU12" s="170" t="e">
        <f t="shared" si="92"/>
        <v>#REF!</v>
      </c>
      <c r="LV12" s="171" t="e">
        <f t="shared" si="98"/>
        <v>#REF!</v>
      </c>
      <c r="LW12" s="89" t="s">
        <v>3809</v>
      </c>
      <c r="LX12" s="89" t="str">
        <f t="shared" si="87"/>
        <v/>
      </c>
      <c r="LY12" s="89" t="str">
        <f t="shared" si="88"/>
        <v/>
      </c>
      <c r="LZ12" s="5"/>
      <c r="MA12" s="67" t="str">
        <f t="shared" si="99"/>
        <v>PALMEIRAS</v>
      </c>
      <c r="MB12" s="89" t="s">
        <v>3808</v>
      </c>
    </row>
    <row r="13" spans="1:340" x14ac:dyDescent="0.2">
      <c r="A13" s="16">
        <v>0.75694444444444442</v>
      </c>
      <c r="B13" s="383">
        <f t="shared" si="0"/>
        <v>0.59287499999999993</v>
      </c>
      <c r="C13" s="384">
        <f t="shared" si="1"/>
        <v>0.14695340501792131</v>
      </c>
      <c r="D13" s="17">
        <v>0.68</v>
      </c>
      <c r="E13" s="131">
        <f t="shared" si="2"/>
        <v>1.1469534050179213</v>
      </c>
      <c r="F13" s="17" t="s">
        <v>48</v>
      </c>
      <c r="G13" s="20" t="s">
        <v>660</v>
      </c>
      <c r="H13" s="21">
        <v>0.69</v>
      </c>
      <c r="I13" s="311">
        <f t="shared" si="3"/>
        <v>1.16382036685642</v>
      </c>
      <c r="J13" s="21" t="s">
        <v>42</v>
      </c>
      <c r="K13" s="23" t="s">
        <v>661</v>
      </c>
      <c r="L13" s="17">
        <v>0.65</v>
      </c>
      <c r="M13" s="385">
        <f t="shared" si="4"/>
        <v>1.0963525195024248</v>
      </c>
      <c r="N13" s="17" t="s">
        <v>42</v>
      </c>
      <c r="O13" s="20" t="s">
        <v>662</v>
      </c>
      <c r="P13" s="21">
        <v>0.59</v>
      </c>
      <c r="Q13" s="251">
        <f t="shared" si="5"/>
        <v>0.9951507484714317</v>
      </c>
      <c r="R13" s="21" t="s">
        <v>42</v>
      </c>
      <c r="S13" s="23" t="s">
        <v>663</v>
      </c>
      <c r="T13" s="17">
        <v>0.42</v>
      </c>
      <c r="U13" s="353">
        <f t="shared" si="6"/>
        <v>0.70841239721695137</v>
      </c>
      <c r="V13" s="17" t="s">
        <v>48</v>
      </c>
      <c r="W13" s="5"/>
      <c r="X13" s="21">
        <v>0.71</v>
      </c>
      <c r="Y13" s="386">
        <f t="shared" si="7"/>
        <v>1.1975542905334178</v>
      </c>
      <c r="Z13" s="21" t="s">
        <v>48</v>
      </c>
      <c r="AA13" s="28"/>
      <c r="AB13" s="17">
        <v>0.69</v>
      </c>
      <c r="AC13" s="311">
        <f t="shared" si="8"/>
        <v>1.16382036685642</v>
      </c>
      <c r="AD13" s="17" t="s">
        <v>66</v>
      </c>
      <c r="AE13" s="20" t="s">
        <v>664</v>
      </c>
      <c r="AF13" s="21">
        <v>0.64</v>
      </c>
      <c r="AG13" s="176">
        <f t="shared" si="9"/>
        <v>1.079485557663926</v>
      </c>
      <c r="AH13" s="21" t="s">
        <v>70</v>
      </c>
      <c r="AI13" s="23" t="s">
        <v>665</v>
      </c>
      <c r="AJ13" s="17">
        <v>1.02</v>
      </c>
      <c r="AK13" s="309">
        <f t="shared" si="10"/>
        <v>1.720430107526882</v>
      </c>
      <c r="AL13" s="17" t="s">
        <v>42</v>
      </c>
      <c r="AM13" s="20" t="s">
        <v>666</v>
      </c>
      <c r="AN13" s="21">
        <v>1.0900000000000001</v>
      </c>
      <c r="AO13" s="387">
        <f t="shared" si="11"/>
        <v>1.838498840396374</v>
      </c>
      <c r="AP13" s="21" t="s">
        <v>42</v>
      </c>
      <c r="AQ13" s="23" t="s">
        <v>667</v>
      </c>
      <c r="AR13" s="17">
        <v>0.46</v>
      </c>
      <c r="AS13" s="217">
        <f t="shared" si="12"/>
        <v>0.77588024457094673</v>
      </c>
      <c r="AT13" s="17" t="s">
        <v>42</v>
      </c>
      <c r="AU13" s="20" t="s">
        <v>668</v>
      </c>
      <c r="AV13" s="21">
        <v>0.84</v>
      </c>
      <c r="AW13" s="308">
        <f t="shared" si="13"/>
        <v>1.4168247944339027</v>
      </c>
      <c r="AX13" s="21" t="s">
        <v>66</v>
      </c>
      <c r="AY13" s="23" t="s">
        <v>669</v>
      </c>
      <c r="AZ13" s="17">
        <v>0.7</v>
      </c>
      <c r="BA13" s="25">
        <f t="shared" si="14"/>
        <v>1.1806873286949189</v>
      </c>
      <c r="BB13" s="17" t="s">
        <v>42</v>
      </c>
      <c r="BC13" s="20" t="s">
        <v>670</v>
      </c>
      <c r="BD13" s="17">
        <v>0.83</v>
      </c>
      <c r="BE13" s="140">
        <f t="shared" si="15"/>
        <v>1.3999578325954039</v>
      </c>
      <c r="BF13" s="17" t="s">
        <v>42</v>
      </c>
      <c r="BG13" s="20" t="s">
        <v>671</v>
      </c>
      <c r="BH13" s="37">
        <v>1.18</v>
      </c>
      <c r="BI13" s="388">
        <f t="shared" si="16"/>
        <v>1.9903014969428634</v>
      </c>
      <c r="BJ13" s="37" t="s">
        <v>42</v>
      </c>
      <c r="BK13" s="38" t="s">
        <v>672</v>
      </c>
      <c r="BL13" s="17">
        <v>0.61</v>
      </c>
      <c r="BM13" s="141">
        <f t="shared" si="17"/>
        <v>1.0288846721484293</v>
      </c>
      <c r="BN13" s="17" t="s">
        <v>48</v>
      </c>
      <c r="BO13" s="40"/>
      <c r="BP13" s="17">
        <v>0.57999999999999996</v>
      </c>
      <c r="BQ13" s="389">
        <f t="shared" si="18"/>
        <v>0.97828378663293281</v>
      </c>
      <c r="BR13" s="17" t="s">
        <v>70</v>
      </c>
      <c r="BS13" s="41"/>
      <c r="BT13" s="37">
        <v>0.82</v>
      </c>
      <c r="BU13" s="390">
        <f t="shared" si="19"/>
        <v>1.383090870756905</v>
      </c>
      <c r="BV13" s="21" t="s">
        <v>46</v>
      </c>
      <c r="BW13" s="23" t="s">
        <v>673</v>
      </c>
      <c r="BX13" s="17">
        <v>0.52</v>
      </c>
      <c r="BY13" s="145">
        <f t="shared" si="20"/>
        <v>0.87708201560193988</v>
      </c>
      <c r="BZ13" s="17" t="s">
        <v>42</v>
      </c>
      <c r="CA13" s="20" t="s">
        <v>674</v>
      </c>
      <c r="CB13" s="37">
        <v>0.46</v>
      </c>
      <c r="CC13" s="217">
        <f t="shared" si="21"/>
        <v>0.77588024457094673</v>
      </c>
      <c r="CD13" s="21" t="s">
        <v>48</v>
      </c>
      <c r="CE13" s="23" t="s">
        <v>675</v>
      </c>
      <c r="CF13" s="17">
        <v>0.34</v>
      </c>
      <c r="CG13" s="133">
        <f t="shared" si="22"/>
        <v>0.57347670250896066</v>
      </c>
      <c r="CH13" s="17" t="s">
        <v>356</v>
      </c>
      <c r="CI13" s="20" t="s">
        <v>676</v>
      </c>
      <c r="CJ13" s="37">
        <v>0.31</v>
      </c>
      <c r="CK13" s="391">
        <f t="shared" si="23"/>
        <v>0.52287581699346408</v>
      </c>
      <c r="CL13" s="46" t="s">
        <v>46</v>
      </c>
      <c r="CM13" s="23" t="s">
        <v>677</v>
      </c>
      <c r="CN13" s="17">
        <v>0.66</v>
      </c>
      <c r="CO13" s="263">
        <f t="shared" si="24"/>
        <v>1.1132194813409237</v>
      </c>
      <c r="CP13" s="17" t="s">
        <v>42</v>
      </c>
      <c r="CQ13" s="20" t="s">
        <v>678</v>
      </c>
      <c r="CR13" s="37">
        <v>0.38</v>
      </c>
      <c r="CS13" s="289">
        <f t="shared" si="25"/>
        <v>0.64094454986295601</v>
      </c>
      <c r="CT13" s="21" t="s">
        <v>42</v>
      </c>
      <c r="CU13" s="23" t="s">
        <v>679</v>
      </c>
      <c r="CV13" s="17">
        <v>0.52</v>
      </c>
      <c r="CW13" s="145">
        <f t="shared" si="26"/>
        <v>0.87708201560193988</v>
      </c>
      <c r="CX13" s="17" t="s">
        <v>48</v>
      </c>
      <c r="CY13" s="20" t="s">
        <v>680</v>
      </c>
      <c r="CZ13" s="37">
        <v>0.33</v>
      </c>
      <c r="DA13" s="325">
        <f t="shared" si="27"/>
        <v>0.55660974067046187</v>
      </c>
      <c r="DB13" s="21" t="s">
        <v>46</v>
      </c>
      <c r="DC13" s="23" t="s">
        <v>681</v>
      </c>
      <c r="DD13" s="17">
        <v>0.64</v>
      </c>
      <c r="DE13" s="176">
        <f t="shared" si="28"/>
        <v>1.079485557663926</v>
      </c>
      <c r="DF13" s="17" t="s">
        <v>48</v>
      </c>
      <c r="DG13" s="20" t="s">
        <v>682</v>
      </c>
      <c r="DH13" s="37">
        <v>0.77</v>
      </c>
      <c r="DI13" s="360">
        <f t="shared" si="29"/>
        <v>1.2987560615644109</v>
      </c>
      <c r="DJ13" s="21" t="s">
        <v>48</v>
      </c>
      <c r="DK13" s="28"/>
      <c r="DL13" s="17">
        <v>0.2</v>
      </c>
      <c r="DM13" s="301">
        <f t="shared" si="30"/>
        <v>0.33733923676997685</v>
      </c>
      <c r="DN13" s="17" t="s">
        <v>70</v>
      </c>
      <c r="DO13" s="51" t="s">
        <v>683</v>
      </c>
      <c r="DP13" s="21">
        <v>0.8</v>
      </c>
      <c r="DQ13" s="392">
        <f t="shared" si="31"/>
        <v>1.3493569470799074</v>
      </c>
      <c r="DR13" s="53" t="s">
        <v>70</v>
      </c>
      <c r="DS13" s="54" t="s">
        <v>684</v>
      </c>
      <c r="DT13" s="53">
        <v>0.54</v>
      </c>
      <c r="DU13" s="80">
        <f t="shared" si="32"/>
        <v>0.91081593927893756</v>
      </c>
      <c r="DV13" s="56" t="s">
        <v>46</v>
      </c>
      <c r="DW13" s="57" t="s">
        <v>616</v>
      </c>
      <c r="DX13" s="53">
        <v>0.34</v>
      </c>
      <c r="DY13" s="133">
        <f t="shared" si="33"/>
        <v>0.57347670250896066</v>
      </c>
      <c r="DZ13" s="53" t="s">
        <v>46</v>
      </c>
      <c r="EA13" s="54" t="s">
        <v>616</v>
      </c>
      <c r="EB13" s="56">
        <v>0.45</v>
      </c>
      <c r="EC13" s="96">
        <f t="shared" si="34"/>
        <v>0.75901328273244795</v>
      </c>
      <c r="ED13" s="56" t="s">
        <v>42</v>
      </c>
      <c r="EE13" s="57" t="s">
        <v>685</v>
      </c>
      <c r="EF13" s="53">
        <v>0.56999999999999995</v>
      </c>
      <c r="EG13" s="55">
        <f t="shared" si="35"/>
        <v>0.96141682479443391</v>
      </c>
      <c r="EH13" s="53" t="s">
        <v>46</v>
      </c>
      <c r="EI13" s="57" t="s">
        <v>686</v>
      </c>
      <c r="EJ13" s="53">
        <v>0.97</v>
      </c>
      <c r="EK13" s="393">
        <f t="shared" si="36"/>
        <v>1.6360952983343877</v>
      </c>
      <c r="EL13" s="56" t="s">
        <v>48</v>
      </c>
      <c r="EM13" s="57" t="s">
        <v>687</v>
      </c>
      <c r="EN13" s="53">
        <v>0.71</v>
      </c>
      <c r="EO13" s="386">
        <f t="shared" si="37"/>
        <v>1.1975542905334178</v>
      </c>
      <c r="EP13" s="53" t="s">
        <v>42</v>
      </c>
      <c r="EQ13" s="23" t="s">
        <v>688</v>
      </c>
      <c r="ER13" s="53">
        <v>0.57999999999999996</v>
      </c>
      <c r="ES13" s="389">
        <f t="shared" si="38"/>
        <v>0.97828378663293281</v>
      </c>
      <c r="ET13" s="53" t="s">
        <v>48</v>
      </c>
      <c r="EU13" s="20" t="s">
        <v>689</v>
      </c>
      <c r="EV13" s="53">
        <v>0.64</v>
      </c>
      <c r="EW13" s="176">
        <f t="shared" si="39"/>
        <v>1.079485557663926</v>
      </c>
      <c r="EX13" s="21" t="s">
        <v>48</v>
      </c>
      <c r="EY13" s="57" t="s">
        <v>690</v>
      </c>
      <c r="EZ13" s="53">
        <v>0.52</v>
      </c>
      <c r="FA13" s="145">
        <f t="shared" si="40"/>
        <v>0.87708201560193988</v>
      </c>
      <c r="FB13" s="40"/>
      <c r="FC13" s="40"/>
      <c r="FD13" s="53">
        <v>0.82</v>
      </c>
      <c r="FE13" s="390">
        <f t="shared" si="41"/>
        <v>1.383090870756905</v>
      </c>
      <c r="FF13" s="21" t="s">
        <v>48</v>
      </c>
      <c r="FG13" s="64"/>
      <c r="FH13" s="17">
        <v>0.91</v>
      </c>
      <c r="FI13" s="209">
        <f t="shared" si="42"/>
        <v>1.5348935273033948</v>
      </c>
      <c r="FJ13" s="17" t="s">
        <v>42</v>
      </c>
      <c r="FK13" s="51" t="s">
        <v>691</v>
      </c>
      <c r="FL13" s="17">
        <v>1.02</v>
      </c>
      <c r="FM13" s="309">
        <f t="shared" si="43"/>
        <v>1.720430107526882</v>
      </c>
      <c r="FN13" s="21" t="s">
        <v>48</v>
      </c>
      <c r="FO13" s="51" t="s">
        <v>692</v>
      </c>
      <c r="FP13" s="17">
        <v>0.44</v>
      </c>
      <c r="FQ13" s="58">
        <f t="shared" si="44"/>
        <v>0.74214632089394905</v>
      </c>
      <c r="FR13" s="17" t="s">
        <v>42</v>
      </c>
      <c r="FS13" s="51" t="s">
        <v>693</v>
      </c>
      <c r="FT13" s="17">
        <v>1</v>
      </c>
      <c r="FU13" s="394">
        <f t="shared" si="45"/>
        <v>1.6866961838498842</v>
      </c>
      <c r="FV13" s="17" t="s">
        <v>48</v>
      </c>
      <c r="FW13" s="51" t="s">
        <v>694</v>
      </c>
      <c r="FX13" s="17">
        <v>0.86</v>
      </c>
      <c r="FY13" s="118">
        <f t="shared" si="46"/>
        <v>1.4505587181109003</v>
      </c>
      <c r="FZ13" s="17" t="s">
        <v>42</v>
      </c>
      <c r="GA13" s="51" t="s">
        <v>695</v>
      </c>
      <c r="GB13" s="53">
        <v>0.66</v>
      </c>
      <c r="GC13" s="263">
        <f t="shared" si="47"/>
        <v>1.1132194813409237</v>
      </c>
      <c r="GD13" s="21" t="s">
        <v>42</v>
      </c>
      <c r="GE13" s="63"/>
      <c r="GF13" s="17">
        <v>0.54</v>
      </c>
      <c r="GG13" s="80">
        <f t="shared" si="48"/>
        <v>0.91081593927893756</v>
      </c>
      <c r="GH13" s="17" t="s">
        <v>42</v>
      </c>
      <c r="GI13" s="51" t="s">
        <v>627</v>
      </c>
      <c r="GJ13" s="17">
        <v>0.68</v>
      </c>
      <c r="GK13" s="131">
        <f t="shared" si="49"/>
        <v>1.1469534050179213</v>
      </c>
      <c r="GL13" s="17" t="s">
        <v>42</v>
      </c>
      <c r="GM13" s="67" t="s">
        <v>696</v>
      </c>
      <c r="GN13" s="17">
        <v>0.26</v>
      </c>
      <c r="GO13" s="99">
        <f t="shared" si="50"/>
        <v>0.43854100780096994</v>
      </c>
      <c r="GP13" s="17" t="s">
        <v>48</v>
      </c>
      <c r="GQ13" s="51" t="s">
        <v>697</v>
      </c>
      <c r="GR13" s="17">
        <v>0.2</v>
      </c>
      <c r="GS13" s="301">
        <f t="shared" si="51"/>
        <v>0.33733923676997685</v>
      </c>
      <c r="GT13" s="17" t="s">
        <v>48</v>
      </c>
      <c r="GU13" s="51" t="s">
        <v>698</v>
      </c>
      <c r="GV13" s="17">
        <v>0.77</v>
      </c>
      <c r="GW13" s="360">
        <f t="shared" si="52"/>
        <v>1.2987560615644109</v>
      </c>
      <c r="GX13" s="17" t="s">
        <v>48</v>
      </c>
      <c r="GY13" s="67" t="s">
        <v>699</v>
      </c>
      <c r="GZ13" s="17">
        <v>0.47</v>
      </c>
      <c r="HA13" s="31">
        <f t="shared" si="53"/>
        <v>0.79274720640944552</v>
      </c>
      <c r="HB13" s="17" t="s">
        <v>46</v>
      </c>
      <c r="HC13" s="20" t="s">
        <v>700</v>
      </c>
      <c r="HD13" s="17">
        <v>0.48</v>
      </c>
      <c r="HE13" s="159">
        <f t="shared" si="54"/>
        <v>0.80961416824794441</v>
      </c>
      <c r="HF13" s="17" t="s">
        <v>48</v>
      </c>
      <c r="HG13" s="20" t="s">
        <v>701</v>
      </c>
      <c r="HH13" s="17">
        <v>0.72</v>
      </c>
      <c r="HI13" s="361">
        <f t="shared" si="55"/>
        <v>1.2144212523719167</v>
      </c>
      <c r="HJ13" s="17" t="s">
        <v>48</v>
      </c>
      <c r="HK13" s="20" t="s">
        <v>702</v>
      </c>
      <c r="HL13" s="17">
        <v>0.42</v>
      </c>
      <c r="HM13" s="353">
        <f t="shared" si="56"/>
        <v>0.70841239721695137</v>
      </c>
      <c r="HN13" s="17" t="s">
        <v>42</v>
      </c>
      <c r="HO13" s="20" t="s">
        <v>703</v>
      </c>
      <c r="HP13" s="17">
        <v>0.38</v>
      </c>
      <c r="HQ13" s="289">
        <f t="shared" si="57"/>
        <v>0.64094454986295601</v>
      </c>
      <c r="HR13" s="17" t="s">
        <v>42</v>
      </c>
      <c r="HS13" s="73" t="s">
        <v>704</v>
      </c>
      <c r="HT13" s="17">
        <v>0.83</v>
      </c>
      <c r="HU13" s="140">
        <f t="shared" si="58"/>
        <v>1.3999578325954039</v>
      </c>
      <c r="HV13" s="17" t="s">
        <v>48</v>
      </c>
      <c r="HW13" s="75" t="s">
        <v>705</v>
      </c>
      <c r="HX13" s="17">
        <v>0.51</v>
      </c>
      <c r="HY13" s="324">
        <f t="shared" si="59"/>
        <v>0.86021505376344098</v>
      </c>
      <c r="HZ13" s="21" t="s">
        <v>70</v>
      </c>
      <c r="IA13" s="75" t="s">
        <v>706</v>
      </c>
      <c r="IB13" s="17">
        <v>0.65</v>
      </c>
      <c r="IC13" s="385">
        <f t="shared" si="60"/>
        <v>1.0963525195024248</v>
      </c>
      <c r="ID13" s="17" t="s">
        <v>46</v>
      </c>
      <c r="IE13" s="51" t="s">
        <v>707</v>
      </c>
      <c r="IF13" s="17">
        <v>0.62</v>
      </c>
      <c r="IG13" s="395">
        <f t="shared" si="61"/>
        <v>1.0457516339869282</v>
      </c>
      <c r="IH13" s="17" t="s">
        <v>42</v>
      </c>
      <c r="II13" s="67" t="s">
        <v>708</v>
      </c>
      <c r="IJ13" s="17">
        <v>0.45</v>
      </c>
      <c r="IK13" s="96">
        <f t="shared" si="62"/>
        <v>0.75901328273244795</v>
      </c>
      <c r="IL13" s="17" t="s">
        <v>46</v>
      </c>
      <c r="IM13" s="274"/>
      <c r="IN13" s="17">
        <v>0.35</v>
      </c>
      <c r="IO13" s="147">
        <f t="shared" si="63"/>
        <v>0.59034366434745944</v>
      </c>
      <c r="IP13" s="17" t="s">
        <v>42</v>
      </c>
      <c r="IQ13" s="51" t="s">
        <v>709</v>
      </c>
      <c r="IR13" s="17">
        <v>0.72</v>
      </c>
      <c r="IS13" s="361">
        <f t="shared" si="64"/>
        <v>1.2144212523719167</v>
      </c>
      <c r="IT13" s="17" t="s">
        <v>42</v>
      </c>
      <c r="IU13" s="75" t="s">
        <v>710</v>
      </c>
      <c r="IV13" s="17">
        <v>7.0000000000000007E-2</v>
      </c>
      <c r="IW13" s="379">
        <f t="shared" si="65"/>
        <v>0.1180687328694919</v>
      </c>
      <c r="IX13" s="17" t="s">
        <v>66</v>
      </c>
      <c r="IY13" s="51" t="s">
        <v>711</v>
      </c>
      <c r="IZ13" s="17">
        <v>0.7</v>
      </c>
      <c r="JA13" s="25">
        <f t="shared" si="66"/>
        <v>1.1806873286949189</v>
      </c>
      <c r="JB13" s="17" t="s">
        <v>42</v>
      </c>
      <c r="JC13" s="51" t="s">
        <v>712</v>
      </c>
      <c r="JD13" s="17">
        <v>0.66</v>
      </c>
      <c r="JE13" s="263">
        <f t="shared" si="67"/>
        <v>1.1132194813409237</v>
      </c>
      <c r="JF13" s="17" t="s">
        <v>42</v>
      </c>
      <c r="JG13" s="51" t="s">
        <v>713</v>
      </c>
      <c r="JH13" s="17">
        <v>0.44</v>
      </c>
      <c r="JI13" s="58">
        <f t="shared" si="68"/>
        <v>0.74214632089394905</v>
      </c>
      <c r="JJ13" s="17" t="s">
        <v>46</v>
      </c>
      <c r="JK13" s="51" t="s">
        <v>714</v>
      </c>
      <c r="JL13" s="21">
        <v>0.25</v>
      </c>
      <c r="JM13" s="396">
        <f t="shared" si="69"/>
        <v>0.42167404596247104</v>
      </c>
      <c r="JN13" s="21" t="s">
        <v>46</v>
      </c>
      <c r="JO13" s="75" t="s">
        <v>715</v>
      </c>
      <c r="JP13" s="21">
        <v>0.4</v>
      </c>
      <c r="JQ13" s="162">
        <f t="shared" si="70"/>
        <v>0.67467847353995369</v>
      </c>
      <c r="JR13" s="21" t="s">
        <v>70</v>
      </c>
      <c r="JS13" s="51" t="s">
        <v>716</v>
      </c>
      <c r="JT13" s="21">
        <v>0.38</v>
      </c>
      <c r="JU13" s="289">
        <f t="shared" si="71"/>
        <v>0.64094454986295601</v>
      </c>
      <c r="JV13" s="21" t="s">
        <v>42</v>
      </c>
      <c r="JW13" s="75" t="s">
        <v>717</v>
      </c>
      <c r="JX13" s="17">
        <v>0.69</v>
      </c>
      <c r="JY13" s="311">
        <f t="shared" si="72"/>
        <v>1.16382036685642</v>
      </c>
      <c r="JZ13" s="51" t="s">
        <v>46</v>
      </c>
      <c r="KA13" s="51" t="s">
        <v>718</v>
      </c>
      <c r="KB13" s="21">
        <v>1.17</v>
      </c>
      <c r="KC13" s="397">
        <f t="shared" si="73"/>
        <v>1.9734345351043645</v>
      </c>
      <c r="KD13" s="75" t="s">
        <v>48</v>
      </c>
      <c r="KE13" s="75" t="s">
        <v>719</v>
      </c>
      <c r="KF13" s="17">
        <v>0.54</v>
      </c>
      <c r="KG13" s="80">
        <f t="shared" si="74"/>
        <v>0.91081593927893756</v>
      </c>
      <c r="KH13" s="51" t="s">
        <v>48</v>
      </c>
      <c r="KI13" s="51" t="s">
        <v>720</v>
      </c>
      <c r="KJ13" s="21">
        <v>0.43</v>
      </c>
      <c r="KK13" s="149">
        <f t="shared" si="75"/>
        <v>0.72527935905545016</v>
      </c>
      <c r="KL13" s="75" t="s">
        <v>70</v>
      </c>
      <c r="KM13" s="75" t="s">
        <v>721</v>
      </c>
      <c r="KN13" s="17">
        <v>0.62</v>
      </c>
      <c r="KO13" s="395">
        <f t="shared" si="76"/>
        <v>1.0457516339869282</v>
      </c>
      <c r="KP13" s="51" t="s">
        <v>70</v>
      </c>
      <c r="KQ13" s="51" t="s">
        <v>655</v>
      </c>
      <c r="KR13" s="21">
        <v>0.34</v>
      </c>
      <c r="KS13" s="133">
        <f t="shared" si="77"/>
        <v>0.57347670250896066</v>
      </c>
      <c r="KT13" s="75" t="s">
        <v>48</v>
      </c>
      <c r="KU13" s="75" t="s">
        <v>722</v>
      </c>
      <c r="KV13" s="82">
        <v>0.61</v>
      </c>
      <c r="KW13" s="141">
        <f t="shared" si="78"/>
        <v>1.0288846721484293</v>
      </c>
      <c r="KX13" s="51" t="s">
        <v>42</v>
      </c>
      <c r="KY13" s="51" t="s">
        <v>723</v>
      </c>
      <c r="KZ13" s="83">
        <v>0.24</v>
      </c>
      <c r="LA13" s="398">
        <f t="shared" si="79"/>
        <v>0.40480708412397221</v>
      </c>
      <c r="LB13" s="75" t="s">
        <v>46</v>
      </c>
      <c r="LC13" s="75" t="s">
        <v>724</v>
      </c>
      <c r="LD13" s="82">
        <v>0.37</v>
      </c>
      <c r="LE13" s="26">
        <f t="shared" si="80"/>
        <v>0.62407758802445712</v>
      </c>
      <c r="LF13" s="51" t="s">
        <v>70</v>
      </c>
      <c r="LG13" s="51" t="s">
        <v>725</v>
      </c>
      <c r="LH13" s="83">
        <v>0.31</v>
      </c>
      <c r="LI13" s="84"/>
      <c r="LJ13" s="85"/>
      <c r="LK13" s="85"/>
      <c r="LL13" s="86">
        <f t="shared" si="81"/>
        <v>0.59177215189873411</v>
      </c>
      <c r="LM13" s="86">
        <f t="shared" si="82"/>
        <v>1.1490909090909094</v>
      </c>
      <c r="LN13" s="86">
        <f t="shared" si="90"/>
        <v>1.0570294781325047</v>
      </c>
      <c r="LO13" s="86">
        <f t="shared" si="94"/>
        <v>1.24951811047655</v>
      </c>
      <c r="LP13" s="86">
        <f t="shared" si="95"/>
        <v>6.2952073840212952E-2</v>
      </c>
      <c r="LQ13" s="87">
        <f t="shared" si="96"/>
        <v>0</v>
      </c>
      <c r="LR13" s="86">
        <f t="shared" si="97"/>
        <v>1.2276652358220494</v>
      </c>
      <c r="LS13" s="84">
        <v>1</v>
      </c>
      <c r="LT13" s="87">
        <f t="shared" si="100"/>
        <v>0</v>
      </c>
      <c r="LU13" s="170" t="e">
        <f t="shared" si="92"/>
        <v>#REF!</v>
      </c>
      <c r="LV13" s="171" t="e">
        <f t="shared" si="98"/>
        <v>#REF!</v>
      </c>
      <c r="LW13" s="89" t="s">
        <v>3809</v>
      </c>
      <c r="LX13" s="89" t="str">
        <f t="shared" si="87"/>
        <v/>
      </c>
      <c r="LY13" s="89" t="str">
        <f t="shared" si="88"/>
        <v/>
      </c>
      <c r="LZ13" s="5"/>
      <c r="MA13" s="67" t="str">
        <f t="shared" si="99"/>
        <v>PALMEIRAS</v>
      </c>
      <c r="MB13" s="89" t="s">
        <v>3808</v>
      </c>
    </row>
    <row r="14" spans="1:340" x14ac:dyDescent="0.2">
      <c r="A14" s="16">
        <v>0.75763888888888886</v>
      </c>
      <c r="B14" s="399">
        <f t="shared" si="0"/>
        <v>0.59800000000000009</v>
      </c>
      <c r="C14" s="400">
        <f t="shared" si="1"/>
        <v>2.0066889632106788E-2</v>
      </c>
      <c r="D14" s="17">
        <v>0.61</v>
      </c>
      <c r="E14" s="401">
        <f t="shared" si="2"/>
        <v>1.0200668896321068</v>
      </c>
      <c r="F14" s="17" t="s">
        <v>48</v>
      </c>
      <c r="G14" s="20" t="s">
        <v>726</v>
      </c>
      <c r="H14" s="21">
        <v>0.69</v>
      </c>
      <c r="I14" s="402">
        <f t="shared" si="3"/>
        <v>1.1538461538461535</v>
      </c>
      <c r="J14" s="21" t="s">
        <v>42</v>
      </c>
      <c r="K14" s="23" t="s">
        <v>727</v>
      </c>
      <c r="L14" s="17">
        <v>0.71</v>
      </c>
      <c r="M14" s="403">
        <f t="shared" si="4"/>
        <v>1.1872909698996654</v>
      </c>
      <c r="N14" s="17" t="s">
        <v>42</v>
      </c>
      <c r="O14" s="20" t="s">
        <v>728</v>
      </c>
      <c r="P14" s="21">
        <v>0.72</v>
      </c>
      <c r="Q14" s="330">
        <f t="shared" si="5"/>
        <v>1.2040133779264213</v>
      </c>
      <c r="R14" s="21" t="s">
        <v>42</v>
      </c>
      <c r="S14" s="23" t="s">
        <v>729</v>
      </c>
      <c r="T14" s="17">
        <v>0.42</v>
      </c>
      <c r="U14" s="198">
        <f t="shared" si="6"/>
        <v>0.70234113712374568</v>
      </c>
      <c r="V14" s="17" t="s">
        <v>48</v>
      </c>
      <c r="W14" s="5"/>
      <c r="X14" s="21">
        <v>0.71</v>
      </c>
      <c r="Y14" s="403">
        <f t="shared" si="7"/>
        <v>1.1872909698996654</v>
      </c>
      <c r="Z14" s="21" t="s">
        <v>48</v>
      </c>
      <c r="AA14" s="28"/>
      <c r="AB14" s="17">
        <v>0.61</v>
      </c>
      <c r="AC14" s="401">
        <f t="shared" si="8"/>
        <v>1.0200668896321068</v>
      </c>
      <c r="AD14" s="17" t="s">
        <v>66</v>
      </c>
      <c r="AE14" s="20" t="s">
        <v>730</v>
      </c>
      <c r="AF14" s="21">
        <v>0.64</v>
      </c>
      <c r="AG14" s="404">
        <f t="shared" si="9"/>
        <v>1.0702341137123745</v>
      </c>
      <c r="AH14" s="21" t="s">
        <v>70</v>
      </c>
      <c r="AI14" s="23" t="s">
        <v>731</v>
      </c>
      <c r="AJ14" s="17">
        <v>0.96</v>
      </c>
      <c r="AK14" s="405">
        <f t="shared" si="10"/>
        <v>1.6053511705685615</v>
      </c>
      <c r="AL14" s="17" t="s">
        <v>42</v>
      </c>
      <c r="AM14" s="20" t="s">
        <v>732</v>
      </c>
      <c r="AN14" s="21">
        <v>1.0900000000000001</v>
      </c>
      <c r="AO14" s="406">
        <f t="shared" si="11"/>
        <v>1.8227424749163879</v>
      </c>
      <c r="AP14" s="21" t="s">
        <v>48</v>
      </c>
      <c r="AQ14" s="23" t="s">
        <v>733</v>
      </c>
      <c r="AR14" s="17">
        <v>0.46</v>
      </c>
      <c r="AS14" s="19">
        <f t="shared" si="12"/>
        <v>0.76923076923076916</v>
      </c>
      <c r="AT14" s="17" t="s">
        <v>42</v>
      </c>
      <c r="AU14" s="20" t="s">
        <v>734</v>
      </c>
      <c r="AV14" s="21">
        <v>0.91</v>
      </c>
      <c r="AW14" s="407">
        <f t="shared" si="13"/>
        <v>1.5217391304347825</v>
      </c>
      <c r="AX14" s="21" t="s">
        <v>66</v>
      </c>
      <c r="AY14" s="23" t="s">
        <v>735</v>
      </c>
      <c r="AZ14" s="17">
        <v>0.76</v>
      </c>
      <c r="BA14" s="408">
        <f t="shared" si="14"/>
        <v>1.2709030100334446</v>
      </c>
      <c r="BB14" s="17" t="s">
        <v>42</v>
      </c>
      <c r="BC14" s="20" t="s">
        <v>736</v>
      </c>
      <c r="BD14" s="17">
        <v>0.88</v>
      </c>
      <c r="BE14" s="103">
        <f t="shared" si="15"/>
        <v>1.4715719063545147</v>
      </c>
      <c r="BF14" s="17" t="s">
        <v>42</v>
      </c>
      <c r="BG14" s="20" t="s">
        <v>737</v>
      </c>
      <c r="BH14" s="37">
        <v>1.19</v>
      </c>
      <c r="BI14" s="388">
        <f t="shared" si="16"/>
        <v>1.9899665551839461</v>
      </c>
      <c r="BJ14" s="37" t="s">
        <v>42</v>
      </c>
      <c r="BK14" s="38" t="s">
        <v>738</v>
      </c>
      <c r="BL14" s="17">
        <v>0.61</v>
      </c>
      <c r="BM14" s="401">
        <f t="shared" si="17"/>
        <v>1.0200668896321068</v>
      </c>
      <c r="BN14" s="17" t="s">
        <v>48</v>
      </c>
      <c r="BO14" s="40"/>
      <c r="BP14" s="17">
        <v>0.57999999999999996</v>
      </c>
      <c r="BQ14" s="409">
        <f t="shared" si="18"/>
        <v>0.96989966555183926</v>
      </c>
      <c r="BR14" s="17" t="s">
        <v>70</v>
      </c>
      <c r="BS14" s="41"/>
      <c r="BT14" s="37">
        <v>0.82</v>
      </c>
      <c r="BU14" s="34">
        <f t="shared" si="19"/>
        <v>1.3712374581939797</v>
      </c>
      <c r="BV14" s="21" t="s">
        <v>46</v>
      </c>
      <c r="BW14" s="23" t="s">
        <v>673</v>
      </c>
      <c r="BX14" s="17">
        <v>0.52</v>
      </c>
      <c r="BY14" s="282">
        <f t="shared" si="20"/>
        <v>0.86956521739130421</v>
      </c>
      <c r="BZ14" s="17" t="s">
        <v>42</v>
      </c>
      <c r="CA14" s="20" t="s">
        <v>739</v>
      </c>
      <c r="CB14" s="37">
        <v>0.46</v>
      </c>
      <c r="CC14" s="19">
        <f t="shared" si="21"/>
        <v>0.76923076923076916</v>
      </c>
      <c r="CD14" s="21" t="s">
        <v>48</v>
      </c>
      <c r="CE14" s="23" t="s">
        <v>740</v>
      </c>
      <c r="CF14" s="17">
        <v>0.34</v>
      </c>
      <c r="CG14" s="269">
        <f t="shared" si="22"/>
        <v>0.56856187290969895</v>
      </c>
      <c r="CH14" s="17" t="s">
        <v>356</v>
      </c>
      <c r="CI14" s="20" t="s">
        <v>741</v>
      </c>
      <c r="CJ14" s="37">
        <v>0.24</v>
      </c>
      <c r="CK14" s="410">
        <f t="shared" si="23"/>
        <v>0.40133779264214037</v>
      </c>
      <c r="CL14" s="46" t="s">
        <v>46</v>
      </c>
      <c r="CM14" s="23" t="s">
        <v>742</v>
      </c>
      <c r="CN14" s="17">
        <v>0.66</v>
      </c>
      <c r="CO14" s="49">
        <f t="shared" si="24"/>
        <v>1.1036789297658862</v>
      </c>
      <c r="CP14" s="17" t="s">
        <v>42</v>
      </c>
      <c r="CQ14" s="20" t="s">
        <v>743</v>
      </c>
      <c r="CR14" s="37">
        <v>0.38</v>
      </c>
      <c r="CS14" s="349">
        <f t="shared" si="25"/>
        <v>0.63545150501672232</v>
      </c>
      <c r="CT14" s="21" t="s">
        <v>48</v>
      </c>
      <c r="CU14" s="23" t="s">
        <v>744</v>
      </c>
      <c r="CV14" s="17">
        <v>0.52</v>
      </c>
      <c r="CW14" s="282">
        <f t="shared" si="26"/>
        <v>0.86956521739130421</v>
      </c>
      <c r="CX14" s="17" t="s">
        <v>48</v>
      </c>
      <c r="CY14" s="20" t="s">
        <v>745</v>
      </c>
      <c r="CZ14" s="37">
        <v>0.33</v>
      </c>
      <c r="DA14" s="348">
        <f t="shared" si="27"/>
        <v>0.55183946488294311</v>
      </c>
      <c r="DB14" s="21" t="s">
        <v>42</v>
      </c>
      <c r="DC14" s="23" t="s">
        <v>746</v>
      </c>
      <c r="DD14" s="17">
        <v>0.51</v>
      </c>
      <c r="DE14" s="127">
        <f t="shared" si="28"/>
        <v>0.85284280936454837</v>
      </c>
      <c r="DF14" s="17" t="s">
        <v>48</v>
      </c>
      <c r="DG14" s="20" t="s">
        <v>682</v>
      </c>
      <c r="DH14" s="37">
        <v>0.83</v>
      </c>
      <c r="DI14" s="179">
        <f t="shared" si="29"/>
        <v>1.3879598662207355</v>
      </c>
      <c r="DJ14" s="21" t="s">
        <v>48</v>
      </c>
      <c r="DK14" s="28"/>
      <c r="DL14" s="17">
        <v>0.2</v>
      </c>
      <c r="DM14" s="70">
        <f t="shared" si="30"/>
        <v>0.334448160535117</v>
      </c>
      <c r="DN14" s="17" t="s">
        <v>70</v>
      </c>
      <c r="DO14" s="51" t="s">
        <v>747</v>
      </c>
      <c r="DP14" s="21">
        <v>0.79</v>
      </c>
      <c r="DQ14" s="294">
        <f t="shared" si="31"/>
        <v>1.3210702341137122</v>
      </c>
      <c r="DR14" s="53" t="s">
        <v>70</v>
      </c>
      <c r="DS14" s="54" t="s">
        <v>748</v>
      </c>
      <c r="DT14" s="53">
        <v>0.46</v>
      </c>
      <c r="DU14" s="19">
        <f t="shared" si="32"/>
        <v>0.76923076923076916</v>
      </c>
      <c r="DV14" s="56" t="s">
        <v>46</v>
      </c>
      <c r="DW14" s="57" t="s">
        <v>749</v>
      </c>
      <c r="DX14" s="53">
        <v>0.4</v>
      </c>
      <c r="DY14" s="411">
        <f t="shared" si="33"/>
        <v>0.668896321070234</v>
      </c>
      <c r="DZ14" s="53" t="s">
        <v>46</v>
      </c>
      <c r="EA14" s="54" t="s">
        <v>749</v>
      </c>
      <c r="EB14" s="56">
        <v>0.52</v>
      </c>
      <c r="EC14" s="282">
        <f t="shared" si="34"/>
        <v>0.86956521739130421</v>
      </c>
      <c r="ED14" s="56" t="s">
        <v>42</v>
      </c>
      <c r="EE14" s="57" t="s">
        <v>750</v>
      </c>
      <c r="EF14" s="53">
        <v>0.51</v>
      </c>
      <c r="EG14" s="127">
        <f t="shared" si="35"/>
        <v>0.85284280936454837</v>
      </c>
      <c r="EH14" s="53" t="s">
        <v>46</v>
      </c>
      <c r="EI14" s="57" t="s">
        <v>751</v>
      </c>
      <c r="EJ14" s="53">
        <v>0.97</v>
      </c>
      <c r="EK14" s="412">
        <f t="shared" si="36"/>
        <v>1.6220735785953175</v>
      </c>
      <c r="EL14" s="56" t="s">
        <v>48</v>
      </c>
      <c r="EM14" s="57" t="s">
        <v>752</v>
      </c>
      <c r="EN14" s="53">
        <v>0.82</v>
      </c>
      <c r="EO14" s="34">
        <f t="shared" si="37"/>
        <v>1.3712374581939797</v>
      </c>
      <c r="EP14" s="53" t="s">
        <v>42</v>
      </c>
      <c r="EQ14" s="23" t="s">
        <v>753</v>
      </c>
      <c r="ER14" s="53">
        <v>0.57999999999999996</v>
      </c>
      <c r="ES14" s="409">
        <f t="shared" si="38"/>
        <v>0.96989966555183926</v>
      </c>
      <c r="ET14" s="53" t="s">
        <v>48</v>
      </c>
      <c r="EU14" s="20" t="s">
        <v>754</v>
      </c>
      <c r="EV14" s="53">
        <v>0.7</v>
      </c>
      <c r="EW14" s="337">
        <f t="shared" si="39"/>
        <v>1.1705685618729094</v>
      </c>
      <c r="EX14" s="21" t="s">
        <v>48</v>
      </c>
      <c r="EY14" s="57" t="s">
        <v>755</v>
      </c>
      <c r="EZ14" s="53">
        <v>0.64</v>
      </c>
      <c r="FA14" s="404">
        <f t="shared" si="40"/>
        <v>1.0702341137123745</v>
      </c>
      <c r="FB14" s="40"/>
      <c r="FC14" s="40"/>
      <c r="FD14" s="53">
        <v>0.81</v>
      </c>
      <c r="FE14" s="148">
        <f t="shared" si="41"/>
        <v>1.3545150501672241</v>
      </c>
      <c r="FF14" s="21" t="s">
        <v>48</v>
      </c>
      <c r="FG14" s="64"/>
      <c r="FH14" s="17">
        <v>0.91</v>
      </c>
      <c r="FI14" s="407">
        <f t="shared" si="42"/>
        <v>1.5217391304347825</v>
      </c>
      <c r="FJ14" s="17" t="s">
        <v>42</v>
      </c>
      <c r="FK14" s="51" t="s">
        <v>756</v>
      </c>
      <c r="FL14" s="17">
        <v>1.0900000000000001</v>
      </c>
      <c r="FM14" s="406">
        <f t="shared" si="43"/>
        <v>1.8227424749163879</v>
      </c>
      <c r="FN14" s="21" t="s">
        <v>48</v>
      </c>
      <c r="FO14" s="51" t="s">
        <v>757</v>
      </c>
      <c r="FP14" s="17">
        <v>0.44</v>
      </c>
      <c r="FQ14" s="92">
        <f t="shared" si="44"/>
        <v>0.73578595317725737</v>
      </c>
      <c r="FR14" s="17" t="s">
        <v>42</v>
      </c>
      <c r="FS14" s="51" t="s">
        <v>693</v>
      </c>
      <c r="FT14" s="17">
        <v>1.07</v>
      </c>
      <c r="FU14" s="413">
        <f t="shared" si="45"/>
        <v>1.7892976588628762</v>
      </c>
      <c r="FV14" s="17" t="s">
        <v>48</v>
      </c>
      <c r="FW14" s="51" t="s">
        <v>694</v>
      </c>
      <c r="FX14" s="17">
        <v>0.86</v>
      </c>
      <c r="FY14" s="79">
        <f t="shared" si="46"/>
        <v>1.4381270903010031</v>
      </c>
      <c r="FZ14" s="17" t="s">
        <v>42</v>
      </c>
      <c r="GA14" s="51" t="s">
        <v>758</v>
      </c>
      <c r="GB14" s="53">
        <v>0.66</v>
      </c>
      <c r="GC14" s="49">
        <f t="shared" si="47"/>
        <v>1.1036789297658862</v>
      </c>
      <c r="GD14" s="21" t="s">
        <v>42</v>
      </c>
      <c r="GE14" s="63"/>
      <c r="GF14" s="17">
        <v>0.6</v>
      </c>
      <c r="GG14" s="17">
        <f t="shared" si="48"/>
        <v>1.0033444816053509</v>
      </c>
      <c r="GH14" s="17" t="s">
        <v>42</v>
      </c>
      <c r="GI14" s="51" t="s">
        <v>759</v>
      </c>
      <c r="GJ14" s="17">
        <v>0.75</v>
      </c>
      <c r="GK14" s="310">
        <f t="shared" si="49"/>
        <v>1.2541806020066888</v>
      </c>
      <c r="GL14" s="17" t="s">
        <v>48</v>
      </c>
      <c r="GM14" s="67" t="s">
        <v>760</v>
      </c>
      <c r="GN14" s="17">
        <v>0.26</v>
      </c>
      <c r="GO14" s="299">
        <f t="shared" si="50"/>
        <v>0.43478260869565211</v>
      </c>
      <c r="GP14" s="17" t="s">
        <v>48</v>
      </c>
      <c r="GQ14" s="51" t="s">
        <v>761</v>
      </c>
      <c r="GR14" s="17">
        <v>0.27</v>
      </c>
      <c r="GS14" s="290">
        <f t="shared" si="51"/>
        <v>0.451505016722408</v>
      </c>
      <c r="GT14" s="17" t="s">
        <v>48</v>
      </c>
      <c r="GU14" s="51" t="s">
        <v>762</v>
      </c>
      <c r="GV14" s="17">
        <v>0.77</v>
      </c>
      <c r="GW14" s="124">
        <f t="shared" si="52"/>
        <v>1.2876254180602005</v>
      </c>
      <c r="GX14" s="17" t="s">
        <v>48</v>
      </c>
      <c r="GY14" s="67" t="s">
        <v>763</v>
      </c>
      <c r="GZ14" s="17">
        <v>0.47</v>
      </c>
      <c r="HA14" s="174">
        <f t="shared" si="53"/>
        <v>0.78595317725752489</v>
      </c>
      <c r="HB14" s="17" t="s">
        <v>46</v>
      </c>
      <c r="HC14" s="20" t="s">
        <v>764</v>
      </c>
      <c r="HD14" s="17">
        <v>0.48</v>
      </c>
      <c r="HE14" s="268">
        <f t="shared" si="54"/>
        <v>0.80267558528428073</v>
      </c>
      <c r="HF14" s="17" t="s">
        <v>48</v>
      </c>
      <c r="HG14" s="20" t="s">
        <v>765</v>
      </c>
      <c r="HH14" s="17">
        <v>0.8</v>
      </c>
      <c r="HI14" s="292">
        <f t="shared" si="55"/>
        <v>1.337792642140468</v>
      </c>
      <c r="HJ14" s="17" t="s">
        <v>42</v>
      </c>
      <c r="HK14" s="20" t="s">
        <v>766</v>
      </c>
      <c r="HL14" s="17">
        <v>0.42</v>
      </c>
      <c r="HM14" s="198">
        <f t="shared" si="56"/>
        <v>0.70234113712374568</v>
      </c>
      <c r="HN14" s="17" t="s">
        <v>48</v>
      </c>
      <c r="HO14" s="20" t="s">
        <v>767</v>
      </c>
      <c r="HP14" s="17">
        <v>0.38</v>
      </c>
      <c r="HQ14" s="349">
        <f t="shared" si="57"/>
        <v>0.63545150501672232</v>
      </c>
      <c r="HR14" s="17" t="s">
        <v>42</v>
      </c>
      <c r="HS14" s="73" t="s">
        <v>768</v>
      </c>
      <c r="HT14" s="17">
        <v>0.89</v>
      </c>
      <c r="HU14" s="169">
        <f t="shared" si="58"/>
        <v>1.4882943143812708</v>
      </c>
      <c r="HV14" s="17" t="s">
        <v>48</v>
      </c>
      <c r="HW14" s="75" t="s">
        <v>769</v>
      </c>
      <c r="HX14" s="17">
        <v>0.51</v>
      </c>
      <c r="HY14" s="127">
        <f t="shared" si="59"/>
        <v>0.85284280936454837</v>
      </c>
      <c r="HZ14" s="21" t="s">
        <v>70</v>
      </c>
      <c r="IA14" s="75" t="s">
        <v>770</v>
      </c>
      <c r="IB14" s="17">
        <v>0.65</v>
      </c>
      <c r="IC14" s="414">
        <f t="shared" si="60"/>
        <v>1.0869565217391304</v>
      </c>
      <c r="ID14" s="17" t="s">
        <v>42</v>
      </c>
      <c r="IE14" s="51" t="s">
        <v>771</v>
      </c>
      <c r="IF14" s="17">
        <v>0.5</v>
      </c>
      <c r="IG14" s="415">
        <f t="shared" si="61"/>
        <v>0.83612040133779253</v>
      </c>
      <c r="IH14" s="17" t="s">
        <v>42</v>
      </c>
      <c r="II14" s="67" t="s">
        <v>772</v>
      </c>
      <c r="IJ14" s="17">
        <v>0.45</v>
      </c>
      <c r="IK14" s="242">
        <f t="shared" si="62"/>
        <v>0.75250836120401332</v>
      </c>
      <c r="IL14" s="17" t="s">
        <v>46</v>
      </c>
      <c r="IM14" s="274"/>
      <c r="IN14" s="17">
        <v>0.28000000000000003</v>
      </c>
      <c r="IO14" s="255">
        <f t="shared" si="63"/>
        <v>0.46822742474916385</v>
      </c>
      <c r="IP14" s="17" t="s">
        <v>42</v>
      </c>
      <c r="IQ14" s="51" t="s">
        <v>773</v>
      </c>
      <c r="IR14" s="17">
        <v>0.72</v>
      </c>
      <c r="IS14" s="330">
        <f t="shared" si="64"/>
        <v>1.2040133779264213</v>
      </c>
      <c r="IT14" s="17" t="s">
        <v>42</v>
      </c>
      <c r="IU14" s="75" t="s">
        <v>774</v>
      </c>
      <c r="IV14" s="17">
        <v>0.13</v>
      </c>
      <c r="IW14" s="416">
        <f t="shared" si="65"/>
        <v>0.21739130434782605</v>
      </c>
      <c r="IX14" s="17" t="s">
        <v>66</v>
      </c>
      <c r="IY14" s="274"/>
      <c r="IZ14" s="17">
        <v>0.76</v>
      </c>
      <c r="JA14" s="408">
        <f t="shared" si="66"/>
        <v>1.2709030100334446</v>
      </c>
      <c r="JB14" s="17" t="s">
        <v>42</v>
      </c>
      <c r="JC14" s="51" t="s">
        <v>775</v>
      </c>
      <c r="JD14" s="17">
        <v>0.59</v>
      </c>
      <c r="JE14" s="61">
        <f t="shared" si="67"/>
        <v>0.9866220735785951</v>
      </c>
      <c r="JF14" s="17" t="s">
        <v>42</v>
      </c>
      <c r="JG14" s="51" t="s">
        <v>776</v>
      </c>
      <c r="JH14" s="17">
        <v>0.44</v>
      </c>
      <c r="JI14" s="92">
        <f t="shared" si="68"/>
        <v>0.73578595317725737</v>
      </c>
      <c r="JJ14" s="17" t="s">
        <v>46</v>
      </c>
      <c r="JK14" s="51" t="s">
        <v>777</v>
      </c>
      <c r="JL14" s="21">
        <v>0.25</v>
      </c>
      <c r="JM14" s="417">
        <f t="shared" si="69"/>
        <v>0.41806020066889626</v>
      </c>
      <c r="JN14" s="21" t="s">
        <v>48</v>
      </c>
      <c r="JO14" s="75" t="s">
        <v>778</v>
      </c>
      <c r="JP14" s="21">
        <v>0.4</v>
      </c>
      <c r="JQ14" s="411">
        <f t="shared" si="70"/>
        <v>0.668896321070234</v>
      </c>
      <c r="JR14" s="21" t="s">
        <v>70</v>
      </c>
      <c r="JS14" s="51" t="s">
        <v>779</v>
      </c>
      <c r="JT14" s="21">
        <v>0.38</v>
      </c>
      <c r="JU14" s="349">
        <f t="shared" si="71"/>
        <v>0.63545150501672232</v>
      </c>
      <c r="JV14" s="21" t="s">
        <v>42</v>
      </c>
      <c r="JW14" s="75" t="s">
        <v>780</v>
      </c>
      <c r="JX14" s="17">
        <v>0.75</v>
      </c>
      <c r="JY14" s="310">
        <f t="shared" si="72"/>
        <v>1.2541806020066888</v>
      </c>
      <c r="JZ14" s="51" t="s">
        <v>46</v>
      </c>
      <c r="KA14" s="51" t="s">
        <v>781</v>
      </c>
      <c r="KB14" s="21">
        <v>1.0900000000000001</v>
      </c>
      <c r="KC14" s="406">
        <f t="shared" si="73"/>
        <v>1.8227424749163879</v>
      </c>
      <c r="KD14" s="75" t="s">
        <v>48</v>
      </c>
      <c r="KE14" s="75" t="s">
        <v>782</v>
      </c>
      <c r="KF14" s="17">
        <v>0.56000000000000005</v>
      </c>
      <c r="KG14" s="24">
        <f t="shared" si="74"/>
        <v>0.93645484949832769</v>
      </c>
      <c r="KH14" s="51" t="s">
        <v>48</v>
      </c>
      <c r="KI14" s="51" t="s">
        <v>783</v>
      </c>
      <c r="KJ14" s="21">
        <v>0.5</v>
      </c>
      <c r="KK14" s="415">
        <f t="shared" si="75"/>
        <v>0.83612040133779253</v>
      </c>
      <c r="KL14" s="75" t="s">
        <v>70</v>
      </c>
      <c r="KM14" s="75" t="s">
        <v>721</v>
      </c>
      <c r="KN14" s="17">
        <v>0.62</v>
      </c>
      <c r="KO14" s="206">
        <f t="shared" si="76"/>
        <v>1.0367892976588626</v>
      </c>
      <c r="KP14" s="51" t="s">
        <v>70</v>
      </c>
      <c r="KQ14" s="51" t="s">
        <v>784</v>
      </c>
      <c r="KR14" s="21">
        <v>0.27</v>
      </c>
      <c r="KS14" s="290">
        <f t="shared" si="77"/>
        <v>0.451505016722408</v>
      </c>
      <c r="KT14" s="75" t="s">
        <v>70</v>
      </c>
      <c r="KU14" s="75" t="s">
        <v>785</v>
      </c>
      <c r="KV14" s="82">
        <v>0.53</v>
      </c>
      <c r="KW14" s="366">
        <f t="shared" si="78"/>
        <v>0.88628762541806017</v>
      </c>
      <c r="KX14" s="51" t="s">
        <v>42</v>
      </c>
      <c r="KY14" s="51" t="s">
        <v>786</v>
      </c>
      <c r="KZ14" s="83">
        <v>0.24</v>
      </c>
      <c r="LA14" s="410">
        <f t="shared" si="79"/>
        <v>0.40133779264214037</v>
      </c>
      <c r="LB14" s="75" t="s">
        <v>42</v>
      </c>
      <c r="LC14" s="75" t="s">
        <v>787</v>
      </c>
      <c r="LD14" s="82">
        <v>0.36</v>
      </c>
      <c r="LE14" s="39">
        <f t="shared" si="80"/>
        <v>0.60200668896321063</v>
      </c>
      <c r="LF14" s="51" t="s">
        <v>70</v>
      </c>
      <c r="LG14" s="51" t="s">
        <v>788</v>
      </c>
      <c r="LH14" s="83">
        <v>0.18</v>
      </c>
      <c r="LI14" s="84"/>
      <c r="LJ14" s="85"/>
      <c r="LK14" s="85"/>
      <c r="LL14" s="86">
        <f t="shared" si="81"/>
        <v>0.59784810126582288</v>
      </c>
      <c r="LM14" s="86">
        <f t="shared" si="82"/>
        <v>1.0203260639424092</v>
      </c>
      <c r="LN14" s="86">
        <f t="shared" si="90"/>
        <v>1.0653986991287232</v>
      </c>
      <c r="LO14" s="86">
        <f t="shared" si="94"/>
        <v>1.201696419013861</v>
      </c>
      <c r="LP14" s="86">
        <f t="shared" si="95"/>
        <v>-5.8371441999223173E-2</v>
      </c>
      <c r="LQ14" s="87">
        <f t="shared" si="96"/>
        <v>0</v>
      </c>
      <c r="LR14" s="86">
        <f t="shared" si="97"/>
        <v>1.1551600567523599</v>
      </c>
      <c r="LS14" s="84">
        <v>1</v>
      </c>
      <c r="LT14" s="87">
        <f t="shared" si="100"/>
        <v>0</v>
      </c>
      <c r="LU14" s="170" t="e">
        <f t="shared" si="92"/>
        <v>#REF!</v>
      </c>
      <c r="LV14" s="171" t="e">
        <f t="shared" si="98"/>
        <v>#REF!</v>
      </c>
      <c r="LW14" s="89" t="s">
        <v>3809</v>
      </c>
      <c r="LX14" s="89" t="str">
        <f t="shared" si="87"/>
        <v/>
      </c>
      <c r="LY14" s="89" t="str">
        <f t="shared" si="88"/>
        <v/>
      </c>
      <c r="LZ14" s="5"/>
      <c r="MA14" s="67" t="str">
        <f t="shared" si="99"/>
        <v>PALMEIRAS</v>
      </c>
      <c r="MB14" s="89" t="s">
        <v>3808</v>
      </c>
    </row>
    <row r="15" spans="1:340" x14ac:dyDescent="0.2">
      <c r="A15" s="16">
        <v>0.7583333333333333</v>
      </c>
      <c r="B15" s="418">
        <f t="shared" si="0"/>
        <v>0.61025000000000007</v>
      </c>
      <c r="C15" s="419">
        <f t="shared" si="1"/>
        <v>-4.0966816878340584E-4</v>
      </c>
      <c r="D15" s="17">
        <v>0.61</v>
      </c>
      <c r="E15" s="231">
        <f t="shared" si="2"/>
        <v>0.99959033183121659</v>
      </c>
      <c r="F15" s="17" t="s">
        <v>48</v>
      </c>
      <c r="G15" s="20" t="s">
        <v>789</v>
      </c>
      <c r="H15" s="21">
        <v>0.69</v>
      </c>
      <c r="I15" s="296">
        <f t="shared" si="3"/>
        <v>1.1306841458418679</v>
      </c>
      <c r="J15" s="21" t="s">
        <v>42</v>
      </c>
      <c r="K15" s="23" t="s">
        <v>790</v>
      </c>
      <c r="L15" s="17">
        <v>0.71</v>
      </c>
      <c r="M15" s="205">
        <f t="shared" si="4"/>
        <v>1.1634575993445306</v>
      </c>
      <c r="N15" s="17" t="s">
        <v>42</v>
      </c>
      <c r="O15" s="20" t="s">
        <v>791</v>
      </c>
      <c r="P15" s="21">
        <v>0.72</v>
      </c>
      <c r="Q15" s="25">
        <f t="shared" si="5"/>
        <v>1.1798443260958622</v>
      </c>
      <c r="R15" s="21" t="s">
        <v>42</v>
      </c>
      <c r="S15" s="23" t="s">
        <v>792</v>
      </c>
      <c r="T15" s="17">
        <v>0.42</v>
      </c>
      <c r="U15" s="130">
        <f t="shared" si="6"/>
        <v>0.68824252355591964</v>
      </c>
      <c r="V15" s="17" t="s">
        <v>48</v>
      </c>
      <c r="W15" s="5"/>
      <c r="X15" s="21">
        <v>0.78</v>
      </c>
      <c r="Y15" s="420">
        <f t="shared" si="7"/>
        <v>1.2781646866038507</v>
      </c>
      <c r="Z15" s="21" t="s">
        <v>48</v>
      </c>
      <c r="AA15" s="28"/>
      <c r="AB15" s="17">
        <v>0.68</v>
      </c>
      <c r="AC15" s="263">
        <f t="shared" si="8"/>
        <v>1.1142974190905366</v>
      </c>
      <c r="AD15" s="17" t="s">
        <v>42</v>
      </c>
      <c r="AE15" s="20" t="s">
        <v>793</v>
      </c>
      <c r="AF15" s="21">
        <v>0.71</v>
      </c>
      <c r="AG15" s="205">
        <f t="shared" si="9"/>
        <v>1.1634575993445306</v>
      </c>
      <c r="AH15" s="21" t="s">
        <v>70</v>
      </c>
      <c r="AI15" s="23" t="s">
        <v>794</v>
      </c>
      <c r="AJ15" s="17">
        <v>1.02</v>
      </c>
      <c r="AK15" s="421">
        <f t="shared" si="10"/>
        <v>1.6714461286358049</v>
      </c>
      <c r="AL15" s="17" t="s">
        <v>42</v>
      </c>
      <c r="AM15" s="20" t="s">
        <v>795</v>
      </c>
      <c r="AN15" s="21">
        <v>1.1499999999999999</v>
      </c>
      <c r="AO15" s="422">
        <f t="shared" si="11"/>
        <v>1.8844735764031131</v>
      </c>
      <c r="AP15" s="21" t="s">
        <v>42</v>
      </c>
      <c r="AQ15" s="23" t="s">
        <v>796</v>
      </c>
      <c r="AR15" s="17">
        <v>0.53</v>
      </c>
      <c r="AS15" s="282">
        <f t="shared" si="12"/>
        <v>0.86849651782056525</v>
      </c>
      <c r="AT15" s="17" t="s">
        <v>42</v>
      </c>
      <c r="AU15" s="20" t="s">
        <v>797</v>
      </c>
      <c r="AV15" s="21">
        <v>0.91</v>
      </c>
      <c r="AW15" s="423">
        <f t="shared" si="13"/>
        <v>1.4911921343711592</v>
      </c>
      <c r="AX15" s="21" t="s">
        <v>48</v>
      </c>
      <c r="AY15" s="23" t="s">
        <v>798</v>
      </c>
      <c r="AZ15" s="17">
        <v>0.76</v>
      </c>
      <c r="BA15" s="181">
        <f t="shared" si="14"/>
        <v>1.2453912331011878</v>
      </c>
      <c r="BB15" s="17" t="s">
        <v>42</v>
      </c>
      <c r="BC15" s="20" t="s">
        <v>799</v>
      </c>
      <c r="BD15" s="17">
        <v>0.84</v>
      </c>
      <c r="BE15" s="298">
        <f t="shared" si="15"/>
        <v>1.3764850471118393</v>
      </c>
      <c r="BF15" s="17" t="s">
        <v>42</v>
      </c>
      <c r="BG15" s="20" t="s">
        <v>800</v>
      </c>
      <c r="BH15" s="37">
        <v>1.1299999999999999</v>
      </c>
      <c r="BI15" s="424">
        <f t="shared" si="16"/>
        <v>1.8517001229004502</v>
      </c>
      <c r="BJ15" s="37" t="s">
        <v>42</v>
      </c>
      <c r="BK15" s="38" t="s">
        <v>801</v>
      </c>
      <c r="BL15" s="17">
        <v>0.76</v>
      </c>
      <c r="BM15" s="181">
        <f t="shared" si="17"/>
        <v>1.2453912331011878</v>
      </c>
      <c r="BN15" s="17" t="s">
        <v>48</v>
      </c>
      <c r="BO15" s="40"/>
      <c r="BP15" s="17">
        <v>0.64</v>
      </c>
      <c r="BQ15" s="153">
        <f t="shared" si="18"/>
        <v>1.048750512085211</v>
      </c>
      <c r="BR15" s="17" t="s">
        <v>70</v>
      </c>
      <c r="BS15" s="41"/>
      <c r="BT15" s="37">
        <v>0.76</v>
      </c>
      <c r="BU15" s="181">
        <f t="shared" si="19"/>
        <v>1.2453912331011878</v>
      </c>
      <c r="BV15" s="21" t="s">
        <v>46</v>
      </c>
      <c r="BW15" s="23" t="s">
        <v>802</v>
      </c>
      <c r="BX15" s="17">
        <v>0.45</v>
      </c>
      <c r="BY15" s="425">
        <f t="shared" si="20"/>
        <v>0.73740270380991391</v>
      </c>
      <c r="BZ15" s="17" t="s">
        <v>42</v>
      </c>
      <c r="CA15" s="20" t="s">
        <v>803</v>
      </c>
      <c r="CB15" s="37">
        <v>0.46</v>
      </c>
      <c r="CC15" s="302">
        <f t="shared" si="21"/>
        <v>0.75378943056124537</v>
      </c>
      <c r="CD15" s="21" t="s">
        <v>48</v>
      </c>
      <c r="CE15" s="23" t="s">
        <v>804</v>
      </c>
      <c r="CF15" s="17">
        <v>0.34</v>
      </c>
      <c r="CG15" s="187">
        <f t="shared" si="22"/>
        <v>0.55714870954526829</v>
      </c>
      <c r="CH15" s="17" t="s">
        <v>356</v>
      </c>
      <c r="CI15" s="20" t="s">
        <v>805</v>
      </c>
      <c r="CJ15" s="37">
        <v>0.18</v>
      </c>
      <c r="CK15" s="426">
        <f t="shared" si="23"/>
        <v>0.29496108152396555</v>
      </c>
      <c r="CL15" s="46" t="s">
        <v>48</v>
      </c>
      <c r="CM15" s="23" t="s">
        <v>806</v>
      </c>
      <c r="CN15" s="17">
        <v>0.66</v>
      </c>
      <c r="CO15" s="27">
        <f t="shared" si="24"/>
        <v>1.0815239655878737</v>
      </c>
      <c r="CP15" s="17" t="s">
        <v>42</v>
      </c>
      <c r="CQ15" s="20" t="s">
        <v>807</v>
      </c>
      <c r="CR15" s="37">
        <v>0.45</v>
      </c>
      <c r="CS15" s="425">
        <f t="shared" si="25"/>
        <v>0.73740270380991391</v>
      </c>
      <c r="CT15" s="21" t="s">
        <v>48</v>
      </c>
      <c r="CU15" s="23" t="s">
        <v>808</v>
      </c>
      <c r="CV15" s="17">
        <v>0.46</v>
      </c>
      <c r="CW15" s="302">
        <f t="shared" si="26"/>
        <v>0.75378943056124537</v>
      </c>
      <c r="CX15" s="17" t="s">
        <v>48</v>
      </c>
      <c r="CY15" s="20" t="s">
        <v>809</v>
      </c>
      <c r="CZ15" s="37">
        <v>0.33</v>
      </c>
      <c r="DA15" s="189">
        <f t="shared" si="27"/>
        <v>0.54076198279393684</v>
      </c>
      <c r="DB15" s="21" t="s">
        <v>42</v>
      </c>
      <c r="DC15" s="23" t="s">
        <v>810</v>
      </c>
      <c r="DD15" s="17">
        <v>0.44</v>
      </c>
      <c r="DE15" s="74">
        <f t="shared" si="28"/>
        <v>0.72101597705858245</v>
      </c>
      <c r="DF15" s="17" t="s">
        <v>48</v>
      </c>
      <c r="DG15" s="20" t="s">
        <v>811</v>
      </c>
      <c r="DH15" s="37">
        <v>0.83</v>
      </c>
      <c r="DI15" s="427">
        <f t="shared" si="29"/>
        <v>1.3600983203605077</v>
      </c>
      <c r="DJ15" s="21" t="s">
        <v>48</v>
      </c>
      <c r="DK15" s="28"/>
      <c r="DL15" s="17">
        <v>0.13</v>
      </c>
      <c r="DM15" s="428">
        <f t="shared" si="30"/>
        <v>0.21302744776730848</v>
      </c>
      <c r="DN15" s="17" t="s">
        <v>70</v>
      </c>
      <c r="DO15" s="51" t="s">
        <v>812</v>
      </c>
      <c r="DP15" s="21">
        <v>0.79</v>
      </c>
      <c r="DQ15" s="339">
        <f t="shared" si="31"/>
        <v>1.2945514133551823</v>
      </c>
      <c r="DR15" s="53" t="s">
        <v>70</v>
      </c>
      <c r="DS15" s="54" t="s">
        <v>813</v>
      </c>
      <c r="DT15" s="53">
        <v>0.6</v>
      </c>
      <c r="DU15" s="284">
        <f t="shared" si="32"/>
        <v>0.98320360507988513</v>
      </c>
      <c r="DV15" s="56" t="s">
        <v>46</v>
      </c>
      <c r="DW15" s="57" t="s">
        <v>814</v>
      </c>
      <c r="DX15" s="53">
        <v>0.46</v>
      </c>
      <c r="DY15" s="302">
        <f t="shared" si="33"/>
        <v>0.75378943056124537</v>
      </c>
      <c r="DZ15" s="53" t="s">
        <v>46</v>
      </c>
      <c r="EA15" s="54" t="s">
        <v>814</v>
      </c>
      <c r="EB15" s="56">
        <v>0.57999999999999996</v>
      </c>
      <c r="EC15" s="37">
        <f t="shared" si="34"/>
        <v>0.95043015157722233</v>
      </c>
      <c r="ED15" s="56" t="s">
        <v>70</v>
      </c>
      <c r="EE15" s="57" t="s">
        <v>815</v>
      </c>
      <c r="EF15" s="53">
        <v>0.51</v>
      </c>
      <c r="EG15" s="415">
        <f t="shared" si="35"/>
        <v>0.83572306431790244</v>
      </c>
      <c r="EH15" s="53" t="s">
        <v>70</v>
      </c>
      <c r="EI15" s="57" t="s">
        <v>816</v>
      </c>
      <c r="EJ15" s="53">
        <v>1.0900000000000001</v>
      </c>
      <c r="EK15" s="429">
        <f t="shared" si="36"/>
        <v>1.7861532158951248</v>
      </c>
      <c r="EL15" s="56" t="s">
        <v>48</v>
      </c>
      <c r="EM15" s="57" t="s">
        <v>817</v>
      </c>
      <c r="EN15" s="53">
        <v>0.82</v>
      </c>
      <c r="EO15" s="430">
        <f t="shared" si="37"/>
        <v>1.3437115936091764</v>
      </c>
      <c r="EP15" s="53" t="s">
        <v>42</v>
      </c>
      <c r="EQ15" s="23" t="s">
        <v>818</v>
      </c>
      <c r="ER15" s="53">
        <v>0.57999999999999996</v>
      </c>
      <c r="ES15" s="37">
        <f t="shared" si="38"/>
        <v>0.95043015157722233</v>
      </c>
      <c r="ET15" s="53" t="s">
        <v>48</v>
      </c>
      <c r="EU15" s="20" t="s">
        <v>819</v>
      </c>
      <c r="EV15" s="53">
        <v>0.7</v>
      </c>
      <c r="EW15" s="131">
        <f t="shared" si="39"/>
        <v>1.1470708725931993</v>
      </c>
      <c r="EX15" s="21" t="s">
        <v>48</v>
      </c>
      <c r="EY15" s="57" t="s">
        <v>820</v>
      </c>
      <c r="EZ15" s="53">
        <v>0.64</v>
      </c>
      <c r="FA15" s="153">
        <f t="shared" si="40"/>
        <v>1.048750512085211</v>
      </c>
      <c r="FB15" s="40"/>
      <c r="FC15" s="40"/>
      <c r="FD15" s="53">
        <v>0.87</v>
      </c>
      <c r="FE15" s="112">
        <f t="shared" si="41"/>
        <v>1.4256452273658335</v>
      </c>
      <c r="FF15" s="21" t="s">
        <v>48</v>
      </c>
      <c r="FG15" s="64"/>
      <c r="FH15" s="17">
        <v>0.84</v>
      </c>
      <c r="FI15" s="298">
        <f t="shared" si="42"/>
        <v>1.3764850471118393</v>
      </c>
      <c r="FJ15" s="17" t="s">
        <v>42</v>
      </c>
      <c r="FK15" s="51" t="s">
        <v>821</v>
      </c>
      <c r="FL15" s="17">
        <v>0.95</v>
      </c>
      <c r="FM15" s="431">
        <f t="shared" si="43"/>
        <v>1.5567390413764848</v>
      </c>
      <c r="FN15" s="21" t="s">
        <v>48</v>
      </c>
      <c r="FO15" s="51" t="s">
        <v>822</v>
      </c>
      <c r="FP15" s="17">
        <v>0.38</v>
      </c>
      <c r="FQ15" s="125">
        <f t="shared" si="44"/>
        <v>0.62269561655059391</v>
      </c>
      <c r="FR15" s="17" t="s">
        <v>42</v>
      </c>
      <c r="FS15" s="51" t="s">
        <v>823</v>
      </c>
      <c r="FT15" s="17">
        <v>0.93</v>
      </c>
      <c r="FU15" s="214">
        <f t="shared" si="45"/>
        <v>1.5239655878738221</v>
      </c>
      <c r="FV15" s="17" t="s">
        <v>48</v>
      </c>
      <c r="FW15" s="51" t="s">
        <v>824</v>
      </c>
      <c r="FX15" s="17">
        <v>0.86</v>
      </c>
      <c r="FY15" s="432">
        <f t="shared" si="46"/>
        <v>1.409258500614502</v>
      </c>
      <c r="FZ15" s="17" t="s">
        <v>42</v>
      </c>
      <c r="GA15" s="51" t="s">
        <v>825</v>
      </c>
      <c r="GB15" s="53">
        <v>0.59</v>
      </c>
      <c r="GC15" s="433">
        <f t="shared" si="47"/>
        <v>0.96681687832855367</v>
      </c>
      <c r="GD15" s="21" t="s">
        <v>42</v>
      </c>
      <c r="GE15" s="63"/>
      <c r="GF15" s="17">
        <v>0.6</v>
      </c>
      <c r="GG15" s="284">
        <f t="shared" si="48"/>
        <v>0.98320360507988513</v>
      </c>
      <c r="GH15" s="17" t="s">
        <v>42</v>
      </c>
      <c r="GI15" s="51" t="s">
        <v>826</v>
      </c>
      <c r="GJ15" s="17">
        <v>0.75</v>
      </c>
      <c r="GK15" s="434">
        <f t="shared" si="49"/>
        <v>1.2290045063498565</v>
      </c>
      <c r="GL15" s="17" t="s">
        <v>48</v>
      </c>
      <c r="GM15" s="67" t="s">
        <v>827</v>
      </c>
      <c r="GN15" s="17">
        <v>0.26</v>
      </c>
      <c r="GO15" s="237">
        <f t="shared" si="50"/>
        <v>0.42605489553461695</v>
      </c>
      <c r="GP15" s="17" t="s">
        <v>48</v>
      </c>
      <c r="GQ15" s="51" t="s">
        <v>828</v>
      </c>
      <c r="GR15" s="17">
        <v>0.34</v>
      </c>
      <c r="GS15" s="187">
        <f t="shared" si="51"/>
        <v>0.55714870954526829</v>
      </c>
      <c r="GT15" s="17" t="s">
        <v>48</v>
      </c>
      <c r="GU15" s="51" t="s">
        <v>829</v>
      </c>
      <c r="GV15" s="17">
        <v>0.77</v>
      </c>
      <c r="GW15" s="435">
        <f t="shared" si="52"/>
        <v>1.2617779598525194</v>
      </c>
      <c r="GX15" s="17" t="s">
        <v>48</v>
      </c>
      <c r="GY15" s="67" t="s">
        <v>830</v>
      </c>
      <c r="GZ15" s="17">
        <v>0.47</v>
      </c>
      <c r="HA15" s="19">
        <f t="shared" si="53"/>
        <v>0.77017615731257671</v>
      </c>
      <c r="HB15" s="17" t="s">
        <v>46</v>
      </c>
      <c r="HC15" s="20" t="s">
        <v>831</v>
      </c>
      <c r="HD15" s="17">
        <v>0.54</v>
      </c>
      <c r="HE15" s="436">
        <f t="shared" si="54"/>
        <v>0.88488324457189671</v>
      </c>
      <c r="HF15" s="17" t="s">
        <v>46</v>
      </c>
      <c r="HG15" s="20" t="s">
        <v>832</v>
      </c>
      <c r="HH15" s="17">
        <v>0.8</v>
      </c>
      <c r="HI15" s="116">
        <f t="shared" si="55"/>
        <v>1.3109381401065137</v>
      </c>
      <c r="HJ15" s="17" t="s">
        <v>42</v>
      </c>
      <c r="HK15" s="20" t="s">
        <v>833</v>
      </c>
      <c r="HL15" s="17">
        <v>0.42</v>
      </c>
      <c r="HM15" s="130">
        <f t="shared" si="56"/>
        <v>0.68824252355591964</v>
      </c>
      <c r="HN15" s="17" t="s">
        <v>42</v>
      </c>
      <c r="HO15" s="20" t="s">
        <v>767</v>
      </c>
      <c r="HP15" s="17">
        <v>0.43</v>
      </c>
      <c r="HQ15" s="198">
        <f t="shared" si="57"/>
        <v>0.70462925030725099</v>
      </c>
      <c r="HR15" s="17" t="s">
        <v>42</v>
      </c>
      <c r="HS15" s="73" t="s">
        <v>834</v>
      </c>
      <c r="HT15" s="17">
        <v>0.96</v>
      </c>
      <c r="HU15" s="437">
        <f t="shared" si="58"/>
        <v>1.5731257681278161</v>
      </c>
      <c r="HV15" s="17" t="s">
        <v>48</v>
      </c>
      <c r="HW15" s="75" t="s">
        <v>835</v>
      </c>
      <c r="HX15" s="17">
        <v>0.56999999999999995</v>
      </c>
      <c r="HY15" s="24">
        <f t="shared" si="59"/>
        <v>0.93404342482589087</v>
      </c>
      <c r="HZ15" s="21" t="s">
        <v>48</v>
      </c>
      <c r="IA15" s="75" t="s">
        <v>836</v>
      </c>
      <c r="IB15" s="17">
        <v>0.71</v>
      </c>
      <c r="IC15" s="205">
        <f t="shared" si="60"/>
        <v>1.1634575993445306</v>
      </c>
      <c r="ID15" s="17" t="s">
        <v>42</v>
      </c>
      <c r="IE15" s="51" t="s">
        <v>837</v>
      </c>
      <c r="IF15" s="17">
        <v>0.5</v>
      </c>
      <c r="IG15" s="62">
        <f t="shared" si="61"/>
        <v>0.81933633756657098</v>
      </c>
      <c r="IH15" s="17" t="s">
        <v>42</v>
      </c>
      <c r="II15" s="67" t="s">
        <v>838</v>
      </c>
      <c r="IJ15" s="17">
        <v>0.45</v>
      </c>
      <c r="IK15" s="425">
        <f t="shared" si="62"/>
        <v>0.73740270380991391</v>
      </c>
      <c r="IL15" s="17" t="s">
        <v>46</v>
      </c>
      <c r="IM15" s="51" t="s">
        <v>839</v>
      </c>
      <c r="IN15" s="164">
        <v>0.36</v>
      </c>
      <c r="IO15" s="147">
        <f t="shared" si="63"/>
        <v>0.5899221630479311</v>
      </c>
      <c r="IP15" s="17" t="s">
        <v>48</v>
      </c>
      <c r="IQ15" s="51" t="s">
        <v>840</v>
      </c>
      <c r="IR15" s="17">
        <v>0.72</v>
      </c>
      <c r="IS15" s="25">
        <f t="shared" si="64"/>
        <v>1.1798443260958622</v>
      </c>
      <c r="IT15" s="17" t="s">
        <v>42</v>
      </c>
      <c r="IU15" s="75" t="s">
        <v>841</v>
      </c>
      <c r="IV15" s="17">
        <v>0.19</v>
      </c>
      <c r="IW15" s="438">
        <f t="shared" si="65"/>
        <v>0.31134780827529696</v>
      </c>
      <c r="IX15" s="17" t="s">
        <v>66</v>
      </c>
      <c r="IY15" s="51" t="s">
        <v>842</v>
      </c>
      <c r="IZ15" s="17">
        <v>0.76</v>
      </c>
      <c r="JA15" s="181">
        <f t="shared" si="66"/>
        <v>1.2453912331011878</v>
      </c>
      <c r="JB15" s="17" t="s">
        <v>42</v>
      </c>
      <c r="JC15" s="51" t="s">
        <v>843</v>
      </c>
      <c r="JD15" s="17">
        <v>0.59</v>
      </c>
      <c r="JE15" s="433">
        <f t="shared" si="67"/>
        <v>0.96681687832855367</v>
      </c>
      <c r="JF15" s="17" t="s">
        <v>42</v>
      </c>
      <c r="JG15" s="51" t="s">
        <v>844</v>
      </c>
      <c r="JH15" s="17">
        <v>0.44</v>
      </c>
      <c r="JI15" s="74">
        <f t="shared" si="68"/>
        <v>0.72101597705858245</v>
      </c>
      <c r="JJ15" s="17" t="s">
        <v>46</v>
      </c>
      <c r="JK15" s="51" t="s">
        <v>845</v>
      </c>
      <c r="JL15" s="21">
        <v>0.25</v>
      </c>
      <c r="JM15" s="273">
        <f t="shared" si="69"/>
        <v>0.40966816878328549</v>
      </c>
      <c r="JN15" s="21" t="s">
        <v>48</v>
      </c>
      <c r="JO15" s="75" t="s">
        <v>846</v>
      </c>
      <c r="JP15" s="21">
        <v>0.4</v>
      </c>
      <c r="JQ15" s="163">
        <f t="shared" si="70"/>
        <v>0.65546907005325683</v>
      </c>
      <c r="JR15" s="21" t="s">
        <v>70</v>
      </c>
      <c r="JS15" s="51" t="s">
        <v>847</v>
      </c>
      <c r="JT15" s="21">
        <v>0.38</v>
      </c>
      <c r="JU15" s="125">
        <f t="shared" si="71"/>
        <v>0.62269561655059391</v>
      </c>
      <c r="JV15" s="21" t="s">
        <v>42</v>
      </c>
      <c r="JW15" s="75" t="s">
        <v>848</v>
      </c>
      <c r="JX15" s="17">
        <v>0.82</v>
      </c>
      <c r="JY15" s="430">
        <f t="shared" si="72"/>
        <v>1.3437115936091764</v>
      </c>
      <c r="JZ15" s="51" t="s">
        <v>46</v>
      </c>
      <c r="KA15" s="51" t="s">
        <v>849</v>
      </c>
      <c r="KB15" s="21">
        <v>1.1000000000000001</v>
      </c>
      <c r="KC15" s="439">
        <f t="shared" si="73"/>
        <v>1.8025399426464563</v>
      </c>
      <c r="KD15" s="75" t="s">
        <v>48</v>
      </c>
      <c r="KE15" s="75" t="s">
        <v>850</v>
      </c>
      <c r="KF15" s="17">
        <v>0.56000000000000005</v>
      </c>
      <c r="KG15" s="110">
        <f t="shared" si="74"/>
        <v>0.91765669807455963</v>
      </c>
      <c r="KH15" s="51" t="s">
        <v>285</v>
      </c>
      <c r="KI15" s="51" t="s">
        <v>851</v>
      </c>
      <c r="KJ15" s="21">
        <v>0.49</v>
      </c>
      <c r="KK15" s="268">
        <f t="shared" si="75"/>
        <v>0.80294961081523952</v>
      </c>
      <c r="KL15" s="75" t="s">
        <v>70</v>
      </c>
      <c r="KM15" s="75" t="s">
        <v>852</v>
      </c>
      <c r="KN15" s="17">
        <v>0.56000000000000005</v>
      </c>
      <c r="KO15" s="110">
        <f t="shared" si="76"/>
        <v>0.91765669807455963</v>
      </c>
      <c r="KP15" s="51" t="s">
        <v>70</v>
      </c>
      <c r="KQ15" s="51" t="s">
        <v>853</v>
      </c>
      <c r="KR15" s="21">
        <v>0.38</v>
      </c>
      <c r="KS15" s="125">
        <f t="shared" si="77"/>
        <v>0.62269561655059391</v>
      </c>
      <c r="KT15" s="75" t="s">
        <v>70</v>
      </c>
      <c r="KU15" s="75" t="s">
        <v>854</v>
      </c>
      <c r="KV15" s="82">
        <v>0.65</v>
      </c>
      <c r="KW15" s="334">
        <f t="shared" si="78"/>
        <v>1.0651372388365423</v>
      </c>
      <c r="KX15" s="51" t="s">
        <v>46</v>
      </c>
      <c r="KY15" s="51" t="s">
        <v>855</v>
      </c>
      <c r="KZ15" s="83">
        <v>0.17</v>
      </c>
      <c r="LA15" s="440">
        <f t="shared" si="79"/>
        <v>0.27857435477263415</v>
      </c>
      <c r="LB15" s="75" t="s">
        <v>856</v>
      </c>
      <c r="LC15" s="75" t="s">
        <v>857</v>
      </c>
      <c r="LD15" s="82">
        <v>0.36</v>
      </c>
      <c r="LE15" s="147">
        <f t="shared" si="80"/>
        <v>0.5899221630479311</v>
      </c>
      <c r="LF15" s="51" t="s">
        <v>70</v>
      </c>
      <c r="LG15" s="51" t="s">
        <v>858</v>
      </c>
      <c r="LH15" s="83">
        <v>0.33</v>
      </c>
      <c r="LI15" s="84"/>
      <c r="LJ15" s="85"/>
      <c r="LK15" s="85"/>
      <c r="LL15" s="86">
        <f t="shared" si="81"/>
        <v>0.6102531645569621</v>
      </c>
      <c r="LM15" s="86">
        <f t="shared" si="82"/>
        <v>0.9995851483094792</v>
      </c>
      <c r="LN15" s="86">
        <f t="shared" si="90"/>
        <v>1.0616426461965303</v>
      </c>
      <c r="LO15" s="86">
        <f t="shared" si="94"/>
        <v>1.1119959675320641</v>
      </c>
      <c r="LP15" s="86">
        <f t="shared" si="95"/>
        <v>-0.26520225022552357</v>
      </c>
      <c r="LQ15" s="87">
        <f t="shared" si="96"/>
        <v>0</v>
      </c>
      <c r="LR15" s="86">
        <f t="shared" si="97"/>
        <v>1.0438109850131978</v>
      </c>
      <c r="LS15" s="84">
        <v>1</v>
      </c>
      <c r="LT15" s="87">
        <f t="shared" si="100"/>
        <v>0</v>
      </c>
      <c r="LU15" s="170" t="e">
        <f t="shared" si="92"/>
        <v>#REF!</v>
      </c>
      <c r="LV15" s="171" t="e">
        <f t="shared" si="98"/>
        <v>#REF!</v>
      </c>
      <c r="LW15" s="89" t="s">
        <v>3809</v>
      </c>
      <c r="LX15" s="89" t="str">
        <f t="shared" si="87"/>
        <v/>
      </c>
      <c r="LY15" s="89" t="str">
        <f t="shared" si="88"/>
        <v/>
      </c>
      <c r="LZ15" s="5"/>
      <c r="MA15" s="67" t="str">
        <f t="shared" si="99"/>
        <v>PALMEIRAS</v>
      </c>
      <c r="MB15" s="89" t="s">
        <v>3808</v>
      </c>
    </row>
    <row r="16" spans="1:340" x14ac:dyDescent="0.2">
      <c r="A16" s="16">
        <v>0.75902777777777775</v>
      </c>
      <c r="B16" s="441">
        <f t="shared" si="0"/>
        <v>0.62512499999999993</v>
      </c>
      <c r="C16" s="442">
        <f t="shared" si="1"/>
        <v>0.18376324735052996</v>
      </c>
      <c r="D16" s="17">
        <v>0.74</v>
      </c>
      <c r="E16" s="326">
        <f t="shared" si="2"/>
        <v>1.18376324735053</v>
      </c>
      <c r="F16" s="17" t="s">
        <v>42</v>
      </c>
      <c r="G16" s="20" t="s">
        <v>859</v>
      </c>
      <c r="H16" s="21">
        <v>0.74</v>
      </c>
      <c r="I16" s="326">
        <f t="shared" si="3"/>
        <v>1.18376324735053</v>
      </c>
      <c r="J16" s="21" t="s">
        <v>42</v>
      </c>
      <c r="K16" s="23" t="s">
        <v>860</v>
      </c>
      <c r="L16" s="17">
        <v>0.71</v>
      </c>
      <c r="M16" s="443">
        <f t="shared" si="4"/>
        <v>1.1357728454309139</v>
      </c>
      <c r="N16" s="17" t="s">
        <v>46</v>
      </c>
      <c r="O16" s="20" t="s">
        <v>861</v>
      </c>
      <c r="P16" s="21">
        <v>0.72</v>
      </c>
      <c r="Q16" s="44">
        <f t="shared" si="5"/>
        <v>1.151769646070786</v>
      </c>
      <c r="R16" s="21" t="s">
        <v>42</v>
      </c>
      <c r="S16" s="23" t="s">
        <v>862</v>
      </c>
      <c r="T16" s="17">
        <v>0.48</v>
      </c>
      <c r="U16" s="202">
        <f t="shared" si="6"/>
        <v>0.76784643071385728</v>
      </c>
      <c r="V16" s="17" t="s">
        <v>48</v>
      </c>
      <c r="W16" s="5"/>
      <c r="X16" s="21">
        <v>0.78</v>
      </c>
      <c r="Y16" s="375">
        <f t="shared" si="7"/>
        <v>1.2477504499100183</v>
      </c>
      <c r="Z16" s="21" t="s">
        <v>48</v>
      </c>
      <c r="AA16" s="28"/>
      <c r="AB16" s="17">
        <v>0.68</v>
      </c>
      <c r="AC16" s="444">
        <f t="shared" si="8"/>
        <v>1.0877824435112979</v>
      </c>
      <c r="AD16" s="17" t="s">
        <v>42</v>
      </c>
      <c r="AE16" s="20" t="s">
        <v>863</v>
      </c>
      <c r="AF16" s="21">
        <v>0.79</v>
      </c>
      <c r="AG16" s="95">
        <f t="shared" si="9"/>
        <v>1.2637472505498901</v>
      </c>
      <c r="AH16" s="21" t="s">
        <v>70</v>
      </c>
      <c r="AI16" s="23" t="s">
        <v>864</v>
      </c>
      <c r="AJ16" s="17">
        <v>1.02</v>
      </c>
      <c r="AK16" s="345">
        <f t="shared" si="10"/>
        <v>1.6316736652669468</v>
      </c>
      <c r="AL16" s="17" t="s">
        <v>42</v>
      </c>
      <c r="AM16" s="20" t="s">
        <v>865</v>
      </c>
      <c r="AN16" s="21">
        <v>1.22</v>
      </c>
      <c r="AO16" s="445">
        <f t="shared" si="11"/>
        <v>1.9516096780643872</v>
      </c>
      <c r="AP16" s="21" t="s">
        <v>48</v>
      </c>
      <c r="AQ16" s="23" t="s">
        <v>866</v>
      </c>
      <c r="AR16" s="17">
        <v>0.6</v>
      </c>
      <c r="AS16" s="446">
        <f t="shared" si="12"/>
        <v>0.95980803839232165</v>
      </c>
      <c r="AT16" s="17" t="s">
        <v>42</v>
      </c>
      <c r="AU16" s="20" t="s">
        <v>867</v>
      </c>
      <c r="AV16" s="21">
        <v>0.97</v>
      </c>
      <c r="AW16" s="447">
        <f t="shared" si="13"/>
        <v>1.5516896620675866</v>
      </c>
      <c r="AX16" s="21" t="s">
        <v>48</v>
      </c>
      <c r="AY16" s="23" t="s">
        <v>868</v>
      </c>
      <c r="AZ16" s="17">
        <v>0.69</v>
      </c>
      <c r="BA16" s="49">
        <f t="shared" si="14"/>
        <v>1.1037792441511698</v>
      </c>
      <c r="BB16" s="17" t="s">
        <v>46</v>
      </c>
      <c r="BC16" s="20" t="s">
        <v>869</v>
      </c>
      <c r="BD16" s="17">
        <v>0.9</v>
      </c>
      <c r="BE16" s="79">
        <f t="shared" si="15"/>
        <v>1.4397120575884825</v>
      </c>
      <c r="BF16" s="17" t="s">
        <v>42</v>
      </c>
      <c r="BG16" s="20" t="s">
        <v>870</v>
      </c>
      <c r="BH16" s="37">
        <v>1.1200000000000001</v>
      </c>
      <c r="BI16" s="413">
        <f t="shared" si="16"/>
        <v>1.7916416716656673</v>
      </c>
      <c r="BJ16" s="37" t="s">
        <v>48</v>
      </c>
      <c r="BK16" s="38" t="s">
        <v>871</v>
      </c>
      <c r="BL16" s="17">
        <v>0.76</v>
      </c>
      <c r="BM16" s="361">
        <f t="shared" si="17"/>
        <v>1.2157568486302741</v>
      </c>
      <c r="BN16" s="17" t="s">
        <v>48</v>
      </c>
      <c r="BO16" s="40"/>
      <c r="BP16" s="17">
        <v>0.64</v>
      </c>
      <c r="BQ16" s="368">
        <f t="shared" si="18"/>
        <v>1.0237952409518098</v>
      </c>
      <c r="BR16" s="17" t="s">
        <v>70</v>
      </c>
      <c r="BS16" s="41"/>
      <c r="BT16" s="37">
        <v>0.73</v>
      </c>
      <c r="BU16" s="448">
        <f t="shared" si="19"/>
        <v>1.1677664467106579</v>
      </c>
      <c r="BV16" s="21" t="s">
        <v>46</v>
      </c>
      <c r="BW16" s="23" t="s">
        <v>872</v>
      </c>
      <c r="BX16" s="17">
        <v>0.45</v>
      </c>
      <c r="BY16" s="74">
        <f t="shared" si="20"/>
        <v>0.71985602879424126</v>
      </c>
      <c r="BZ16" s="17" t="s">
        <v>42</v>
      </c>
      <c r="CA16" s="20" t="s">
        <v>873</v>
      </c>
      <c r="CB16" s="37">
        <v>0.46</v>
      </c>
      <c r="CC16" s="92">
        <f t="shared" si="21"/>
        <v>0.73585282943411334</v>
      </c>
      <c r="CD16" s="21" t="s">
        <v>48</v>
      </c>
      <c r="CE16" s="23" t="s">
        <v>874</v>
      </c>
      <c r="CF16" s="17">
        <v>0.34</v>
      </c>
      <c r="CG16" s="449">
        <f t="shared" si="22"/>
        <v>0.54389122175564897</v>
      </c>
      <c r="CH16" s="17" t="s">
        <v>356</v>
      </c>
      <c r="CI16" s="20" t="s">
        <v>875</v>
      </c>
      <c r="CJ16" s="37">
        <v>0.18</v>
      </c>
      <c r="CK16" s="450">
        <f t="shared" si="23"/>
        <v>0.28794241151769651</v>
      </c>
      <c r="CL16" s="46" t="s">
        <v>42</v>
      </c>
      <c r="CM16" s="23" t="s">
        <v>876</v>
      </c>
      <c r="CN16" s="17">
        <v>0.59</v>
      </c>
      <c r="CO16" s="121">
        <f t="shared" si="24"/>
        <v>0.94381123775244957</v>
      </c>
      <c r="CP16" s="17" t="s">
        <v>42</v>
      </c>
      <c r="CQ16" s="20" t="s">
        <v>877</v>
      </c>
      <c r="CR16" s="37">
        <v>0.45</v>
      </c>
      <c r="CS16" s="74">
        <f t="shared" si="25"/>
        <v>0.71985602879424126</v>
      </c>
      <c r="CT16" s="21" t="s">
        <v>48</v>
      </c>
      <c r="CU16" s="23" t="s">
        <v>878</v>
      </c>
      <c r="CV16" s="17">
        <v>0.46</v>
      </c>
      <c r="CW16" s="92">
        <f t="shared" si="26"/>
        <v>0.73585282943411334</v>
      </c>
      <c r="CX16" s="17" t="s">
        <v>48</v>
      </c>
      <c r="CY16" s="20" t="s">
        <v>879</v>
      </c>
      <c r="CZ16" s="37">
        <v>0.46</v>
      </c>
      <c r="DA16" s="92">
        <f t="shared" si="27"/>
        <v>0.73585282943411334</v>
      </c>
      <c r="DB16" s="21" t="s">
        <v>42</v>
      </c>
      <c r="DC16" s="23" t="s">
        <v>880</v>
      </c>
      <c r="DD16" s="17">
        <v>0.63</v>
      </c>
      <c r="DE16" s="362">
        <f t="shared" si="28"/>
        <v>1.0077984403119378</v>
      </c>
      <c r="DF16" s="17" t="s">
        <v>70</v>
      </c>
      <c r="DG16" s="20" t="s">
        <v>881</v>
      </c>
      <c r="DH16" s="37">
        <v>0.83</v>
      </c>
      <c r="DI16" s="451">
        <f t="shared" si="29"/>
        <v>1.3277344531093782</v>
      </c>
      <c r="DJ16" s="21" t="s">
        <v>48</v>
      </c>
      <c r="DK16" s="28"/>
      <c r="DL16" s="17">
        <v>0.2</v>
      </c>
      <c r="DM16" s="452">
        <f t="shared" si="30"/>
        <v>0.31993601279744055</v>
      </c>
      <c r="DN16" s="17" t="s">
        <v>70</v>
      </c>
      <c r="DO16" s="51" t="s">
        <v>812</v>
      </c>
      <c r="DP16" s="21">
        <v>0.91</v>
      </c>
      <c r="DQ16" s="453">
        <f t="shared" si="31"/>
        <v>1.4557088582283546</v>
      </c>
      <c r="DR16" s="53" t="s">
        <v>70</v>
      </c>
      <c r="DS16" s="54" t="s">
        <v>882</v>
      </c>
      <c r="DT16" s="53">
        <v>0.6</v>
      </c>
      <c r="DU16" s="446">
        <f t="shared" si="32"/>
        <v>0.95980803839232165</v>
      </c>
      <c r="DV16" s="56" t="s">
        <v>46</v>
      </c>
      <c r="DW16" s="57" t="s">
        <v>883</v>
      </c>
      <c r="DX16" s="53">
        <v>0.4</v>
      </c>
      <c r="DY16" s="289">
        <f t="shared" si="33"/>
        <v>0.6398720255948811</v>
      </c>
      <c r="DZ16" s="53" t="s">
        <v>46</v>
      </c>
      <c r="EA16" s="54" t="s">
        <v>883</v>
      </c>
      <c r="EB16" s="56">
        <v>0.44</v>
      </c>
      <c r="EC16" s="198">
        <f t="shared" si="34"/>
        <v>0.70385922815436919</v>
      </c>
      <c r="ED16" s="56" t="s">
        <v>70</v>
      </c>
      <c r="EE16" s="57" t="s">
        <v>884</v>
      </c>
      <c r="EF16" s="53">
        <v>0.44</v>
      </c>
      <c r="EG16" s="198">
        <f t="shared" si="35"/>
        <v>0.70385922815436919</v>
      </c>
      <c r="EH16" s="53" t="s">
        <v>70</v>
      </c>
      <c r="EI16" s="57" t="s">
        <v>885</v>
      </c>
      <c r="EJ16" s="53">
        <v>1.02</v>
      </c>
      <c r="EK16" s="345">
        <f t="shared" si="36"/>
        <v>1.6316736652669468</v>
      </c>
      <c r="EL16" s="56" t="s">
        <v>48</v>
      </c>
      <c r="EM16" s="57" t="s">
        <v>886</v>
      </c>
      <c r="EN16" s="53">
        <v>0.75</v>
      </c>
      <c r="EO16" s="218">
        <f t="shared" si="37"/>
        <v>1.199760047990402</v>
      </c>
      <c r="EP16" s="53" t="s">
        <v>42</v>
      </c>
      <c r="EQ16" s="23" t="s">
        <v>887</v>
      </c>
      <c r="ER16" s="53">
        <v>0.51</v>
      </c>
      <c r="ES16" s="62">
        <f t="shared" si="38"/>
        <v>0.8158368326334734</v>
      </c>
      <c r="ET16" s="53" t="s">
        <v>48</v>
      </c>
      <c r="EU16" s="20" t="s">
        <v>888</v>
      </c>
      <c r="EV16" s="53">
        <v>0.7</v>
      </c>
      <c r="EW16" s="192">
        <f t="shared" si="39"/>
        <v>1.1197760447910419</v>
      </c>
      <c r="EX16" s="21" t="s">
        <v>48</v>
      </c>
      <c r="EY16" s="57" t="s">
        <v>889</v>
      </c>
      <c r="EZ16" s="53">
        <v>0.64</v>
      </c>
      <c r="FA16" s="368">
        <f t="shared" si="40"/>
        <v>1.0237952409518098</v>
      </c>
      <c r="FB16" s="40"/>
      <c r="FC16" s="40"/>
      <c r="FD16" s="53">
        <v>0.93</v>
      </c>
      <c r="FE16" s="169">
        <f t="shared" si="41"/>
        <v>1.4877024595080985</v>
      </c>
      <c r="FF16" s="21" t="s">
        <v>48</v>
      </c>
      <c r="FG16" s="64"/>
      <c r="FH16" s="17">
        <v>0.98</v>
      </c>
      <c r="FI16" s="454">
        <f t="shared" si="42"/>
        <v>1.5676864627074587</v>
      </c>
      <c r="FJ16" s="17" t="s">
        <v>42</v>
      </c>
      <c r="FK16" s="51" t="s">
        <v>890</v>
      </c>
      <c r="FL16" s="17">
        <v>0.84</v>
      </c>
      <c r="FM16" s="430">
        <f t="shared" si="43"/>
        <v>1.3437312537492503</v>
      </c>
      <c r="FN16" s="21" t="s">
        <v>48</v>
      </c>
      <c r="FO16" s="51" t="s">
        <v>822</v>
      </c>
      <c r="FP16" s="17">
        <v>0.38</v>
      </c>
      <c r="FQ16" s="313">
        <f t="shared" si="44"/>
        <v>0.60787842431513706</v>
      </c>
      <c r="FR16" s="17" t="s">
        <v>42</v>
      </c>
      <c r="FS16" s="51" t="s">
        <v>891</v>
      </c>
      <c r="FT16" s="17">
        <v>0.88</v>
      </c>
      <c r="FU16" s="455">
        <f t="shared" si="45"/>
        <v>1.4077184563087384</v>
      </c>
      <c r="FV16" s="17" t="s">
        <v>48</v>
      </c>
      <c r="FW16" s="51" t="s">
        <v>892</v>
      </c>
      <c r="FX16" s="17">
        <v>0.94</v>
      </c>
      <c r="FY16" s="456">
        <f t="shared" si="46"/>
        <v>1.5036992601479704</v>
      </c>
      <c r="FZ16" s="17" t="s">
        <v>42</v>
      </c>
      <c r="GA16" s="51" t="s">
        <v>893</v>
      </c>
      <c r="GB16" s="53">
        <v>0.65</v>
      </c>
      <c r="GC16" s="206">
        <f t="shared" si="47"/>
        <v>1.0397920415916817</v>
      </c>
      <c r="GD16" s="21" t="s">
        <v>42</v>
      </c>
      <c r="GE16" s="63"/>
      <c r="GF16" s="17">
        <v>0.6</v>
      </c>
      <c r="GG16" s="446">
        <f t="shared" si="48"/>
        <v>0.95980803839232165</v>
      </c>
      <c r="GH16" s="17" t="s">
        <v>48</v>
      </c>
      <c r="GI16" s="51" t="s">
        <v>894</v>
      </c>
      <c r="GJ16" s="17">
        <v>0.81</v>
      </c>
      <c r="GK16" s="339">
        <f t="shared" si="49"/>
        <v>1.2957408518296343</v>
      </c>
      <c r="GL16" s="17" t="s">
        <v>48</v>
      </c>
      <c r="GM16" s="67" t="s">
        <v>827</v>
      </c>
      <c r="GN16" s="17">
        <v>0.19</v>
      </c>
      <c r="GO16" s="457">
        <f t="shared" si="50"/>
        <v>0.30393921215756853</v>
      </c>
      <c r="GP16" s="17" t="s">
        <v>48</v>
      </c>
      <c r="GQ16" s="51" t="s">
        <v>895</v>
      </c>
      <c r="GR16" s="17">
        <v>0.34</v>
      </c>
      <c r="GS16" s="449">
        <f t="shared" si="51"/>
        <v>0.54389122175564897</v>
      </c>
      <c r="GT16" s="17" t="s">
        <v>48</v>
      </c>
      <c r="GU16" s="51" t="s">
        <v>896</v>
      </c>
      <c r="GV16" s="17">
        <v>0.77</v>
      </c>
      <c r="GW16" s="458">
        <f t="shared" si="52"/>
        <v>1.2317536492701462</v>
      </c>
      <c r="GX16" s="17" t="s">
        <v>48</v>
      </c>
      <c r="GY16" s="67" t="s">
        <v>897</v>
      </c>
      <c r="GZ16" s="17">
        <v>0.47</v>
      </c>
      <c r="HA16" s="242">
        <f t="shared" si="53"/>
        <v>0.7518496300739852</v>
      </c>
      <c r="HB16" s="17" t="s">
        <v>46</v>
      </c>
      <c r="HC16" s="20" t="s">
        <v>700</v>
      </c>
      <c r="HD16" s="17">
        <v>0.61</v>
      </c>
      <c r="HE16" s="186">
        <f t="shared" si="54"/>
        <v>0.97580483903219362</v>
      </c>
      <c r="HF16" s="17" t="s">
        <v>46</v>
      </c>
      <c r="HG16" s="20" t="s">
        <v>832</v>
      </c>
      <c r="HH16" s="17">
        <v>0.94</v>
      </c>
      <c r="HI16" s="456">
        <f t="shared" si="55"/>
        <v>1.5036992601479704</v>
      </c>
      <c r="HJ16" s="17" t="s">
        <v>42</v>
      </c>
      <c r="HK16" s="20" t="s">
        <v>898</v>
      </c>
      <c r="HL16" s="17">
        <v>0.49</v>
      </c>
      <c r="HM16" s="109">
        <f t="shared" si="56"/>
        <v>0.78384323135372935</v>
      </c>
      <c r="HN16" s="17" t="s">
        <v>48</v>
      </c>
      <c r="HO16" s="20" t="s">
        <v>899</v>
      </c>
      <c r="HP16" s="17">
        <v>0.43</v>
      </c>
      <c r="HQ16" s="130">
        <f t="shared" si="57"/>
        <v>0.68786242751449722</v>
      </c>
      <c r="HR16" s="17" t="s">
        <v>42</v>
      </c>
      <c r="HS16" s="73" t="s">
        <v>900</v>
      </c>
      <c r="HT16" s="17">
        <v>0.96</v>
      </c>
      <c r="HU16" s="373">
        <f t="shared" si="58"/>
        <v>1.5356928614277146</v>
      </c>
      <c r="HV16" s="17" t="s">
        <v>48</v>
      </c>
      <c r="HW16" s="75" t="s">
        <v>901</v>
      </c>
      <c r="HX16" s="17">
        <v>0.71</v>
      </c>
      <c r="HY16" s="443">
        <f t="shared" si="59"/>
        <v>1.1357728454309139</v>
      </c>
      <c r="HZ16" s="21" t="s">
        <v>48</v>
      </c>
      <c r="IA16" s="75" t="s">
        <v>902</v>
      </c>
      <c r="IB16" s="17">
        <v>0.65</v>
      </c>
      <c r="IC16" s="206">
        <f t="shared" si="60"/>
        <v>1.0397920415916817</v>
      </c>
      <c r="ID16" s="17" t="s">
        <v>42</v>
      </c>
      <c r="IE16" s="51" t="s">
        <v>903</v>
      </c>
      <c r="IF16" s="17">
        <v>0.56999999999999995</v>
      </c>
      <c r="IG16" s="80">
        <f t="shared" si="61"/>
        <v>0.91181763647270553</v>
      </c>
      <c r="IH16" s="17" t="s">
        <v>42</v>
      </c>
      <c r="II16" s="67" t="s">
        <v>904</v>
      </c>
      <c r="IJ16" s="17">
        <v>0.45</v>
      </c>
      <c r="IK16" s="74">
        <f t="shared" si="62"/>
        <v>0.71985602879424126</v>
      </c>
      <c r="IL16" s="17" t="s">
        <v>70</v>
      </c>
      <c r="IM16" s="51" t="s">
        <v>905</v>
      </c>
      <c r="IN16" s="236">
        <v>0.41</v>
      </c>
      <c r="IO16" s="163">
        <f t="shared" si="63"/>
        <v>0.65586882623475307</v>
      </c>
      <c r="IP16" s="17" t="s">
        <v>48</v>
      </c>
      <c r="IQ16" s="51" t="s">
        <v>906</v>
      </c>
      <c r="IR16" s="17">
        <v>0.64</v>
      </c>
      <c r="IS16" s="368">
        <f t="shared" si="64"/>
        <v>1.0237952409518098</v>
      </c>
      <c r="IT16" s="17" t="s">
        <v>42</v>
      </c>
      <c r="IU16" s="75" t="s">
        <v>907</v>
      </c>
      <c r="IV16" s="17">
        <v>0.19</v>
      </c>
      <c r="IW16" s="457">
        <f t="shared" si="65"/>
        <v>0.30393921215756853</v>
      </c>
      <c r="IX16" s="17" t="s">
        <v>70</v>
      </c>
      <c r="IY16" s="51" t="s">
        <v>908</v>
      </c>
      <c r="IZ16" s="17">
        <v>0.62</v>
      </c>
      <c r="JA16" s="122">
        <f t="shared" si="66"/>
        <v>0.99180163967206569</v>
      </c>
      <c r="JB16" s="17" t="s">
        <v>42</v>
      </c>
      <c r="JC16" s="51" t="s">
        <v>909</v>
      </c>
      <c r="JD16" s="17">
        <v>0.61</v>
      </c>
      <c r="JE16" s="186">
        <f t="shared" si="67"/>
        <v>0.97580483903219362</v>
      </c>
      <c r="JF16" s="17" t="s">
        <v>42</v>
      </c>
      <c r="JG16" s="51" t="s">
        <v>910</v>
      </c>
      <c r="JH16" s="17">
        <v>0.44</v>
      </c>
      <c r="JI16" s="198">
        <f t="shared" si="68"/>
        <v>0.70385922815436919</v>
      </c>
      <c r="JJ16" s="17" t="s">
        <v>46</v>
      </c>
      <c r="JK16" s="51" t="s">
        <v>911</v>
      </c>
      <c r="JL16" s="21">
        <v>0.32</v>
      </c>
      <c r="JM16" s="350">
        <f t="shared" si="69"/>
        <v>0.51189762047590492</v>
      </c>
      <c r="JN16" s="21" t="s">
        <v>48</v>
      </c>
      <c r="JO16" s="75" t="s">
        <v>912</v>
      </c>
      <c r="JP16" s="21">
        <v>0.48</v>
      </c>
      <c r="JQ16" s="202">
        <f t="shared" si="70"/>
        <v>0.76784643071385728</v>
      </c>
      <c r="JR16" s="21" t="s">
        <v>46</v>
      </c>
      <c r="JS16" s="51" t="s">
        <v>913</v>
      </c>
      <c r="JT16" s="21">
        <v>0.43</v>
      </c>
      <c r="JU16" s="130">
        <f t="shared" si="71"/>
        <v>0.68786242751449722</v>
      </c>
      <c r="JV16" s="21" t="s">
        <v>42</v>
      </c>
      <c r="JW16" s="75" t="s">
        <v>914</v>
      </c>
      <c r="JX16" s="17">
        <v>0.82</v>
      </c>
      <c r="JY16" s="459">
        <f t="shared" si="72"/>
        <v>1.3117376524695061</v>
      </c>
      <c r="JZ16" s="51" t="s">
        <v>46</v>
      </c>
      <c r="KA16" s="51" t="s">
        <v>915</v>
      </c>
      <c r="KB16" s="21">
        <v>1.1599999999999999</v>
      </c>
      <c r="KC16" s="460">
        <f t="shared" si="73"/>
        <v>1.855628874225155</v>
      </c>
      <c r="KD16" s="75" t="s">
        <v>48</v>
      </c>
      <c r="KE16" s="75" t="s">
        <v>916</v>
      </c>
      <c r="KF16" s="17">
        <v>0.54</v>
      </c>
      <c r="KG16" s="461">
        <f t="shared" si="74"/>
        <v>0.86382723455308952</v>
      </c>
      <c r="KH16" s="51" t="s">
        <v>42</v>
      </c>
      <c r="KI16" s="51" t="s">
        <v>917</v>
      </c>
      <c r="KJ16" s="21">
        <v>0.49</v>
      </c>
      <c r="KK16" s="109">
        <f t="shared" si="75"/>
        <v>0.78384323135372935</v>
      </c>
      <c r="KL16" s="75" t="s">
        <v>70</v>
      </c>
      <c r="KM16" s="75" t="s">
        <v>918</v>
      </c>
      <c r="KN16" s="17">
        <v>0.56000000000000005</v>
      </c>
      <c r="KO16" s="108">
        <f t="shared" si="76"/>
        <v>0.89582083583283367</v>
      </c>
      <c r="KP16" s="51" t="s">
        <v>70</v>
      </c>
      <c r="KQ16" s="51" t="s">
        <v>919</v>
      </c>
      <c r="KR16" s="21">
        <v>0.45</v>
      </c>
      <c r="KS16" s="74">
        <f t="shared" si="77"/>
        <v>0.71985602879424126</v>
      </c>
      <c r="KT16" s="75" t="s">
        <v>70</v>
      </c>
      <c r="KU16" s="75" t="s">
        <v>920</v>
      </c>
      <c r="KV16" s="82">
        <v>0.65</v>
      </c>
      <c r="KW16" s="206">
        <f t="shared" si="78"/>
        <v>1.0397920415916817</v>
      </c>
      <c r="KX16" s="51" t="s">
        <v>108</v>
      </c>
      <c r="KY16" s="51" t="s">
        <v>921</v>
      </c>
      <c r="KZ16" s="83">
        <v>0.17</v>
      </c>
      <c r="LA16" s="462">
        <f t="shared" si="79"/>
        <v>0.27194561087782448</v>
      </c>
      <c r="LB16" s="75" t="s">
        <v>46</v>
      </c>
      <c r="LC16" s="75" t="s">
        <v>922</v>
      </c>
      <c r="LD16" s="82">
        <v>0.36</v>
      </c>
      <c r="LE16" s="133">
        <f t="shared" si="80"/>
        <v>0.57588482303539301</v>
      </c>
      <c r="LF16" s="51" t="s">
        <v>70</v>
      </c>
      <c r="LG16" s="51" t="s">
        <v>858</v>
      </c>
      <c r="LH16" s="83">
        <v>0.33</v>
      </c>
      <c r="LI16" s="84"/>
      <c r="LJ16" s="85"/>
      <c r="LK16" s="85"/>
      <c r="LL16" s="86">
        <f t="shared" si="81"/>
        <v>0.62367088607594934</v>
      </c>
      <c r="LM16" s="86">
        <f t="shared" si="82"/>
        <v>1.186523239293688</v>
      </c>
      <c r="LN16" s="86">
        <f t="shared" si="90"/>
        <v>1.0568689925129111</v>
      </c>
      <c r="LO16" s="86">
        <f t="shared" si="94"/>
        <v>1.0357085751556443</v>
      </c>
      <c r="LP16" s="86">
        <f t="shared" si="95"/>
        <v>-0.14950576078143019</v>
      </c>
      <c r="LQ16" s="87">
        <f t="shared" si="96"/>
        <v>0</v>
      </c>
      <c r="LR16" s="86">
        <f t="shared" si="97"/>
        <v>1.0102901091406502</v>
      </c>
      <c r="LS16" s="84">
        <v>1</v>
      </c>
      <c r="LT16" s="87">
        <f t="shared" si="100"/>
        <v>1</v>
      </c>
      <c r="LU16" s="87">
        <f t="shared" si="92"/>
        <v>1</v>
      </c>
      <c r="LV16" s="86">
        <f t="shared" si="98"/>
        <v>0.92</v>
      </c>
      <c r="LW16" s="89" t="s">
        <v>3810</v>
      </c>
      <c r="LX16" s="5" t="str">
        <f t="shared" si="87"/>
        <v/>
      </c>
      <c r="LY16" s="5" t="str">
        <f t="shared" si="88"/>
        <v/>
      </c>
      <c r="LZ16" s="5"/>
      <c r="MA16" s="67" t="str">
        <f t="shared" si="99"/>
        <v>CORINTHIANS</v>
      </c>
      <c r="MB16" s="89" t="s">
        <v>3808</v>
      </c>
    </row>
    <row r="17" spans="1:340" x14ac:dyDescent="0.2">
      <c r="A17" s="16">
        <v>0.75972222222222219</v>
      </c>
      <c r="B17" s="463">
        <f t="shared" si="0"/>
        <v>0.63212499999999983</v>
      </c>
      <c r="C17" s="464">
        <f t="shared" si="1"/>
        <v>0.26557247379869531</v>
      </c>
      <c r="D17" s="17">
        <v>0.8</v>
      </c>
      <c r="E17" s="465">
        <f t="shared" si="2"/>
        <v>1.2655724737986953</v>
      </c>
      <c r="F17" s="17" t="s">
        <v>42</v>
      </c>
      <c r="G17" s="20" t="s">
        <v>923</v>
      </c>
      <c r="H17" s="21">
        <v>0.74</v>
      </c>
      <c r="I17" s="337">
        <f t="shared" si="3"/>
        <v>1.1706545382637932</v>
      </c>
      <c r="J17" s="21" t="s">
        <v>70</v>
      </c>
      <c r="K17" s="23" t="s">
        <v>924</v>
      </c>
      <c r="L17" s="17">
        <v>0.78</v>
      </c>
      <c r="M17" s="466">
        <f t="shared" si="4"/>
        <v>1.2339331619537279</v>
      </c>
      <c r="N17" s="17" t="s">
        <v>46</v>
      </c>
      <c r="O17" s="20" t="s">
        <v>925</v>
      </c>
      <c r="P17" s="21">
        <v>0.78</v>
      </c>
      <c r="Q17" s="466">
        <f t="shared" si="5"/>
        <v>1.2339331619537279</v>
      </c>
      <c r="R17" s="21" t="s">
        <v>42</v>
      </c>
      <c r="S17" s="23" t="s">
        <v>926</v>
      </c>
      <c r="T17" s="17">
        <v>0.48</v>
      </c>
      <c r="U17" s="96">
        <f t="shared" si="6"/>
        <v>0.75934348427921716</v>
      </c>
      <c r="V17" s="17" t="s">
        <v>48</v>
      </c>
      <c r="W17" s="5"/>
      <c r="X17" s="21">
        <v>0.85</v>
      </c>
      <c r="Y17" s="430">
        <f t="shared" si="7"/>
        <v>1.3446707534111138</v>
      </c>
      <c r="Z17" s="21" t="s">
        <v>48</v>
      </c>
      <c r="AA17" s="28"/>
      <c r="AB17" s="17">
        <v>0.55000000000000004</v>
      </c>
      <c r="AC17" s="282">
        <f t="shared" si="8"/>
        <v>0.87008107573660309</v>
      </c>
      <c r="AD17" s="17" t="s">
        <v>42</v>
      </c>
      <c r="AE17" s="20" t="s">
        <v>927</v>
      </c>
      <c r="AF17" s="21">
        <v>0.79</v>
      </c>
      <c r="AG17" s="47">
        <f t="shared" si="9"/>
        <v>1.2497528178762116</v>
      </c>
      <c r="AH17" s="21" t="s">
        <v>70</v>
      </c>
      <c r="AI17" s="23" t="s">
        <v>928</v>
      </c>
      <c r="AJ17" s="17">
        <v>1.02</v>
      </c>
      <c r="AK17" s="467">
        <f t="shared" si="10"/>
        <v>1.6136049040933365</v>
      </c>
      <c r="AL17" s="17" t="s">
        <v>46</v>
      </c>
      <c r="AM17" s="20" t="s">
        <v>929</v>
      </c>
      <c r="AN17" s="21">
        <v>1.29</v>
      </c>
      <c r="AO17" s="468">
        <f t="shared" si="11"/>
        <v>2.040735614000396</v>
      </c>
      <c r="AP17" s="21" t="s">
        <v>108</v>
      </c>
      <c r="AQ17" s="23" t="s">
        <v>930</v>
      </c>
      <c r="AR17" s="17">
        <v>0.65</v>
      </c>
      <c r="AS17" s="141">
        <f t="shared" si="12"/>
        <v>1.02827763496144</v>
      </c>
      <c r="AT17" s="17" t="s">
        <v>42</v>
      </c>
      <c r="AU17" s="20" t="s">
        <v>931</v>
      </c>
      <c r="AV17" s="21">
        <v>0.83</v>
      </c>
      <c r="AW17" s="459">
        <f t="shared" si="13"/>
        <v>1.3130314415661462</v>
      </c>
      <c r="AX17" s="21" t="s">
        <v>48</v>
      </c>
      <c r="AY17" s="23" t="s">
        <v>932</v>
      </c>
      <c r="AZ17" s="17">
        <v>0.75</v>
      </c>
      <c r="BA17" s="403">
        <f t="shared" si="14"/>
        <v>1.1864741941862769</v>
      </c>
      <c r="BB17" s="17" t="s">
        <v>46</v>
      </c>
      <c r="BC17" s="20" t="s">
        <v>933</v>
      </c>
      <c r="BD17" s="17">
        <v>0.85</v>
      </c>
      <c r="BE17" s="430">
        <f t="shared" si="15"/>
        <v>1.3446707534111138</v>
      </c>
      <c r="BF17" s="17" t="s">
        <v>42</v>
      </c>
      <c r="BG17" s="20" t="s">
        <v>934</v>
      </c>
      <c r="BH17" s="37">
        <v>1.18</v>
      </c>
      <c r="BI17" s="469">
        <f t="shared" si="16"/>
        <v>1.8667193988530753</v>
      </c>
      <c r="BJ17" s="37" t="s">
        <v>42</v>
      </c>
      <c r="BK17" s="38" t="s">
        <v>935</v>
      </c>
      <c r="BL17" s="17">
        <v>0.76</v>
      </c>
      <c r="BM17" s="81">
        <f t="shared" si="17"/>
        <v>1.2022938501087606</v>
      </c>
      <c r="BN17" s="17" t="s">
        <v>48</v>
      </c>
      <c r="BO17" s="40"/>
      <c r="BP17" s="17">
        <v>0.64</v>
      </c>
      <c r="BQ17" s="111">
        <f t="shared" si="18"/>
        <v>1.0124579790389563</v>
      </c>
      <c r="BR17" s="17" t="s">
        <v>42</v>
      </c>
      <c r="BS17" s="41"/>
      <c r="BT17" s="37">
        <v>0.73</v>
      </c>
      <c r="BU17" s="402">
        <f t="shared" si="19"/>
        <v>1.1548348823413093</v>
      </c>
      <c r="BV17" s="21" t="s">
        <v>48</v>
      </c>
      <c r="BW17" s="23" t="s">
        <v>936</v>
      </c>
      <c r="BX17" s="17">
        <v>0.45</v>
      </c>
      <c r="BY17" s="129">
        <f t="shared" si="20"/>
        <v>0.7118845165117661</v>
      </c>
      <c r="BZ17" s="17" t="s">
        <v>46</v>
      </c>
      <c r="CA17" s="20" t="s">
        <v>937</v>
      </c>
      <c r="CB17" s="37">
        <v>0.52</v>
      </c>
      <c r="CC17" s="378">
        <f t="shared" si="21"/>
        <v>0.82262210796915192</v>
      </c>
      <c r="CD17" s="21" t="s">
        <v>46</v>
      </c>
      <c r="CE17" s="23" t="s">
        <v>938</v>
      </c>
      <c r="CF17" s="17">
        <v>0.34</v>
      </c>
      <c r="CG17" s="189">
        <f t="shared" si="22"/>
        <v>0.53786830136444552</v>
      </c>
      <c r="CH17" s="17" t="s">
        <v>356</v>
      </c>
      <c r="CI17" s="20" t="s">
        <v>939</v>
      </c>
      <c r="CJ17" s="37">
        <v>0.18</v>
      </c>
      <c r="CK17" s="470">
        <f t="shared" si="23"/>
        <v>0.28475380660470639</v>
      </c>
      <c r="CL17" s="46" t="s">
        <v>42</v>
      </c>
      <c r="CM17" s="23" t="s">
        <v>940</v>
      </c>
      <c r="CN17" s="17">
        <v>0.59</v>
      </c>
      <c r="CO17" s="24">
        <f t="shared" si="24"/>
        <v>0.93335969942653763</v>
      </c>
      <c r="CP17" s="17" t="s">
        <v>48</v>
      </c>
      <c r="CQ17" s="20" t="s">
        <v>941</v>
      </c>
      <c r="CR17" s="37">
        <v>0.51</v>
      </c>
      <c r="CS17" s="471">
        <f t="shared" si="25"/>
        <v>0.80680245204666823</v>
      </c>
      <c r="CT17" s="21" t="s">
        <v>48</v>
      </c>
      <c r="CU17" s="23" t="s">
        <v>942</v>
      </c>
      <c r="CV17" s="17">
        <v>0.52</v>
      </c>
      <c r="CW17" s="378">
        <f t="shared" si="26"/>
        <v>0.82262210796915192</v>
      </c>
      <c r="CX17" s="17" t="s">
        <v>48</v>
      </c>
      <c r="CY17" s="20" t="s">
        <v>943</v>
      </c>
      <c r="CZ17" s="37">
        <v>0.46</v>
      </c>
      <c r="DA17" s="203">
        <f t="shared" si="27"/>
        <v>0.72770417243424979</v>
      </c>
      <c r="DB17" s="21" t="s">
        <v>42</v>
      </c>
      <c r="DC17" s="23" t="s">
        <v>944</v>
      </c>
      <c r="DD17" s="17">
        <v>0.63</v>
      </c>
      <c r="DE17" s="231">
        <f t="shared" si="28"/>
        <v>0.99663832311647249</v>
      </c>
      <c r="DF17" s="17" t="s">
        <v>70</v>
      </c>
      <c r="DG17" s="20" t="s">
        <v>945</v>
      </c>
      <c r="DH17" s="37">
        <v>0.77</v>
      </c>
      <c r="DI17" s="472">
        <f t="shared" si="29"/>
        <v>1.2181135060312442</v>
      </c>
      <c r="DJ17" s="21" t="s">
        <v>70</v>
      </c>
      <c r="DK17" s="28"/>
      <c r="DL17" s="17">
        <v>0.2</v>
      </c>
      <c r="DM17" s="473">
        <f t="shared" si="30"/>
        <v>0.31639311844967383</v>
      </c>
      <c r="DN17" s="17" t="s">
        <v>70</v>
      </c>
      <c r="DO17" s="51" t="s">
        <v>946</v>
      </c>
      <c r="DP17" s="21">
        <v>0.91</v>
      </c>
      <c r="DQ17" s="79">
        <f t="shared" si="31"/>
        <v>1.4395886889460159</v>
      </c>
      <c r="DR17" s="53" t="s">
        <v>48</v>
      </c>
      <c r="DS17" s="54" t="s">
        <v>947</v>
      </c>
      <c r="DT17" s="53">
        <v>0.45</v>
      </c>
      <c r="DU17" s="129">
        <f t="shared" si="32"/>
        <v>0.7118845165117661</v>
      </c>
      <c r="DV17" s="56" t="s">
        <v>46</v>
      </c>
      <c r="DW17" s="57" t="s">
        <v>948</v>
      </c>
      <c r="DX17" s="53">
        <v>0.4</v>
      </c>
      <c r="DY17" s="382">
        <f t="shared" si="33"/>
        <v>0.63278623689934765</v>
      </c>
      <c r="DZ17" s="53" t="s">
        <v>46</v>
      </c>
      <c r="EA17" s="54" t="s">
        <v>948</v>
      </c>
      <c r="EB17" s="56">
        <v>0.44</v>
      </c>
      <c r="EC17" s="69">
        <f t="shared" si="34"/>
        <v>0.69606486058928241</v>
      </c>
      <c r="ED17" s="56" t="s">
        <v>70</v>
      </c>
      <c r="EE17" s="57" t="s">
        <v>949</v>
      </c>
      <c r="EF17" s="53">
        <v>0.38</v>
      </c>
      <c r="EG17" s="39">
        <f t="shared" si="35"/>
        <v>0.60114692505438028</v>
      </c>
      <c r="EH17" s="53" t="s">
        <v>70</v>
      </c>
      <c r="EI17" s="57" t="s">
        <v>950</v>
      </c>
      <c r="EJ17" s="53">
        <v>0.95</v>
      </c>
      <c r="EK17" s="248">
        <f t="shared" si="36"/>
        <v>1.5028673126359504</v>
      </c>
      <c r="EL17" s="56" t="s">
        <v>48</v>
      </c>
      <c r="EM17" s="57" t="s">
        <v>951</v>
      </c>
      <c r="EN17" s="53">
        <v>0.75</v>
      </c>
      <c r="EO17" s="403">
        <f t="shared" si="37"/>
        <v>1.1864741941862769</v>
      </c>
      <c r="EP17" s="53" t="s">
        <v>42</v>
      </c>
      <c r="EQ17" s="23" t="s">
        <v>952</v>
      </c>
      <c r="ER17" s="53">
        <v>0.56000000000000005</v>
      </c>
      <c r="ES17" s="436">
        <f t="shared" si="38"/>
        <v>0.88590073165908678</v>
      </c>
      <c r="ET17" s="53" t="s">
        <v>48</v>
      </c>
      <c r="EU17" s="20" t="s">
        <v>953</v>
      </c>
      <c r="EV17" s="53">
        <v>0.64</v>
      </c>
      <c r="EW17" s="111">
        <f t="shared" si="39"/>
        <v>1.0124579790389563</v>
      </c>
      <c r="EX17" s="21" t="s">
        <v>48</v>
      </c>
      <c r="EY17" s="57" t="s">
        <v>954</v>
      </c>
      <c r="EZ17" s="53">
        <v>0.7</v>
      </c>
      <c r="FA17" s="474">
        <f t="shared" si="40"/>
        <v>1.1073759145738582</v>
      </c>
      <c r="FB17" s="40"/>
      <c r="FC17" s="40"/>
      <c r="FD17" s="53">
        <v>0.93</v>
      </c>
      <c r="FE17" s="103">
        <f t="shared" si="41"/>
        <v>1.4712280007909833</v>
      </c>
      <c r="FF17" s="21" t="s">
        <v>48</v>
      </c>
      <c r="FG17" s="64"/>
      <c r="FH17" s="17">
        <v>1</v>
      </c>
      <c r="FI17" s="266">
        <f t="shared" si="42"/>
        <v>1.5819655922483691</v>
      </c>
      <c r="FJ17" s="17" t="s">
        <v>42</v>
      </c>
      <c r="FK17" s="51" t="s">
        <v>955</v>
      </c>
      <c r="FL17" s="17">
        <v>0.71</v>
      </c>
      <c r="FM17" s="475">
        <f t="shared" si="43"/>
        <v>1.1231955704963419</v>
      </c>
      <c r="FN17" s="21" t="s">
        <v>48</v>
      </c>
      <c r="FO17" s="51" t="s">
        <v>956</v>
      </c>
      <c r="FP17" s="17">
        <v>0.45</v>
      </c>
      <c r="FQ17" s="129">
        <f t="shared" si="44"/>
        <v>0.7118845165117661</v>
      </c>
      <c r="FR17" s="17" t="s">
        <v>66</v>
      </c>
      <c r="FS17" s="51" t="s">
        <v>957</v>
      </c>
      <c r="FT17" s="17">
        <v>0.81</v>
      </c>
      <c r="FU17" s="359">
        <f t="shared" si="45"/>
        <v>1.281392129721179</v>
      </c>
      <c r="FV17" s="17" t="s">
        <v>46</v>
      </c>
      <c r="FW17" s="51" t="s">
        <v>958</v>
      </c>
      <c r="FX17" s="17">
        <v>1.01</v>
      </c>
      <c r="FY17" s="476">
        <f t="shared" si="46"/>
        <v>1.5977852481708528</v>
      </c>
      <c r="FZ17" s="17" t="s">
        <v>42</v>
      </c>
      <c r="GA17" s="51" t="s">
        <v>959</v>
      </c>
      <c r="GB17" s="53">
        <v>0.65</v>
      </c>
      <c r="GC17" s="141">
        <f t="shared" si="47"/>
        <v>1.02827763496144</v>
      </c>
      <c r="GD17" s="21" t="s">
        <v>42</v>
      </c>
      <c r="GE17" s="63"/>
      <c r="GF17" s="17">
        <v>0.6</v>
      </c>
      <c r="GG17" s="37">
        <f t="shared" si="48"/>
        <v>0.94917935534902143</v>
      </c>
      <c r="GH17" s="17" t="s">
        <v>48</v>
      </c>
      <c r="GI17" s="51" t="s">
        <v>960</v>
      </c>
      <c r="GJ17" s="17">
        <v>0.81</v>
      </c>
      <c r="GK17" s="359">
        <f t="shared" si="49"/>
        <v>1.281392129721179</v>
      </c>
      <c r="GL17" s="17" t="s">
        <v>48</v>
      </c>
      <c r="GM17" s="67" t="s">
        <v>961</v>
      </c>
      <c r="GN17" s="17">
        <v>0.19</v>
      </c>
      <c r="GO17" s="477">
        <f t="shared" si="50"/>
        <v>0.30057346252719014</v>
      </c>
      <c r="GP17" s="17" t="s">
        <v>48</v>
      </c>
      <c r="GQ17" s="51" t="s">
        <v>962</v>
      </c>
      <c r="GR17" s="17">
        <v>0.47</v>
      </c>
      <c r="GS17" s="58">
        <f t="shared" si="51"/>
        <v>0.74352382835673336</v>
      </c>
      <c r="GT17" s="17" t="s">
        <v>48</v>
      </c>
      <c r="GU17" s="51" t="s">
        <v>963</v>
      </c>
      <c r="GV17" s="17">
        <v>0.77</v>
      </c>
      <c r="GW17" s="472">
        <f t="shared" si="52"/>
        <v>1.2181135060312442</v>
      </c>
      <c r="GX17" s="17" t="s">
        <v>48</v>
      </c>
      <c r="GY17" s="67" t="s">
        <v>964</v>
      </c>
      <c r="GZ17" s="17">
        <v>0.47</v>
      </c>
      <c r="HA17" s="58">
        <f t="shared" si="53"/>
        <v>0.74352382835673336</v>
      </c>
      <c r="HB17" s="17" t="s">
        <v>46</v>
      </c>
      <c r="HC17" s="20" t="s">
        <v>764</v>
      </c>
      <c r="HD17" s="17">
        <v>0.48</v>
      </c>
      <c r="HE17" s="96">
        <f t="shared" si="54"/>
        <v>0.75934348427921716</v>
      </c>
      <c r="HF17" s="17" t="s">
        <v>46</v>
      </c>
      <c r="HG17" s="20" t="s">
        <v>965</v>
      </c>
      <c r="HH17" s="17">
        <v>0.87</v>
      </c>
      <c r="HI17" s="298">
        <f t="shared" si="55"/>
        <v>1.3763100652560811</v>
      </c>
      <c r="HJ17" s="17" t="s">
        <v>42</v>
      </c>
      <c r="HK17" s="20" t="s">
        <v>966</v>
      </c>
      <c r="HL17" s="17">
        <v>0.6</v>
      </c>
      <c r="HM17" s="37">
        <f t="shared" si="56"/>
        <v>0.94917935534902143</v>
      </c>
      <c r="HN17" s="17" t="s">
        <v>42</v>
      </c>
      <c r="HO17" s="20" t="s">
        <v>967</v>
      </c>
      <c r="HP17" s="17">
        <v>0.48</v>
      </c>
      <c r="HQ17" s="96">
        <f t="shared" si="57"/>
        <v>0.75934348427921716</v>
      </c>
      <c r="HR17" s="17" t="s">
        <v>42</v>
      </c>
      <c r="HS17" s="73" t="s">
        <v>968</v>
      </c>
      <c r="HT17" s="17">
        <v>0.9</v>
      </c>
      <c r="HU17" s="257">
        <f t="shared" si="58"/>
        <v>1.4237690330235322</v>
      </c>
      <c r="HV17" s="17" t="s">
        <v>48</v>
      </c>
      <c r="HW17" s="75" t="s">
        <v>969</v>
      </c>
      <c r="HX17" s="17">
        <v>0.77</v>
      </c>
      <c r="HY17" s="472">
        <f t="shared" si="59"/>
        <v>1.2181135060312442</v>
      </c>
      <c r="HZ17" s="21" t="s">
        <v>48</v>
      </c>
      <c r="IA17" s="75" t="s">
        <v>970</v>
      </c>
      <c r="IB17" s="17">
        <v>0.77</v>
      </c>
      <c r="IC17" s="472">
        <f t="shared" si="60"/>
        <v>1.2181135060312442</v>
      </c>
      <c r="ID17" s="17" t="s">
        <v>42</v>
      </c>
      <c r="IE17" s="51" t="s">
        <v>971</v>
      </c>
      <c r="IF17" s="17">
        <v>0.56999999999999995</v>
      </c>
      <c r="IG17" s="478">
        <f t="shared" si="61"/>
        <v>0.90172038758157025</v>
      </c>
      <c r="IH17" s="17" t="s">
        <v>42</v>
      </c>
      <c r="II17" s="67" t="s">
        <v>972</v>
      </c>
      <c r="IJ17" s="17">
        <v>0.45</v>
      </c>
      <c r="IK17" s="129">
        <f t="shared" si="62"/>
        <v>0.7118845165117661</v>
      </c>
      <c r="IL17" s="17" t="s">
        <v>70</v>
      </c>
      <c r="IM17" s="51" t="s">
        <v>973</v>
      </c>
      <c r="IN17" s="17">
        <v>0.41</v>
      </c>
      <c r="IO17" s="240">
        <f t="shared" si="63"/>
        <v>0.64860589282183123</v>
      </c>
      <c r="IP17" s="17" t="s">
        <v>48</v>
      </c>
      <c r="IQ17" s="51" t="s">
        <v>974</v>
      </c>
      <c r="IR17" s="17">
        <v>0.71</v>
      </c>
      <c r="IS17" s="475">
        <f t="shared" si="64"/>
        <v>1.1231955704963419</v>
      </c>
      <c r="IT17" s="17" t="s">
        <v>42</v>
      </c>
      <c r="IU17" s="75" t="s">
        <v>975</v>
      </c>
      <c r="IV17" s="17">
        <v>0.12</v>
      </c>
      <c r="IW17" s="479">
        <f t="shared" si="65"/>
        <v>0.18983587106980429</v>
      </c>
      <c r="IX17" s="17" t="s">
        <v>70</v>
      </c>
      <c r="IY17" s="51" t="s">
        <v>976</v>
      </c>
      <c r="IZ17" s="17">
        <v>0.7</v>
      </c>
      <c r="JA17" s="474">
        <f t="shared" si="66"/>
        <v>1.1073759145738582</v>
      </c>
      <c r="JB17" s="17" t="s">
        <v>42</v>
      </c>
      <c r="JC17" s="51" t="s">
        <v>977</v>
      </c>
      <c r="JD17" s="17">
        <v>0.61</v>
      </c>
      <c r="JE17" s="433">
        <f t="shared" si="67"/>
        <v>0.96499901127150511</v>
      </c>
      <c r="JF17" s="17" t="s">
        <v>42</v>
      </c>
      <c r="JG17" s="51" t="s">
        <v>978</v>
      </c>
      <c r="JH17" s="17">
        <v>0.52</v>
      </c>
      <c r="JI17" s="378">
        <f t="shared" si="68"/>
        <v>0.82262210796915192</v>
      </c>
      <c r="JJ17" s="17" t="s">
        <v>46</v>
      </c>
      <c r="JK17" s="51" t="s">
        <v>979</v>
      </c>
      <c r="JL17" s="21">
        <v>0.39</v>
      </c>
      <c r="JM17" s="480">
        <f t="shared" si="69"/>
        <v>0.61696658097686397</v>
      </c>
      <c r="JN17" s="21" t="s">
        <v>48</v>
      </c>
      <c r="JO17" s="75" t="s">
        <v>980</v>
      </c>
      <c r="JP17" s="21">
        <v>0.48</v>
      </c>
      <c r="JQ17" s="96">
        <f t="shared" si="70"/>
        <v>0.75934348427921716</v>
      </c>
      <c r="JR17" s="21" t="s">
        <v>46</v>
      </c>
      <c r="JS17" s="51" t="s">
        <v>981</v>
      </c>
      <c r="JT17" s="21">
        <v>0.43</v>
      </c>
      <c r="JU17" s="312">
        <f t="shared" si="71"/>
        <v>0.68024520466679872</v>
      </c>
      <c r="JV17" s="21" t="s">
        <v>42</v>
      </c>
      <c r="JW17" s="75" t="s">
        <v>982</v>
      </c>
      <c r="JX17" s="17">
        <v>0.76</v>
      </c>
      <c r="JY17" s="81">
        <f t="shared" si="72"/>
        <v>1.2022938501087606</v>
      </c>
      <c r="JZ17" s="51" t="s">
        <v>46</v>
      </c>
      <c r="KA17" s="51" t="s">
        <v>983</v>
      </c>
      <c r="KB17" s="21">
        <v>1.1599999999999999</v>
      </c>
      <c r="KC17" s="481">
        <f t="shared" si="73"/>
        <v>1.8350800870081079</v>
      </c>
      <c r="KD17" s="75" t="s">
        <v>48</v>
      </c>
      <c r="KE17" s="75" t="s">
        <v>984</v>
      </c>
      <c r="KF17" s="17">
        <v>0.67</v>
      </c>
      <c r="KG17" s="482">
        <f t="shared" si="74"/>
        <v>1.0599169468064074</v>
      </c>
      <c r="KH17" s="51" t="s">
        <v>42</v>
      </c>
      <c r="KI17" s="51" t="s">
        <v>985</v>
      </c>
      <c r="KJ17" s="21">
        <v>0.49</v>
      </c>
      <c r="KK17" s="217">
        <f t="shared" si="75"/>
        <v>0.77516314020170085</v>
      </c>
      <c r="KL17" s="75" t="s">
        <v>70</v>
      </c>
      <c r="KM17" s="75" t="s">
        <v>986</v>
      </c>
      <c r="KN17" s="17">
        <v>0.51</v>
      </c>
      <c r="KO17" s="471">
        <f t="shared" si="76"/>
        <v>0.80680245204666823</v>
      </c>
      <c r="KP17" s="51" t="s">
        <v>48</v>
      </c>
      <c r="KQ17" s="51" t="s">
        <v>987</v>
      </c>
      <c r="KR17" s="21">
        <v>0.53</v>
      </c>
      <c r="KS17" s="415">
        <f t="shared" si="77"/>
        <v>0.83844176389163561</v>
      </c>
      <c r="KT17" s="75" t="s">
        <v>46</v>
      </c>
      <c r="KU17" s="75" t="s">
        <v>988</v>
      </c>
      <c r="KV17" s="82">
        <v>0.57999999999999996</v>
      </c>
      <c r="KW17" s="227">
        <f t="shared" si="78"/>
        <v>0.91754004350405394</v>
      </c>
      <c r="KX17" s="51" t="s">
        <v>66</v>
      </c>
      <c r="KY17" s="51" t="s">
        <v>989</v>
      </c>
      <c r="KZ17" s="83">
        <v>0.23</v>
      </c>
      <c r="LA17" s="483">
        <f t="shared" si="79"/>
        <v>0.36385208621712489</v>
      </c>
      <c r="LB17" s="75" t="s">
        <v>46</v>
      </c>
      <c r="LC17" s="75" t="s">
        <v>990</v>
      </c>
      <c r="LD17" s="82">
        <v>0.36</v>
      </c>
      <c r="LE17" s="165">
        <f t="shared" si="80"/>
        <v>0.56950761320941279</v>
      </c>
      <c r="LF17" s="51" t="s">
        <v>70</v>
      </c>
      <c r="LG17" s="51" t="s">
        <v>991</v>
      </c>
      <c r="LH17" s="83">
        <v>0.33</v>
      </c>
      <c r="LI17" s="84"/>
      <c r="LJ17" s="85"/>
      <c r="LK17" s="85"/>
      <c r="LL17" s="86">
        <f t="shared" si="81"/>
        <v>0.62999999999999978</v>
      </c>
      <c r="LM17" s="86">
        <f t="shared" si="82"/>
        <v>1.2698412698412704</v>
      </c>
      <c r="LN17" s="86">
        <f t="shared" si="90"/>
        <v>1.0661300101401094</v>
      </c>
      <c r="LO17" s="86">
        <f t="shared" si="94"/>
        <v>1.0972023769281696</v>
      </c>
      <c r="LP17" s="86">
        <f t="shared" si="95"/>
        <v>0.16619717535127876</v>
      </c>
      <c r="LQ17" s="87">
        <f t="shared" si="96"/>
        <v>0</v>
      </c>
      <c r="LR17" s="86">
        <f t="shared" si="97"/>
        <v>1.1337816523463531</v>
      </c>
      <c r="LS17" s="84">
        <v>1</v>
      </c>
      <c r="LT17" s="87">
        <f t="shared" si="100"/>
        <v>0</v>
      </c>
      <c r="LU17" s="87">
        <f t="shared" si="92"/>
        <v>2</v>
      </c>
      <c r="LV17" s="86">
        <f t="shared" si="98"/>
        <v>0.96</v>
      </c>
      <c r="LW17" s="89" t="s">
        <v>3811</v>
      </c>
      <c r="LX17" s="5" t="str">
        <f t="shared" si="87"/>
        <v/>
      </c>
      <c r="LY17" s="5" t="str">
        <f t="shared" si="88"/>
        <v/>
      </c>
      <c r="LZ17" s="5"/>
      <c r="MA17" s="67" t="str">
        <f t="shared" si="99"/>
        <v>CORINTHIANS</v>
      </c>
      <c r="MB17" s="89" t="s">
        <v>3808</v>
      </c>
    </row>
    <row r="18" spans="1:340" x14ac:dyDescent="0.2">
      <c r="A18" s="16">
        <v>0.76041666666666663</v>
      </c>
      <c r="B18" s="484">
        <f t="shared" si="0"/>
        <v>0.63962499999999989</v>
      </c>
      <c r="C18" s="485">
        <f t="shared" si="1"/>
        <v>0.2507328512800473</v>
      </c>
      <c r="D18" s="17">
        <v>0.8</v>
      </c>
      <c r="E18" s="47">
        <f t="shared" si="2"/>
        <v>1.2507328512800473</v>
      </c>
      <c r="F18" s="17" t="s">
        <v>42</v>
      </c>
      <c r="G18" s="20" t="s">
        <v>992</v>
      </c>
      <c r="H18" s="21">
        <v>0.74</v>
      </c>
      <c r="I18" s="230">
        <f t="shared" si="3"/>
        <v>1.1569278874340436</v>
      </c>
      <c r="J18" s="21" t="s">
        <v>70</v>
      </c>
      <c r="K18" s="23" t="s">
        <v>993</v>
      </c>
      <c r="L18" s="17">
        <v>0.78</v>
      </c>
      <c r="M18" s="107">
        <f t="shared" si="4"/>
        <v>1.219464529998046</v>
      </c>
      <c r="N18" s="17" t="s">
        <v>46</v>
      </c>
      <c r="O18" s="20" t="s">
        <v>994</v>
      </c>
      <c r="P18" s="21">
        <v>0.78</v>
      </c>
      <c r="Q18" s="107">
        <f t="shared" si="5"/>
        <v>1.219464529998046</v>
      </c>
      <c r="R18" s="21" t="s">
        <v>42</v>
      </c>
      <c r="S18" s="23" t="s">
        <v>995</v>
      </c>
      <c r="T18" s="17">
        <v>0.6</v>
      </c>
      <c r="U18" s="155">
        <f t="shared" si="6"/>
        <v>0.93804963846003531</v>
      </c>
      <c r="V18" s="17" t="s">
        <v>48</v>
      </c>
      <c r="W18" s="5"/>
      <c r="X18" s="21">
        <v>0.78</v>
      </c>
      <c r="Y18" s="107">
        <f t="shared" si="7"/>
        <v>1.219464529998046</v>
      </c>
      <c r="Z18" s="21" t="s">
        <v>48</v>
      </c>
      <c r="AA18" s="28"/>
      <c r="AB18" s="17">
        <v>0.62</v>
      </c>
      <c r="AC18" s="409">
        <f t="shared" si="8"/>
        <v>0.96931795974203649</v>
      </c>
      <c r="AD18" s="17" t="s">
        <v>42</v>
      </c>
      <c r="AE18" s="20" t="s">
        <v>996</v>
      </c>
      <c r="AF18" s="21">
        <v>0.79</v>
      </c>
      <c r="AG18" s="486">
        <f t="shared" si="9"/>
        <v>1.2350986906390466</v>
      </c>
      <c r="AH18" s="21" t="s">
        <v>70</v>
      </c>
      <c r="AI18" s="23" t="s">
        <v>997</v>
      </c>
      <c r="AJ18" s="17">
        <v>1.02</v>
      </c>
      <c r="AK18" s="168">
        <f t="shared" si="10"/>
        <v>1.59468438538206</v>
      </c>
      <c r="AL18" s="17" t="s">
        <v>46</v>
      </c>
      <c r="AM18" s="20" t="s">
        <v>998</v>
      </c>
      <c r="AN18" s="21">
        <v>1.0900000000000001</v>
      </c>
      <c r="AO18" s="59">
        <f t="shared" si="11"/>
        <v>1.7041235098690644</v>
      </c>
      <c r="AP18" s="21" t="s">
        <v>42</v>
      </c>
      <c r="AQ18" s="23" t="s">
        <v>999</v>
      </c>
      <c r="AR18" s="17">
        <v>0.65</v>
      </c>
      <c r="AS18" s="200">
        <f t="shared" si="12"/>
        <v>1.0162204416650382</v>
      </c>
      <c r="AT18" s="17" t="s">
        <v>42</v>
      </c>
      <c r="AU18" s="20" t="s">
        <v>1000</v>
      </c>
      <c r="AV18" s="21">
        <v>0.9</v>
      </c>
      <c r="AW18" s="487">
        <f t="shared" si="13"/>
        <v>1.4070744576900531</v>
      </c>
      <c r="AX18" s="21" t="s">
        <v>48</v>
      </c>
      <c r="AY18" s="23" t="s">
        <v>1001</v>
      </c>
      <c r="AZ18" s="17">
        <v>0.81</v>
      </c>
      <c r="BA18" s="261">
        <f t="shared" si="14"/>
        <v>1.2663670119210477</v>
      </c>
      <c r="BB18" s="17" t="s">
        <v>46</v>
      </c>
      <c r="BC18" s="20" t="s">
        <v>1002</v>
      </c>
      <c r="BD18" s="17">
        <v>0.85</v>
      </c>
      <c r="BE18" s="488">
        <f t="shared" si="15"/>
        <v>1.3289036544850501</v>
      </c>
      <c r="BF18" s="17" t="s">
        <v>42</v>
      </c>
      <c r="BG18" s="20" t="s">
        <v>1003</v>
      </c>
      <c r="BH18" s="37">
        <v>1.24</v>
      </c>
      <c r="BI18" s="489">
        <f t="shared" si="16"/>
        <v>1.938635919484073</v>
      </c>
      <c r="BJ18" s="37" t="s">
        <v>42</v>
      </c>
      <c r="BK18" s="38" t="s">
        <v>1004</v>
      </c>
      <c r="BL18" s="17">
        <v>0.76</v>
      </c>
      <c r="BM18" s="403">
        <f t="shared" si="17"/>
        <v>1.1881962087160447</v>
      </c>
      <c r="BN18" s="17" t="s">
        <v>48</v>
      </c>
      <c r="BO18" s="40"/>
      <c r="BP18" s="17">
        <v>0.71</v>
      </c>
      <c r="BQ18" s="365">
        <f t="shared" si="18"/>
        <v>1.1100254055110417</v>
      </c>
      <c r="BR18" s="17" t="s">
        <v>42</v>
      </c>
      <c r="BS18" s="41"/>
      <c r="BT18" s="37">
        <v>0.73</v>
      </c>
      <c r="BU18" s="490">
        <f t="shared" si="19"/>
        <v>1.141293726793043</v>
      </c>
      <c r="BV18" s="21" t="s">
        <v>48</v>
      </c>
      <c r="BW18" s="23" t="s">
        <v>1005</v>
      </c>
      <c r="BX18" s="17">
        <v>0.45</v>
      </c>
      <c r="BY18" s="198">
        <f t="shared" si="20"/>
        <v>0.70353722884502656</v>
      </c>
      <c r="BZ18" s="17" t="s">
        <v>46</v>
      </c>
      <c r="CA18" s="20" t="s">
        <v>1006</v>
      </c>
      <c r="CB18" s="37">
        <v>0.56999999999999995</v>
      </c>
      <c r="CC18" s="199">
        <f t="shared" si="21"/>
        <v>0.89114715653703347</v>
      </c>
      <c r="CD18" s="21" t="s">
        <v>46</v>
      </c>
      <c r="CE18" s="23" t="s">
        <v>1007</v>
      </c>
      <c r="CF18" s="17">
        <v>0.34</v>
      </c>
      <c r="CG18" s="380">
        <f t="shared" si="22"/>
        <v>0.53156146179402008</v>
      </c>
      <c r="CH18" s="17" t="s">
        <v>356</v>
      </c>
      <c r="CI18" s="20" t="s">
        <v>1008</v>
      </c>
      <c r="CJ18" s="37">
        <v>0.18</v>
      </c>
      <c r="CK18" s="440">
        <f t="shared" si="23"/>
        <v>0.28141489153801058</v>
      </c>
      <c r="CL18" s="46" t="s">
        <v>42</v>
      </c>
      <c r="CM18" s="23" t="s">
        <v>1009</v>
      </c>
      <c r="CN18" s="17">
        <v>0.71</v>
      </c>
      <c r="CO18" s="365">
        <f t="shared" si="24"/>
        <v>1.1100254055110417</v>
      </c>
      <c r="CP18" s="17" t="s">
        <v>48</v>
      </c>
      <c r="CQ18" s="20" t="s">
        <v>1010</v>
      </c>
      <c r="CR18" s="37">
        <v>0.51</v>
      </c>
      <c r="CS18" s="491">
        <f t="shared" si="25"/>
        <v>0.79734219269103002</v>
      </c>
      <c r="CT18" s="21" t="s">
        <v>66</v>
      </c>
      <c r="CU18" s="23" t="s">
        <v>1011</v>
      </c>
      <c r="CV18" s="17">
        <v>0.57999999999999996</v>
      </c>
      <c r="CW18" s="492">
        <f t="shared" si="26"/>
        <v>0.90678131717803412</v>
      </c>
      <c r="CX18" s="17" t="s">
        <v>42</v>
      </c>
      <c r="CY18" s="20" t="s">
        <v>1012</v>
      </c>
      <c r="CZ18" s="37">
        <v>0.47</v>
      </c>
      <c r="DA18" s="92">
        <f t="shared" si="27"/>
        <v>0.73480555012702764</v>
      </c>
      <c r="DB18" s="21" t="s">
        <v>42</v>
      </c>
      <c r="DC18" s="23" t="s">
        <v>1013</v>
      </c>
      <c r="DD18" s="17">
        <v>0.56000000000000005</v>
      </c>
      <c r="DE18" s="145">
        <f t="shared" si="28"/>
        <v>0.87551299589603304</v>
      </c>
      <c r="DF18" s="17" t="s">
        <v>70</v>
      </c>
      <c r="DG18" s="20" t="s">
        <v>945</v>
      </c>
      <c r="DH18" s="37">
        <v>0.64</v>
      </c>
      <c r="DI18" s="17">
        <f t="shared" si="29"/>
        <v>1.0005862810240378</v>
      </c>
      <c r="DJ18" s="21" t="s">
        <v>70</v>
      </c>
      <c r="DK18" s="28"/>
      <c r="DL18" s="17">
        <v>0.14000000000000001</v>
      </c>
      <c r="DM18" s="416">
        <f t="shared" si="30"/>
        <v>0.21887824897400826</v>
      </c>
      <c r="DN18" s="17" t="s">
        <v>70</v>
      </c>
      <c r="DO18" s="51" t="s">
        <v>1014</v>
      </c>
      <c r="DP18" s="21">
        <v>0.98</v>
      </c>
      <c r="DQ18" s="493">
        <f t="shared" si="31"/>
        <v>1.5321477428180577</v>
      </c>
      <c r="DR18" s="53" t="s">
        <v>46</v>
      </c>
      <c r="DS18" s="54" t="s">
        <v>1015</v>
      </c>
      <c r="DT18" s="53">
        <v>0.38</v>
      </c>
      <c r="DU18" s="494">
        <f t="shared" si="32"/>
        <v>0.59409810435802235</v>
      </c>
      <c r="DV18" s="56" t="s">
        <v>46</v>
      </c>
      <c r="DW18" s="57" t="s">
        <v>1016</v>
      </c>
      <c r="DX18" s="53">
        <v>0.4</v>
      </c>
      <c r="DY18" s="26">
        <f t="shared" si="33"/>
        <v>0.62536642564002365</v>
      </c>
      <c r="DZ18" s="53" t="s">
        <v>46</v>
      </c>
      <c r="EA18" s="54" t="s">
        <v>1016</v>
      </c>
      <c r="EB18" s="56">
        <v>0.44</v>
      </c>
      <c r="EC18" s="130">
        <f t="shared" si="34"/>
        <v>0.68790306820402591</v>
      </c>
      <c r="ED18" s="56" t="s">
        <v>70</v>
      </c>
      <c r="EE18" s="57" t="s">
        <v>1017</v>
      </c>
      <c r="EF18" s="53">
        <v>0.44</v>
      </c>
      <c r="EG18" s="130">
        <f t="shared" si="35"/>
        <v>0.68790306820402591</v>
      </c>
      <c r="EH18" s="53" t="s">
        <v>70</v>
      </c>
      <c r="EI18" s="57" t="s">
        <v>1018</v>
      </c>
      <c r="EJ18" s="53">
        <v>0.95</v>
      </c>
      <c r="EK18" s="276">
        <f t="shared" si="36"/>
        <v>1.4852452608950559</v>
      </c>
      <c r="EL18" s="56" t="s">
        <v>48</v>
      </c>
      <c r="EM18" s="57" t="s">
        <v>1019</v>
      </c>
      <c r="EN18" s="53">
        <v>0.84</v>
      </c>
      <c r="EO18" s="459">
        <f t="shared" si="37"/>
        <v>1.3132694938440495</v>
      </c>
      <c r="EP18" s="53" t="s">
        <v>42</v>
      </c>
      <c r="EQ18" s="23" t="s">
        <v>1020</v>
      </c>
      <c r="ER18" s="53">
        <v>0.48</v>
      </c>
      <c r="ES18" s="242">
        <f t="shared" si="38"/>
        <v>0.75043971076802829</v>
      </c>
      <c r="ET18" s="53" t="s">
        <v>42</v>
      </c>
      <c r="EU18" s="20" t="s">
        <v>1021</v>
      </c>
      <c r="EV18" s="53">
        <v>0.71</v>
      </c>
      <c r="EW18" s="365">
        <f t="shared" si="39"/>
        <v>1.1100254055110417</v>
      </c>
      <c r="EX18" s="21" t="s">
        <v>1022</v>
      </c>
      <c r="EY18" s="57" t="s">
        <v>1023</v>
      </c>
      <c r="EZ18" s="53">
        <v>0.7</v>
      </c>
      <c r="FA18" s="270">
        <f t="shared" si="40"/>
        <v>1.0943912448700412</v>
      </c>
      <c r="FB18" s="40"/>
      <c r="FC18" s="40"/>
      <c r="FD18" s="53">
        <v>0.93</v>
      </c>
      <c r="FE18" s="453">
        <f t="shared" si="41"/>
        <v>1.4539769396130549</v>
      </c>
      <c r="FF18" s="21" t="s">
        <v>48</v>
      </c>
      <c r="FG18" s="64"/>
      <c r="FH18" s="17">
        <v>0.99</v>
      </c>
      <c r="FI18" s="495">
        <f t="shared" si="42"/>
        <v>1.5477819034590583</v>
      </c>
      <c r="FJ18" s="17" t="s">
        <v>48</v>
      </c>
      <c r="FK18" s="51" t="s">
        <v>1024</v>
      </c>
      <c r="FL18" s="17">
        <v>0.71</v>
      </c>
      <c r="FM18" s="365">
        <f t="shared" si="43"/>
        <v>1.1100254055110417</v>
      </c>
      <c r="FN18" s="21" t="s">
        <v>48</v>
      </c>
      <c r="FO18" s="51" t="s">
        <v>1025</v>
      </c>
      <c r="FP18" s="17">
        <v>0.38</v>
      </c>
      <c r="FQ18" s="494">
        <f t="shared" si="44"/>
        <v>0.59409810435802235</v>
      </c>
      <c r="FR18" s="17" t="s">
        <v>179</v>
      </c>
      <c r="FS18" s="51" t="s">
        <v>1026</v>
      </c>
      <c r="FT18" s="17">
        <v>0.75</v>
      </c>
      <c r="FU18" s="271">
        <f t="shared" si="45"/>
        <v>1.1725620480750443</v>
      </c>
      <c r="FV18" s="17" t="s">
        <v>46</v>
      </c>
      <c r="FW18" s="51" t="s">
        <v>1027</v>
      </c>
      <c r="FX18" s="17">
        <v>1</v>
      </c>
      <c r="FY18" s="224">
        <f t="shared" si="46"/>
        <v>1.563416064100059</v>
      </c>
      <c r="FZ18" s="17" t="s">
        <v>42</v>
      </c>
      <c r="GA18" s="51" t="s">
        <v>1028</v>
      </c>
      <c r="GB18" s="53">
        <v>0.65</v>
      </c>
      <c r="GC18" s="200">
        <f t="shared" si="47"/>
        <v>1.0162204416650382</v>
      </c>
      <c r="GD18" s="21" t="s">
        <v>42</v>
      </c>
      <c r="GE18" s="63"/>
      <c r="GF18" s="17">
        <v>0.66</v>
      </c>
      <c r="GG18" s="94">
        <f t="shared" si="48"/>
        <v>1.0318546023060389</v>
      </c>
      <c r="GH18" s="17" t="s">
        <v>48</v>
      </c>
      <c r="GI18" s="51" t="s">
        <v>960</v>
      </c>
      <c r="GJ18" s="17">
        <v>0.81</v>
      </c>
      <c r="GK18" s="261">
        <f t="shared" si="49"/>
        <v>1.2663670119210477</v>
      </c>
      <c r="GL18" s="17" t="s">
        <v>48</v>
      </c>
      <c r="GM18" s="67" t="s">
        <v>1029</v>
      </c>
      <c r="GN18" s="17">
        <v>0.19</v>
      </c>
      <c r="GO18" s="426">
        <f t="shared" si="50"/>
        <v>0.29704905217901117</v>
      </c>
      <c r="GP18" s="17" t="s">
        <v>48</v>
      </c>
      <c r="GQ18" s="51" t="s">
        <v>1030</v>
      </c>
      <c r="GR18" s="17">
        <v>0.4</v>
      </c>
      <c r="GS18" s="26">
        <f t="shared" si="51"/>
        <v>0.62536642564002365</v>
      </c>
      <c r="GT18" s="17" t="s">
        <v>48</v>
      </c>
      <c r="GU18" s="51" t="s">
        <v>1031</v>
      </c>
      <c r="GV18" s="17">
        <v>0.88</v>
      </c>
      <c r="GW18" s="496">
        <f t="shared" si="52"/>
        <v>1.3758061364080518</v>
      </c>
      <c r="GX18" s="17" t="s">
        <v>48</v>
      </c>
      <c r="GY18" s="67" t="s">
        <v>1032</v>
      </c>
      <c r="GZ18" s="17">
        <v>0.47</v>
      </c>
      <c r="HA18" s="92">
        <f t="shared" si="53"/>
        <v>0.73480555012702764</v>
      </c>
      <c r="HB18" s="17" t="s">
        <v>46</v>
      </c>
      <c r="HC18" s="20" t="s">
        <v>700</v>
      </c>
      <c r="HD18" s="17">
        <v>0.54</v>
      </c>
      <c r="HE18" s="497">
        <f t="shared" si="54"/>
        <v>0.84424467461403185</v>
      </c>
      <c r="HF18" s="17" t="s">
        <v>46</v>
      </c>
      <c r="HG18" s="20" t="s">
        <v>1033</v>
      </c>
      <c r="HH18" s="17">
        <v>0.79</v>
      </c>
      <c r="HI18" s="486">
        <f t="shared" si="55"/>
        <v>1.2350986906390466</v>
      </c>
      <c r="HJ18" s="17" t="s">
        <v>42</v>
      </c>
      <c r="HK18" s="20" t="s">
        <v>1034</v>
      </c>
      <c r="HL18" s="17">
        <v>0.6</v>
      </c>
      <c r="HM18" s="155">
        <f t="shared" si="56"/>
        <v>0.93804963846003531</v>
      </c>
      <c r="HN18" s="17" t="s">
        <v>48</v>
      </c>
      <c r="HO18" s="20" t="s">
        <v>1035</v>
      </c>
      <c r="HP18" s="17">
        <v>0.48</v>
      </c>
      <c r="HQ18" s="242">
        <f t="shared" si="57"/>
        <v>0.75043971076802829</v>
      </c>
      <c r="HR18" s="17" t="s">
        <v>42</v>
      </c>
      <c r="HS18" s="73" t="s">
        <v>1036</v>
      </c>
      <c r="HT18" s="17">
        <v>0.9</v>
      </c>
      <c r="HU18" s="487">
        <f t="shared" si="58"/>
        <v>1.4070744576900531</v>
      </c>
      <c r="HV18" s="17" t="s">
        <v>48</v>
      </c>
      <c r="HW18" s="75" t="s">
        <v>969</v>
      </c>
      <c r="HX18" s="17">
        <v>0.76</v>
      </c>
      <c r="HY18" s="403">
        <f t="shared" si="59"/>
        <v>1.1881962087160447</v>
      </c>
      <c r="HZ18" s="21" t="s">
        <v>48</v>
      </c>
      <c r="IA18" s="75" t="s">
        <v>1037</v>
      </c>
      <c r="IB18" s="17">
        <v>0.84</v>
      </c>
      <c r="IC18" s="459">
        <f t="shared" si="60"/>
        <v>1.3132694938440495</v>
      </c>
      <c r="ID18" s="17" t="s">
        <v>42</v>
      </c>
      <c r="IE18" s="51" t="s">
        <v>1038</v>
      </c>
      <c r="IF18" s="17">
        <v>0.56999999999999995</v>
      </c>
      <c r="IG18" s="199">
        <f t="shared" si="61"/>
        <v>0.89114715653703347</v>
      </c>
      <c r="IH18" s="17" t="s">
        <v>42</v>
      </c>
      <c r="II18" s="67" t="s">
        <v>1039</v>
      </c>
      <c r="IJ18" s="17">
        <v>0.51</v>
      </c>
      <c r="IK18" s="491">
        <f t="shared" si="62"/>
        <v>0.79734219269103002</v>
      </c>
      <c r="IL18" s="17" t="s">
        <v>70</v>
      </c>
      <c r="IM18" s="51" t="s">
        <v>973</v>
      </c>
      <c r="IN18" s="17">
        <v>0.36</v>
      </c>
      <c r="IO18" s="376">
        <f t="shared" si="63"/>
        <v>0.56282978307602116</v>
      </c>
      <c r="IP18" s="17" t="s">
        <v>48</v>
      </c>
      <c r="IQ18" s="51" t="s">
        <v>1040</v>
      </c>
      <c r="IR18" s="17">
        <v>0.77</v>
      </c>
      <c r="IS18" s="330">
        <f t="shared" si="64"/>
        <v>1.2038303693570453</v>
      </c>
      <c r="IT18" s="17" t="s">
        <v>42</v>
      </c>
      <c r="IU18" s="75" t="s">
        <v>1041</v>
      </c>
      <c r="IV18" s="17">
        <v>0.12</v>
      </c>
      <c r="IW18" s="498">
        <f t="shared" si="65"/>
        <v>0.18760992769200707</v>
      </c>
      <c r="IX18" s="17" t="s">
        <v>70</v>
      </c>
      <c r="IY18" s="51" t="s">
        <v>1042</v>
      </c>
      <c r="IZ18" s="17">
        <v>0.7</v>
      </c>
      <c r="JA18" s="270">
        <f t="shared" si="66"/>
        <v>1.0943912448700412</v>
      </c>
      <c r="JB18" s="17" t="s">
        <v>42</v>
      </c>
      <c r="JC18" s="51" t="s">
        <v>1043</v>
      </c>
      <c r="JD18" s="17">
        <v>0.61</v>
      </c>
      <c r="JE18" s="194">
        <f t="shared" si="67"/>
        <v>0.95368379910103596</v>
      </c>
      <c r="JF18" s="17" t="s">
        <v>42</v>
      </c>
      <c r="JG18" s="51" t="s">
        <v>1044</v>
      </c>
      <c r="JH18" s="17">
        <v>0.52</v>
      </c>
      <c r="JI18" s="223">
        <f t="shared" si="68"/>
        <v>0.81297635333203067</v>
      </c>
      <c r="JJ18" s="17" t="s">
        <v>46</v>
      </c>
      <c r="JK18" s="51" t="s">
        <v>1045</v>
      </c>
      <c r="JL18" s="21">
        <v>0.39</v>
      </c>
      <c r="JM18" s="313">
        <f t="shared" si="69"/>
        <v>0.609732264999023</v>
      </c>
      <c r="JN18" s="21" t="s">
        <v>48</v>
      </c>
      <c r="JO18" s="75" t="s">
        <v>1046</v>
      </c>
      <c r="JP18" s="21">
        <v>0.48</v>
      </c>
      <c r="JQ18" s="242">
        <f t="shared" si="70"/>
        <v>0.75043971076802829</v>
      </c>
      <c r="JR18" s="21" t="s">
        <v>46</v>
      </c>
      <c r="JS18" s="51" t="s">
        <v>1047</v>
      </c>
      <c r="JT18" s="21">
        <v>0.51</v>
      </c>
      <c r="JU18" s="491">
        <f t="shared" si="71"/>
        <v>0.79734219269103002</v>
      </c>
      <c r="JV18" s="21" t="s">
        <v>42</v>
      </c>
      <c r="JW18" s="75" t="s">
        <v>1048</v>
      </c>
      <c r="JX18" s="17">
        <v>0.76</v>
      </c>
      <c r="JY18" s="403">
        <f t="shared" si="72"/>
        <v>1.1881962087160447</v>
      </c>
      <c r="JZ18" s="51" t="s">
        <v>46</v>
      </c>
      <c r="KA18" s="51" t="s">
        <v>1049</v>
      </c>
      <c r="KB18" s="21">
        <v>1.1599999999999999</v>
      </c>
      <c r="KC18" s="499">
        <f t="shared" si="73"/>
        <v>1.8135626343560682</v>
      </c>
      <c r="KD18" s="75" t="s">
        <v>48</v>
      </c>
      <c r="KE18" s="75" t="s">
        <v>1050</v>
      </c>
      <c r="KF18" s="17">
        <v>0.67</v>
      </c>
      <c r="KG18" s="395">
        <f t="shared" si="74"/>
        <v>1.0474887629470395</v>
      </c>
      <c r="KH18" s="51" t="s">
        <v>42</v>
      </c>
      <c r="KI18" s="51" t="s">
        <v>1051</v>
      </c>
      <c r="KJ18" s="21">
        <v>0.49</v>
      </c>
      <c r="KK18" s="202">
        <f t="shared" si="75"/>
        <v>0.76607387140902883</v>
      </c>
      <c r="KL18" s="75" t="s">
        <v>70</v>
      </c>
      <c r="KM18" s="75" t="s">
        <v>1052</v>
      </c>
      <c r="KN18" s="17">
        <v>0.56999999999999995</v>
      </c>
      <c r="KO18" s="199">
        <f t="shared" si="76"/>
        <v>0.89114715653703347</v>
      </c>
      <c r="KP18" s="51" t="s">
        <v>48</v>
      </c>
      <c r="KQ18" s="51" t="s">
        <v>1053</v>
      </c>
      <c r="KR18" s="21">
        <v>0.53</v>
      </c>
      <c r="KS18" s="137">
        <f t="shared" si="77"/>
        <v>0.8286105139730312</v>
      </c>
      <c r="KT18" s="75" t="s">
        <v>46</v>
      </c>
      <c r="KU18" s="75" t="s">
        <v>1054</v>
      </c>
      <c r="KV18" s="82">
        <v>0.6</v>
      </c>
      <c r="KW18" s="155">
        <f t="shared" si="78"/>
        <v>0.93804963846003531</v>
      </c>
      <c r="KX18" s="51" t="s">
        <v>66</v>
      </c>
      <c r="KY18" s="51" t="s">
        <v>1055</v>
      </c>
      <c r="KZ18" s="83">
        <v>0.23</v>
      </c>
      <c r="LA18" s="500">
        <f t="shared" si="79"/>
        <v>0.35958569474301355</v>
      </c>
      <c r="LB18" s="75" t="s">
        <v>42</v>
      </c>
      <c r="LC18" s="75" t="s">
        <v>1056</v>
      </c>
      <c r="LD18" s="82">
        <v>0.44</v>
      </c>
      <c r="LE18" s="130">
        <f t="shared" si="80"/>
        <v>0.68790306820402591</v>
      </c>
      <c r="LF18" s="51" t="s">
        <v>285</v>
      </c>
      <c r="LG18" s="51" t="s">
        <v>1057</v>
      </c>
      <c r="LH18" s="83">
        <v>0.33</v>
      </c>
      <c r="LI18" s="84"/>
      <c r="LJ18" s="85"/>
      <c r="LK18" s="85"/>
      <c r="LL18" s="86">
        <f t="shared" si="81"/>
        <v>0.63759493670886058</v>
      </c>
      <c r="LM18" s="86">
        <f t="shared" si="82"/>
        <v>1.2547151081993255</v>
      </c>
      <c r="LN18" s="86">
        <f t="shared" si="90"/>
        <v>1.0797107607868535</v>
      </c>
      <c r="LO18" s="86">
        <f t="shared" si="94"/>
        <v>1.1907946363706374</v>
      </c>
      <c r="LP18" s="86">
        <f t="shared" si="95"/>
        <v>0.27025612153179124</v>
      </c>
      <c r="LQ18" s="87">
        <f t="shared" si="96"/>
        <v>0</v>
      </c>
      <c r="LR18" s="86">
        <f t="shared" si="97"/>
        <v>1.224925606177776</v>
      </c>
      <c r="LS18" s="84">
        <v>1</v>
      </c>
      <c r="LT18" s="87">
        <f t="shared" si="100"/>
        <v>0</v>
      </c>
      <c r="LU18" s="87">
        <f t="shared" si="92"/>
        <v>3</v>
      </c>
      <c r="LV18" s="86">
        <f t="shared" si="98"/>
        <v>0.96</v>
      </c>
      <c r="LW18" s="89" t="s">
        <v>3812</v>
      </c>
      <c r="LX18" s="5" t="str">
        <f t="shared" si="87"/>
        <v/>
      </c>
      <c r="LY18" s="5" t="str">
        <f t="shared" si="88"/>
        <v/>
      </c>
      <c r="LZ18" s="5"/>
      <c r="MA18" s="67" t="str">
        <f t="shared" si="99"/>
        <v>CORINTHIANS</v>
      </c>
      <c r="MB18" s="89" t="s">
        <v>3808</v>
      </c>
    </row>
    <row r="19" spans="1:340" x14ac:dyDescent="0.2">
      <c r="A19" s="16">
        <v>0.76111111111111107</v>
      </c>
      <c r="B19" s="501">
        <f t="shared" si="0"/>
        <v>0.66024999999999978</v>
      </c>
      <c r="C19" s="502">
        <f t="shared" si="1"/>
        <v>0.21166224914805043</v>
      </c>
      <c r="D19" s="17">
        <v>0.8</v>
      </c>
      <c r="E19" s="503">
        <f t="shared" si="2"/>
        <v>1.2116622491480504</v>
      </c>
      <c r="F19" s="17" t="s">
        <v>42</v>
      </c>
      <c r="G19" s="20" t="s">
        <v>1058</v>
      </c>
      <c r="H19" s="21">
        <v>0.8</v>
      </c>
      <c r="I19" s="503">
        <f t="shared" si="3"/>
        <v>1.2116622491480504</v>
      </c>
      <c r="J19" s="21" t="s">
        <v>70</v>
      </c>
      <c r="K19" s="23" t="s">
        <v>1059</v>
      </c>
      <c r="L19" s="17">
        <v>0.78</v>
      </c>
      <c r="M19" s="143">
        <f t="shared" si="4"/>
        <v>1.1813706929193493</v>
      </c>
      <c r="N19" s="17" t="s">
        <v>46</v>
      </c>
      <c r="O19" s="20" t="s">
        <v>1060</v>
      </c>
      <c r="P19" s="21">
        <v>0.85</v>
      </c>
      <c r="Q19" s="504">
        <f t="shared" si="5"/>
        <v>1.2873911397198035</v>
      </c>
      <c r="R19" s="21" t="s">
        <v>42</v>
      </c>
      <c r="S19" s="23" t="s">
        <v>1061</v>
      </c>
      <c r="T19" s="17">
        <v>0.6</v>
      </c>
      <c r="U19" s="492">
        <f t="shared" si="6"/>
        <v>0.90874668686103777</v>
      </c>
      <c r="V19" s="17" t="s">
        <v>48</v>
      </c>
      <c r="W19" s="5"/>
      <c r="X19" s="21">
        <v>0.84</v>
      </c>
      <c r="Y19" s="77">
        <f t="shared" si="7"/>
        <v>1.2722453616054528</v>
      </c>
      <c r="Z19" s="21" t="s">
        <v>48</v>
      </c>
      <c r="AA19" s="28"/>
      <c r="AB19" s="17">
        <v>0.62</v>
      </c>
      <c r="AC19" s="155">
        <f t="shared" si="8"/>
        <v>0.93903824308973904</v>
      </c>
      <c r="AD19" s="17" t="s">
        <v>48</v>
      </c>
      <c r="AE19" s="20" t="s">
        <v>996</v>
      </c>
      <c r="AF19" s="21">
        <v>0.79</v>
      </c>
      <c r="AG19" s="119">
        <f t="shared" si="9"/>
        <v>1.1965164710336997</v>
      </c>
      <c r="AH19" s="21" t="s">
        <v>70</v>
      </c>
      <c r="AI19" s="23" t="s">
        <v>1062</v>
      </c>
      <c r="AJ19" s="17">
        <v>0.96</v>
      </c>
      <c r="AK19" s="453">
        <f t="shared" si="10"/>
        <v>1.4539946989776604</v>
      </c>
      <c r="AL19" s="17" t="s">
        <v>46</v>
      </c>
      <c r="AM19" s="20" t="s">
        <v>1063</v>
      </c>
      <c r="AN19" s="21">
        <v>1.03</v>
      </c>
      <c r="AO19" s="253">
        <f t="shared" si="11"/>
        <v>1.5600151457781148</v>
      </c>
      <c r="AP19" s="21" t="s">
        <v>48</v>
      </c>
      <c r="AQ19" s="23" t="s">
        <v>1064</v>
      </c>
      <c r="AR19" s="17">
        <v>0.72</v>
      </c>
      <c r="AS19" s="505">
        <f t="shared" si="12"/>
        <v>1.0904960242332453</v>
      </c>
      <c r="AT19" s="17" t="s">
        <v>48</v>
      </c>
      <c r="AU19" s="20" t="s">
        <v>1065</v>
      </c>
      <c r="AV19" s="21">
        <v>0.9</v>
      </c>
      <c r="AW19" s="341">
        <f t="shared" si="13"/>
        <v>1.3631200302915567</v>
      </c>
      <c r="AX19" s="21" t="s">
        <v>48</v>
      </c>
      <c r="AY19" s="23" t="s">
        <v>1066</v>
      </c>
      <c r="AZ19" s="17">
        <v>0.82</v>
      </c>
      <c r="BA19" s="106">
        <f t="shared" si="14"/>
        <v>1.2419538053767516</v>
      </c>
      <c r="BB19" s="17" t="s">
        <v>46</v>
      </c>
      <c r="BC19" s="20" t="s">
        <v>1067</v>
      </c>
      <c r="BD19" s="17">
        <v>0.85</v>
      </c>
      <c r="BE19" s="504">
        <f t="shared" si="15"/>
        <v>1.2873911397198035</v>
      </c>
      <c r="BF19" s="17" t="s">
        <v>42</v>
      </c>
      <c r="BG19" s="20" t="s">
        <v>1068</v>
      </c>
      <c r="BH19" s="37">
        <v>1.24</v>
      </c>
      <c r="BI19" s="506">
        <f t="shared" si="16"/>
        <v>1.8780764861794781</v>
      </c>
      <c r="BJ19" s="37" t="s">
        <v>42</v>
      </c>
      <c r="BK19" s="38" t="s">
        <v>1069</v>
      </c>
      <c r="BL19" s="17">
        <v>0.62</v>
      </c>
      <c r="BM19" s="155">
        <f t="shared" si="17"/>
        <v>0.93903824308973904</v>
      </c>
      <c r="BN19" s="17" t="s">
        <v>42</v>
      </c>
      <c r="BO19" s="40"/>
      <c r="BP19" s="17">
        <v>0.71</v>
      </c>
      <c r="BQ19" s="507">
        <f t="shared" si="18"/>
        <v>1.0753502461188946</v>
      </c>
      <c r="BR19" s="17" t="s">
        <v>42</v>
      </c>
      <c r="BS19" s="41"/>
      <c r="BT19" s="37">
        <v>0.73</v>
      </c>
      <c r="BU19" s="508">
        <f t="shared" si="19"/>
        <v>1.105641802347596</v>
      </c>
      <c r="BV19" s="21" t="s">
        <v>48</v>
      </c>
      <c r="BW19" s="23" t="s">
        <v>1070</v>
      </c>
      <c r="BX19" s="17">
        <v>0.45</v>
      </c>
      <c r="BY19" s="312">
        <f t="shared" si="20"/>
        <v>0.68156001514577835</v>
      </c>
      <c r="BZ19" s="17" t="s">
        <v>46</v>
      </c>
      <c r="CA19" s="20" t="s">
        <v>1071</v>
      </c>
      <c r="CB19" s="37">
        <v>0.65</v>
      </c>
      <c r="CC19" s="61">
        <f t="shared" si="21"/>
        <v>0.98447557743279102</v>
      </c>
      <c r="CD19" s="21" t="s">
        <v>46</v>
      </c>
      <c r="CE19" s="23" t="s">
        <v>1072</v>
      </c>
      <c r="CF19" s="17">
        <v>0.34</v>
      </c>
      <c r="CG19" s="509">
        <f t="shared" si="22"/>
        <v>0.51495645588792149</v>
      </c>
      <c r="CH19" s="17" t="s">
        <v>356</v>
      </c>
      <c r="CI19" s="20" t="s">
        <v>1073</v>
      </c>
      <c r="CJ19" s="37">
        <v>0.18</v>
      </c>
      <c r="CK19" s="462">
        <f t="shared" si="23"/>
        <v>0.27262400605831133</v>
      </c>
      <c r="CL19" s="46" t="s">
        <v>42</v>
      </c>
      <c r="CM19" s="23" t="s">
        <v>1074</v>
      </c>
      <c r="CN19" s="17">
        <v>0.71</v>
      </c>
      <c r="CO19" s="507">
        <f t="shared" si="24"/>
        <v>1.0753502461188946</v>
      </c>
      <c r="CP19" s="17" t="s">
        <v>48</v>
      </c>
      <c r="CQ19" s="20" t="s">
        <v>1075</v>
      </c>
      <c r="CR19" s="37">
        <v>0.57999999999999996</v>
      </c>
      <c r="CS19" s="510">
        <f t="shared" si="25"/>
        <v>0.87845513063233649</v>
      </c>
      <c r="CT19" s="21" t="s">
        <v>66</v>
      </c>
      <c r="CU19" s="23" t="s">
        <v>1076</v>
      </c>
      <c r="CV19" s="17">
        <v>0.77</v>
      </c>
      <c r="CW19" s="448">
        <f t="shared" si="26"/>
        <v>1.1662249148049986</v>
      </c>
      <c r="CX19" s="17" t="s">
        <v>42</v>
      </c>
      <c r="CY19" s="20" t="s">
        <v>1077</v>
      </c>
      <c r="CZ19" s="37">
        <v>0.33</v>
      </c>
      <c r="DA19" s="511">
        <f t="shared" si="27"/>
        <v>0.4998106777735708</v>
      </c>
      <c r="DB19" s="21" t="s">
        <v>42</v>
      </c>
      <c r="DC19" s="23" t="s">
        <v>1078</v>
      </c>
      <c r="DD19" s="17">
        <v>0.56000000000000005</v>
      </c>
      <c r="DE19" s="288">
        <f t="shared" si="28"/>
        <v>0.84816357440363532</v>
      </c>
      <c r="DF19" s="17" t="s">
        <v>70</v>
      </c>
      <c r="DG19" s="20" t="s">
        <v>1079</v>
      </c>
      <c r="DH19" s="37">
        <v>0.77</v>
      </c>
      <c r="DI19" s="448">
        <f t="shared" si="29"/>
        <v>1.1662249148049986</v>
      </c>
      <c r="DJ19" s="21" t="s">
        <v>70</v>
      </c>
      <c r="DK19" s="28"/>
      <c r="DL19" s="17">
        <v>0.2</v>
      </c>
      <c r="DM19" s="457">
        <f t="shared" si="30"/>
        <v>0.30291556228701261</v>
      </c>
      <c r="DN19" s="17" t="s">
        <v>70</v>
      </c>
      <c r="DO19" s="51" t="s">
        <v>1080</v>
      </c>
      <c r="DP19" s="21">
        <v>1.08</v>
      </c>
      <c r="DQ19" s="393">
        <f t="shared" si="31"/>
        <v>1.6357440363498681</v>
      </c>
      <c r="DR19" s="53" t="s">
        <v>42</v>
      </c>
      <c r="DS19" s="54" t="s">
        <v>1081</v>
      </c>
      <c r="DT19" s="53">
        <v>0.38</v>
      </c>
      <c r="DU19" s="133">
        <f t="shared" si="32"/>
        <v>0.57553956834532394</v>
      </c>
      <c r="DV19" s="56" t="s">
        <v>42</v>
      </c>
      <c r="DW19" s="57" t="s">
        <v>1016</v>
      </c>
      <c r="DX19" s="53">
        <v>0.45</v>
      </c>
      <c r="DY19" s="312">
        <f t="shared" si="33"/>
        <v>0.68156001514577835</v>
      </c>
      <c r="DZ19" s="53" t="s">
        <v>46</v>
      </c>
      <c r="EA19" s="54" t="s">
        <v>1016</v>
      </c>
      <c r="EB19" s="56">
        <v>0.5</v>
      </c>
      <c r="EC19" s="96">
        <f t="shared" si="34"/>
        <v>0.75728890571753149</v>
      </c>
      <c r="ED19" s="56" t="s">
        <v>70</v>
      </c>
      <c r="EE19" s="57" t="s">
        <v>1082</v>
      </c>
      <c r="EF19" s="53">
        <v>0.44</v>
      </c>
      <c r="EG19" s="178">
        <f t="shared" si="35"/>
        <v>0.66641423703142766</v>
      </c>
      <c r="EH19" s="53" t="s">
        <v>70</v>
      </c>
      <c r="EI19" s="57" t="s">
        <v>1083</v>
      </c>
      <c r="EJ19" s="53">
        <v>0.82</v>
      </c>
      <c r="EK19" s="106">
        <f t="shared" si="36"/>
        <v>1.2419538053767516</v>
      </c>
      <c r="EL19" s="56" t="s">
        <v>48</v>
      </c>
      <c r="EM19" s="57" t="s">
        <v>1084</v>
      </c>
      <c r="EN19" s="53">
        <v>0.95</v>
      </c>
      <c r="EO19" s="79">
        <f t="shared" si="37"/>
        <v>1.4388489208633097</v>
      </c>
      <c r="EP19" s="53" t="s">
        <v>42</v>
      </c>
      <c r="EQ19" s="23" t="s">
        <v>1085</v>
      </c>
      <c r="ER19" s="53">
        <v>0.48</v>
      </c>
      <c r="ES19" s="203">
        <f t="shared" si="38"/>
        <v>0.72699734948883021</v>
      </c>
      <c r="ET19" s="53" t="s">
        <v>42</v>
      </c>
      <c r="EU19" s="20" t="s">
        <v>1086</v>
      </c>
      <c r="EV19" s="53">
        <v>0.71</v>
      </c>
      <c r="EW19" s="507">
        <f t="shared" si="39"/>
        <v>1.0753502461188946</v>
      </c>
      <c r="EX19" s="21" t="s">
        <v>46</v>
      </c>
      <c r="EY19" s="57" t="s">
        <v>1087</v>
      </c>
      <c r="EZ19" s="53">
        <v>0.76</v>
      </c>
      <c r="FA19" s="44">
        <f t="shared" si="40"/>
        <v>1.1510791366906479</v>
      </c>
      <c r="FB19" s="40"/>
      <c r="FC19" s="40"/>
      <c r="FD19" s="53">
        <v>0.98</v>
      </c>
      <c r="FE19" s="276">
        <f t="shared" si="41"/>
        <v>1.4842862552063616</v>
      </c>
      <c r="FF19" s="21" t="s">
        <v>48</v>
      </c>
      <c r="FG19" s="64"/>
      <c r="FH19" s="17">
        <v>1.1299999999999999</v>
      </c>
      <c r="FI19" s="512">
        <f t="shared" si="42"/>
        <v>1.7114729269216209</v>
      </c>
      <c r="FJ19" s="17" t="s">
        <v>48</v>
      </c>
      <c r="FK19" s="51" t="s">
        <v>1088</v>
      </c>
      <c r="FL19" s="17">
        <v>0.77</v>
      </c>
      <c r="FM19" s="448">
        <f t="shared" si="43"/>
        <v>1.1662249148049986</v>
      </c>
      <c r="FN19" s="21" t="s">
        <v>48</v>
      </c>
      <c r="FO19" s="51" t="s">
        <v>1089</v>
      </c>
      <c r="FP19" s="17">
        <v>0.45</v>
      </c>
      <c r="FQ19" s="312">
        <f t="shared" si="44"/>
        <v>0.68156001514577835</v>
      </c>
      <c r="FR19" s="17" t="s">
        <v>48</v>
      </c>
      <c r="FS19" s="51" t="s">
        <v>1090</v>
      </c>
      <c r="FT19" s="17">
        <v>0.75</v>
      </c>
      <c r="FU19" s="443">
        <f t="shared" si="45"/>
        <v>1.1359333585762972</v>
      </c>
      <c r="FV19" s="17" t="s">
        <v>46</v>
      </c>
      <c r="FW19" s="274"/>
      <c r="FX19" s="17">
        <v>1.05</v>
      </c>
      <c r="FY19" s="513">
        <f t="shared" si="46"/>
        <v>1.5903067020068162</v>
      </c>
      <c r="FZ19" s="17" t="s">
        <v>42</v>
      </c>
      <c r="GA19" s="51" t="s">
        <v>1091</v>
      </c>
      <c r="GB19" s="53">
        <v>0.71</v>
      </c>
      <c r="GC19" s="507">
        <f t="shared" si="47"/>
        <v>1.0753502461188946</v>
      </c>
      <c r="GD19" s="21" t="s">
        <v>42</v>
      </c>
      <c r="GE19" s="63"/>
      <c r="GF19" s="17">
        <v>0.59</v>
      </c>
      <c r="GG19" s="199">
        <f t="shared" si="48"/>
        <v>0.89360090874668707</v>
      </c>
      <c r="GH19" s="17" t="s">
        <v>48</v>
      </c>
      <c r="GI19" s="51" t="s">
        <v>1092</v>
      </c>
      <c r="GJ19" s="17">
        <v>0.89</v>
      </c>
      <c r="GK19" s="392">
        <f t="shared" si="49"/>
        <v>1.347974252177206</v>
      </c>
      <c r="GL19" s="17" t="s">
        <v>48</v>
      </c>
      <c r="GM19" s="67" t="s">
        <v>1093</v>
      </c>
      <c r="GN19" s="17">
        <v>0.19</v>
      </c>
      <c r="GO19" s="450">
        <f t="shared" si="50"/>
        <v>0.28776978417266197</v>
      </c>
      <c r="GP19" s="17" t="s">
        <v>48</v>
      </c>
      <c r="GQ19" s="51" t="s">
        <v>1094</v>
      </c>
      <c r="GR19" s="17">
        <v>0.46</v>
      </c>
      <c r="GS19" s="69">
        <f t="shared" si="51"/>
        <v>0.69670579326012905</v>
      </c>
      <c r="GT19" s="17" t="s">
        <v>48</v>
      </c>
      <c r="GU19" s="51" t="s">
        <v>1095</v>
      </c>
      <c r="GV19" s="17">
        <v>0.88</v>
      </c>
      <c r="GW19" s="98">
        <f t="shared" si="52"/>
        <v>1.3328284740628553</v>
      </c>
      <c r="GX19" s="17" t="s">
        <v>48</v>
      </c>
      <c r="GY19" s="67" t="s">
        <v>1096</v>
      </c>
      <c r="GZ19" s="17">
        <v>0.55000000000000004</v>
      </c>
      <c r="HA19" s="514">
        <f t="shared" si="53"/>
        <v>0.83301779628928474</v>
      </c>
      <c r="HB19" s="17" t="s">
        <v>42</v>
      </c>
      <c r="HC19" s="20" t="s">
        <v>1097</v>
      </c>
      <c r="HD19" s="17">
        <v>0.48</v>
      </c>
      <c r="HE19" s="203">
        <f t="shared" si="54"/>
        <v>0.72699734948883021</v>
      </c>
      <c r="HF19" s="17" t="s">
        <v>46</v>
      </c>
      <c r="HG19" s="20" t="s">
        <v>1098</v>
      </c>
      <c r="HH19" s="17">
        <v>0.79</v>
      </c>
      <c r="HI19" s="119">
        <f t="shared" si="55"/>
        <v>1.1965164710336997</v>
      </c>
      <c r="HJ19" s="17" t="s">
        <v>42</v>
      </c>
      <c r="HK19" s="20" t="s">
        <v>1099</v>
      </c>
      <c r="HL19" s="17">
        <v>0.6</v>
      </c>
      <c r="HM19" s="492">
        <f t="shared" si="56"/>
        <v>0.90874668686103777</v>
      </c>
      <c r="HN19" s="17" t="s">
        <v>42</v>
      </c>
      <c r="HO19" s="20" t="s">
        <v>1100</v>
      </c>
      <c r="HP19" s="17">
        <v>0.48</v>
      </c>
      <c r="HQ19" s="203">
        <f t="shared" si="57"/>
        <v>0.72699734948883021</v>
      </c>
      <c r="HR19" s="17" t="s">
        <v>42</v>
      </c>
      <c r="HS19" s="73" t="s">
        <v>1101</v>
      </c>
      <c r="HT19" s="17">
        <v>0.9</v>
      </c>
      <c r="HU19" s="341">
        <f t="shared" si="58"/>
        <v>1.3631200302915567</v>
      </c>
      <c r="HV19" s="17" t="s">
        <v>48</v>
      </c>
      <c r="HW19" s="75" t="s">
        <v>1102</v>
      </c>
      <c r="HX19" s="17">
        <v>0.75</v>
      </c>
      <c r="HY19" s="443">
        <f t="shared" si="59"/>
        <v>1.1359333585762972</v>
      </c>
      <c r="HZ19" s="21" t="s">
        <v>48</v>
      </c>
      <c r="IA19" s="75" t="s">
        <v>1103</v>
      </c>
      <c r="IB19" s="17">
        <v>0.78</v>
      </c>
      <c r="IC19" s="143">
        <f t="shared" si="60"/>
        <v>1.1813706929193493</v>
      </c>
      <c r="ID19" s="17" t="s">
        <v>42</v>
      </c>
      <c r="IE19" s="51" t="s">
        <v>1104</v>
      </c>
      <c r="IF19" s="17">
        <v>0.56999999999999995</v>
      </c>
      <c r="IG19" s="461">
        <f t="shared" si="61"/>
        <v>0.8633093525179858</v>
      </c>
      <c r="IH19" s="17" t="s">
        <v>42</v>
      </c>
      <c r="II19" s="67" t="s">
        <v>1105</v>
      </c>
      <c r="IJ19" s="164">
        <v>0.57999999999999996</v>
      </c>
      <c r="IK19" s="510">
        <f t="shared" si="62"/>
        <v>0.87845513063233649</v>
      </c>
      <c r="IL19" s="17" t="s">
        <v>42</v>
      </c>
      <c r="IM19" s="51" t="s">
        <v>1106</v>
      </c>
      <c r="IN19" s="17">
        <v>0.43</v>
      </c>
      <c r="IO19" s="515">
        <f t="shared" si="63"/>
        <v>0.65126845891707708</v>
      </c>
      <c r="IP19" s="17" t="s">
        <v>48</v>
      </c>
      <c r="IQ19" s="51" t="s">
        <v>1107</v>
      </c>
      <c r="IR19" s="17">
        <v>0.77</v>
      </c>
      <c r="IS19" s="448">
        <f t="shared" si="64"/>
        <v>1.1662249148049986</v>
      </c>
      <c r="IT19" s="17" t="s">
        <v>48</v>
      </c>
      <c r="IU19" s="75" t="s">
        <v>1108</v>
      </c>
      <c r="IV19" s="17">
        <v>0.12</v>
      </c>
      <c r="IW19" s="516">
        <f t="shared" si="65"/>
        <v>0.18174933737220755</v>
      </c>
      <c r="IX19" s="17" t="s">
        <v>70</v>
      </c>
      <c r="IY19" s="274"/>
      <c r="IZ19" s="17">
        <v>0.77</v>
      </c>
      <c r="JA19" s="448">
        <f t="shared" si="66"/>
        <v>1.1662249148049986</v>
      </c>
      <c r="JB19" s="17" t="s">
        <v>42</v>
      </c>
      <c r="JC19" s="51" t="s">
        <v>1043</v>
      </c>
      <c r="JD19" s="17">
        <v>0.61</v>
      </c>
      <c r="JE19" s="297">
        <f t="shared" si="67"/>
        <v>0.92389246497538835</v>
      </c>
      <c r="JF19" s="17" t="s">
        <v>42</v>
      </c>
      <c r="JG19" s="51" t="s">
        <v>1109</v>
      </c>
      <c r="JH19" s="17">
        <v>0.53</v>
      </c>
      <c r="JI19" s="268">
        <f t="shared" si="68"/>
        <v>0.80272624006058346</v>
      </c>
      <c r="JJ19" s="17" t="s">
        <v>46</v>
      </c>
      <c r="JK19" s="51" t="s">
        <v>1110</v>
      </c>
      <c r="JL19" s="21">
        <v>0.32</v>
      </c>
      <c r="JM19" s="123">
        <f t="shared" si="69"/>
        <v>0.48466489965922016</v>
      </c>
      <c r="JN19" s="21" t="s">
        <v>48</v>
      </c>
      <c r="JO19" s="75" t="s">
        <v>1111</v>
      </c>
      <c r="JP19" s="21">
        <v>0.48</v>
      </c>
      <c r="JQ19" s="203">
        <f t="shared" si="70"/>
        <v>0.72699734948883021</v>
      </c>
      <c r="JR19" s="21" t="s">
        <v>46</v>
      </c>
      <c r="JS19" s="51" t="s">
        <v>1112</v>
      </c>
      <c r="JT19" s="21">
        <v>0.6</v>
      </c>
      <c r="JU19" s="492">
        <f t="shared" si="71"/>
        <v>0.90874668686103777</v>
      </c>
      <c r="JV19" s="21" t="s">
        <v>42</v>
      </c>
      <c r="JW19" s="75" t="s">
        <v>1113</v>
      </c>
      <c r="JX19" s="17">
        <v>0.76</v>
      </c>
      <c r="JY19" s="44">
        <f t="shared" si="72"/>
        <v>1.1510791366906479</v>
      </c>
      <c r="JZ19" s="51" t="s">
        <v>46</v>
      </c>
      <c r="KA19" s="51" t="s">
        <v>1114</v>
      </c>
      <c r="KB19" s="21">
        <v>1.1599999999999999</v>
      </c>
      <c r="KC19" s="517">
        <f t="shared" si="73"/>
        <v>1.756910261264673</v>
      </c>
      <c r="KD19" s="75" t="s">
        <v>48</v>
      </c>
      <c r="KE19" s="75" t="s">
        <v>1115</v>
      </c>
      <c r="KF19" s="17">
        <v>0.63</v>
      </c>
      <c r="KG19" s="194">
        <f t="shared" si="74"/>
        <v>0.95418402120408963</v>
      </c>
      <c r="KH19" s="51" t="s">
        <v>42</v>
      </c>
      <c r="KI19" s="51" t="s">
        <v>1051</v>
      </c>
      <c r="KJ19" s="21">
        <v>0.49</v>
      </c>
      <c r="KK19" s="58">
        <f t="shared" si="75"/>
        <v>0.7421431276031808</v>
      </c>
      <c r="KL19" s="75" t="s">
        <v>70</v>
      </c>
      <c r="KM19" s="75" t="s">
        <v>1116</v>
      </c>
      <c r="KN19" s="17">
        <v>0.63</v>
      </c>
      <c r="KO19" s="194">
        <f t="shared" si="76"/>
        <v>0.95418402120408963</v>
      </c>
      <c r="KP19" s="51" t="s">
        <v>48</v>
      </c>
      <c r="KQ19" s="51" t="s">
        <v>1053</v>
      </c>
      <c r="KR19" s="21">
        <v>0.67</v>
      </c>
      <c r="KS19" s="250">
        <f t="shared" si="77"/>
        <v>1.0147671336614923</v>
      </c>
      <c r="KT19" s="75" t="s">
        <v>46</v>
      </c>
      <c r="KU19" s="75" t="s">
        <v>1117</v>
      </c>
      <c r="KV19" s="82">
        <v>0.53</v>
      </c>
      <c r="KW19" s="268">
        <f t="shared" si="78"/>
        <v>0.80272624006058346</v>
      </c>
      <c r="KX19" s="51" t="s">
        <v>48</v>
      </c>
      <c r="KY19" s="51" t="s">
        <v>1118</v>
      </c>
      <c r="KZ19" s="83">
        <v>0.23</v>
      </c>
      <c r="LA19" s="518">
        <f t="shared" si="79"/>
        <v>0.34835289663006452</v>
      </c>
      <c r="LB19" s="75" t="s">
        <v>42</v>
      </c>
      <c r="LC19" s="75" t="s">
        <v>1056</v>
      </c>
      <c r="LD19" s="82">
        <v>0.51</v>
      </c>
      <c r="LE19" s="19">
        <f t="shared" si="80"/>
        <v>0.77243468383188219</v>
      </c>
      <c r="LF19" s="51" t="s">
        <v>179</v>
      </c>
      <c r="LG19" s="51" t="s">
        <v>1119</v>
      </c>
      <c r="LH19" s="83">
        <v>0.48</v>
      </c>
      <c r="LI19" s="84"/>
      <c r="LJ19" s="85"/>
      <c r="LK19" s="85"/>
      <c r="LL19" s="86">
        <f t="shared" si="81"/>
        <v>0.65848101265822767</v>
      </c>
      <c r="LM19" s="86">
        <f t="shared" si="82"/>
        <v>1.2149173394848138</v>
      </c>
      <c r="LN19" s="86">
        <f t="shared" si="90"/>
        <v>1.0906485325001329</v>
      </c>
      <c r="LO19" s="86">
        <f t="shared" si="94"/>
        <v>1.2456145829107816</v>
      </c>
      <c r="LP19" s="86">
        <f t="shared" si="95"/>
        <v>6.8191868905637554E-2</v>
      </c>
      <c r="LQ19" s="87">
        <f t="shared" si="96"/>
        <v>0</v>
      </c>
      <c r="LR19" s="86">
        <f t="shared" si="97"/>
        <v>1.2266702582222064</v>
      </c>
      <c r="LS19" s="84">
        <v>1</v>
      </c>
      <c r="LT19" s="87">
        <f t="shared" si="100"/>
        <v>0</v>
      </c>
      <c r="LU19" s="87">
        <f t="shared" si="92"/>
        <v>4</v>
      </c>
      <c r="LV19" s="84">
        <f t="shared" si="98"/>
        <v>1</v>
      </c>
      <c r="LW19" s="519" t="s">
        <v>3813</v>
      </c>
      <c r="LX19" s="5" t="str">
        <f t="shared" si="87"/>
        <v/>
      </c>
      <c r="LY19" s="5" t="str">
        <f t="shared" si="88"/>
        <v/>
      </c>
      <c r="LZ19" s="5"/>
      <c r="MA19" s="67" t="str">
        <f t="shared" si="99"/>
        <v>CORINTHIANS</v>
      </c>
      <c r="MB19" s="89" t="s">
        <v>3808</v>
      </c>
    </row>
    <row r="20" spans="1:340" x14ac:dyDescent="0.2">
      <c r="A20" s="16">
        <v>0.76180555555555551</v>
      </c>
      <c r="B20" s="520">
        <f t="shared" si="0"/>
        <v>0.67587499999999989</v>
      </c>
      <c r="C20" s="521">
        <f t="shared" si="1"/>
        <v>0.19844645829480334</v>
      </c>
      <c r="D20" s="17">
        <v>0.81</v>
      </c>
      <c r="E20" s="386">
        <f t="shared" si="2"/>
        <v>1.1984464582948033</v>
      </c>
      <c r="F20" s="17" t="s">
        <v>46</v>
      </c>
      <c r="G20" s="20" t="s">
        <v>1120</v>
      </c>
      <c r="H20" s="21">
        <v>0.8</v>
      </c>
      <c r="I20" s="326">
        <f t="shared" si="3"/>
        <v>1.1836508230072131</v>
      </c>
      <c r="J20" s="21" t="s">
        <v>70</v>
      </c>
      <c r="K20" s="23" t="s">
        <v>1121</v>
      </c>
      <c r="L20" s="17">
        <v>0.78</v>
      </c>
      <c r="M20" s="402">
        <f t="shared" si="4"/>
        <v>1.1540595524320327</v>
      </c>
      <c r="N20" s="17" t="s">
        <v>46</v>
      </c>
      <c r="O20" s="20" t="s">
        <v>1122</v>
      </c>
      <c r="P20" s="21">
        <v>0.85</v>
      </c>
      <c r="Q20" s="332">
        <f t="shared" si="5"/>
        <v>1.2576289994451639</v>
      </c>
      <c r="R20" s="21" t="s">
        <v>42</v>
      </c>
      <c r="S20" s="23" t="s">
        <v>1123</v>
      </c>
      <c r="T20" s="17">
        <v>0.6</v>
      </c>
      <c r="U20" s="366">
        <f t="shared" si="6"/>
        <v>0.88773811725540974</v>
      </c>
      <c r="V20" s="17" t="s">
        <v>42</v>
      </c>
      <c r="W20" s="5"/>
      <c r="X20" s="21">
        <v>0.9</v>
      </c>
      <c r="Y20" s="488">
        <f t="shared" si="7"/>
        <v>1.3316071758831147</v>
      </c>
      <c r="Z20" s="21" t="s">
        <v>48</v>
      </c>
      <c r="AA20" s="28"/>
      <c r="AB20" s="17">
        <v>0.62</v>
      </c>
      <c r="AC20" s="227">
        <f t="shared" si="8"/>
        <v>0.91732938783059015</v>
      </c>
      <c r="AD20" s="17" t="s">
        <v>48</v>
      </c>
      <c r="AE20" s="20" t="s">
        <v>1124</v>
      </c>
      <c r="AF20" s="21">
        <v>0.85</v>
      </c>
      <c r="AG20" s="332">
        <f t="shared" si="9"/>
        <v>1.2576289994451639</v>
      </c>
      <c r="AH20" s="21" t="s">
        <v>70</v>
      </c>
      <c r="AI20" s="23" t="s">
        <v>1125</v>
      </c>
      <c r="AJ20" s="17">
        <v>0.96</v>
      </c>
      <c r="AK20" s="150">
        <f t="shared" si="10"/>
        <v>1.4203809876086557</v>
      </c>
      <c r="AL20" s="17" t="s">
        <v>46</v>
      </c>
      <c r="AM20" s="20" t="s">
        <v>1126</v>
      </c>
      <c r="AN20" s="21">
        <v>1.03</v>
      </c>
      <c r="AO20" s="214">
        <f t="shared" si="11"/>
        <v>1.5239504346217869</v>
      </c>
      <c r="AP20" s="21" t="s">
        <v>42</v>
      </c>
      <c r="AQ20" s="23" t="s">
        <v>1127</v>
      </c>
      <c r="AR20" s="17">
        <v>0.72</v>
      </c>
      <c r="AS20" s="334">
        <f t="shared" si="12"/>
        <v>1.0652857407064917</v>
      </c>
      <c r="AT20" s="17" t="s">
        <v>48</v>
      </c>
      <c r="AU20" s="20" t="s">
        <v>1128</v>
      </c>
      <c r="AV20" s="21">
        <v>0.9</v>
      </c>
      <c r="AW20" s="488">
        <f t="shared" si="13"/>
        <v>1.3316071758831147</v>
      </c>
      <c r="AX20" s="21" t="s">
        <v>1129</v>
      </c>
      <c r="AY20" s="23" t="s">
        <v>1130</v>
      </c>
      <c r="AZ20" s="17">
        <v>0.82</v>
      </c>
      <c r="BA20" s="361">
        <f t="shared" si="14"/>
        <v>1.2132420935823933</v>
      </c>
      <c r="BB20" s="17" t="s">
        <v>46</v>
      </c>
      <c r="BC20" s="20" t="s">
        <v>1131</v>
      </c>
      <c r="BD20" s="17">
        <v>0.92</v>
      </c>
      <c r="BE20" s="427">
        <f t="shared" si="15"/>
        <v>1.3611984464582951</v>
      </c>
      <c r="BF20" s="17" t="s">
        <v>42</v>
      </c>
      <c r="BG20" s="20" t="s">
        <v>1132</v>
      </c>
      <c r="BH20" s="37">
        <v>1.18</v>
      </c>
      <c r="BI20" s="522">
        <f t="shared" si="16"/>
        <v>1.7458849639356391</v>
      </c>
      <c r="BJ20" s="37" t="s">
        <v>42</v>
      </c>
      <c r="BK20" s="523"/>
      <c r="BL20" s="17">
        <v>0.62</v>
      </c>
      <c r="BM20" s="227">
        <f t="shared" si="17"/>
        <v>0.91732938783059015</v>
      </c>
      <c r="BN20" s="17" t="s">
        <v>42</v>
      </c>
      <c r="BO20" s="40"/>
      <c r="BP20" s="17">
        <v>0.71</v>
      </c>
      <c r="BQ20" s="524">
        <f t="shared" si="18"/>
        <v>1.0504901054189015</v>
      </c>
      <c r="BR20" s="17" t="s">
        <v>42</v>
      </c>
      <c r="BS20" s="41"/>
      <c r="BT20" s="37">
        <v>0.73</v>
      </c>
      <c r="BU20" s="525">
        <f t="shared" si="19"/>
        <v>1.0800813759940819</v>
      </c>
      <c r="BV20" s="21" t="s">
        <v>70</v>
      </c>
      <c r="BW20" s="23" t="s">
        <v>1070</v>
      </c>
      <c r="BX20" s="17">
        <v>0.39</v>
      </c>
      <c r="BY20" s="72">
        <f t="shared" si="20"/>
        <v>0.57702977621601637</v>
      </c>
      <c r="BZ20" s="17" t="s">
        <v>46</v>
      </c>
      <c r="CA20" s="20" t="s">
        <v>1133</v>
      </c>
      <c r="CB20" s="37">
        <v>0.65</v>
      </c>
      <c r="CC20" s="55">
        <f t="shared" si="21"/>
        <v>0.96171629369336065</v>
      </c>
      <c r="CD20" s="21" t="s">
        <v>46</v>
      </c>
      <c r="CE20" s="23" t="s">
        <v>1134</v>
      </c>
      <c r="CF20" s="17">
        <v>0.39</v>
      </c>
      <c r="CG20" s="72">
        <f t="shared" si="22"/>
        <v>0.57702977621601637</v>
      </c>
      <c r="CH20" s="17" t="s">
        <v>356</v>
      </c>
      <c r="CI20" s="20" t="s">
        <v>1135</v>
      </c>
      <c r="CJ20" s="37">
        <v>0.18</v>
      </c>
      <c r="CK20" s="233">
        <f t="shared" si="23"/>
        <v>0.26632143517662293</v>
      </c>
      <c r="CL20" s="46" t="s">
        <v>42</v>
      </c>
      <c r="CM20" s="23" t="s">
        <v>1136</v>
      </c>
      <c r="CN20" s="17">
        <v>0.71</v>
      </c>
      <c r="CO20" s="524">
        <f t="shared" si="24"/>
        <v>1.0504901054189015</v>
      </c>
      <c r="CP20" s="17" t="s">
        <v>48</v>
      </c>
      <c r="CQ20" s="20" t="s">
        <v>1137</v>
      </c>
      <c r="CR20" s="37">
        <v>0.51</v>
      </c>
      <c r="CS20" s="302">
        <f t="shared" si="25"/>
        <v>0.75457739966709836</v>
      </c>
      <c r="CT20" s="21" t="s">
        <v>46</v>
      </c>
      <c r="CU20" s="23" t="s">
        <v>1138</v>
      </c>
      <c r="CV20" s="17">
        <v>0.71</v>
      </c>
      <c r="CW20" s="524">
        <f t="shared" si="26"/>
        <v>1.0504901054189015</v>
      </c>
      <c r="CX20" s="17" t="s">
        <v>42</v>
      </c>
      <c r="CY20" s="20" t="s">
        <v>1139</v>
      </c>
      <c r="CZ20" s="37">
        <v>0.39</v>
      </c>
      <c r="DA20" s="72">
        <f t="shared" si="27"/>
        <v>0.57702977621601637</v>
      </c>
      <c r="DB20" s="21" t="s">
        <v>42</v>
      </c>
      <c r="DC20" s="23" t="s">
        <v>1140</v>
      </c>
      <c r="DD20" s="17">
        <v>0.5</v>
      </c>
      <c r="DE20" s="425">
        <f t="shared" si="28"/>
        <v>0.73978176437950816</v>
      </c>
      <c r="DF20" s="17" t="s">
        <v>70</v>
      </c>
      <c r="DG20" s="20" t="s">
        <v>1079</v>
      </c>
      <c r="DH20" s="37">
        <v>0.98</v>
      </c>
      <c r="DI20" s="118">
        <f t="shared" si="29"/>
        <v>1.4499722581838359</v>
      </c>
      <c r="DJ20" s="21" t="s">
        <v>70</v>
      </c>
      <c r="DK20" s="28"/>
      <c r="DL20" s="17">
        <v>0.27</v>
      </c>
      <c r="DM20" s="526">
        <f t="shared" si="30"/>
        <v>0.39948215276493443</v>
      </c>
      <c r="DN20" s="17" t="s">
        <v>70</v>
      </c>
      <c r="DO20" s="51" t="s">
        <v>1141</v>
      </c>
      <c r="DP20" s="21">
        <v>1.03</v>
      </c>
      <c r="DQ20" s="214">
        <f t="shared" si="31"/>
        <v>1.5239504346217869</v>
      </c>
      <c r="DR20" s="53" t="s">
        <v>46</v>
      </c>
      <c r="DS20" s="54" t="s">
        <v>1142</v>
      </c>
      <c r="DT20" s="53">
        <v>0.45</v>
      </c>
      <c r="DU20" s="178">
        <f t="shared" si="32"/>
        <v>0.66580358794155736</v>
      </c>
      <c r="DV20" s="56" t="s">
        <v>42</v>
      </c>
      <c r="DW20" s="57" t="s">
        <v>1143</v>
      </c>
      <c r="DX20" s="53">
        <v>0.45</v>
      </c>
      <c r="DY20" s="178">
        <f t="shared" si="33"/>
        <v>0.66580358794155736</v>
      </c>
      <c r="DZ20" s="53" t="s">
        <v>46</v>
      </c>
      <c r="EA20" s="54" t="s">
        <v>1143</v>
      </c>
      <c r="EB20" s="56">
        <v>0.5</v>
      </c>
      <c r="EC20" s="425">
        <f t="shared" si="34"/>
        <v>0.73978176437950816</v>
      </c>
      <c r="ED20" s="56" t="s">
        <v>70</v>
      </c>
      <c r="EE20" s="57" t="s">
        <v>1082</v>
      </c>
      <c r="EF20" s="53">
        <v>0.44</v>
      </c>
      <c r="EG20" s="515">
        <f t="shared" si="35"/>
        <v>0.65100795265396716</v>
      </c>
      <c r="EH20" s="53" t="s">
        <v>70</v>
      </c>
      <c r="EI20" s="57" t="s">
        <v>1144</v>
      </c>
      <c r="EJ20" s="53">
        <v>0.82</v>
      </c>
      <c r="EK20" s="361">
        <f t="shared" si="36"/>
        <v>1.2132420935823933</v>
      </c>
      <c r="EL20" s="56" t="s">
        <v>48</v>
      </c>
      <c r="EM20" s="57" t="s">
        <v>1084</v>
      </c>
      <c r="EN20" s="53">
        <v>0.96</v>
      </c>
      <c r="EO20" s="150">
        <f t="shared" si="37"/>
        <v>1.4203809876086557</v>
      </c>
      <c r="EP20" s="53" t="s">
        <v>42</v>
      </c>
      <c r="EQ20" s="23" t="s">
        <v>1145</v>
      </c>
      <c r="ER20" s="53">
        <v>0.35</v>
      </c>
      <c r="ES20" s="208">
        <f t="shared" si="38"/>
        <v>0.51784723506565566</v>
      </c>
      <c r="ET20" s="53" t="s">
        <v>42</v>
      </c>
      <c r="EU20" s="20" t="s">
        <v>1146</v>
      </c>
      <c r="EV20" s="53">
        <v>0.9</v>
      </c>
      <c r="EW20" s="488">
        <f t="shared" si="39"/>
        <v>1.3316071758831147</v>
      </c>
      <c r="EX20" s="21" t="s">
        <v>46</v>
      </c>
      <c r="EY20" s="57" t="s">
        <v>1147</v>
      </c>
      <c r="EZ20" s="53">
        <v>0.76</v>
      </c>
      <c r="FA20" s="527">
        <f t="shared" si="40"/>
        <v>1.1244682818568523</v>
      </c>
      <c r="FB20" s="40"/>
      <c r="FC20" s="40"/>
      <c r="FD20" s="53">
        <v>0.98</v>
      </c>
      <c r="FE20" s="118">
        <f t="shared" si="41"/>
        <v>1.4499722581838359</v>
      </c>
      <c r="FF20" s="21" t="s">
        <v>48</v>
      </c>
      <c r="FG20" s="64"/>
      <c r="FH20" s="17">
        <v>1.1299999999999999</v>
      </c>
      <c r="FI20" s="528">
        <f t="shared" si="42"/>
        <v>1.6719067874976883</v>
      </c>
      <c r="FJ20" s="17" t="s">
        <v>48</v>
      </c>
      <c r="FK20" s="51" t="s">
        <v>1148</v>
      </c>
      <c r="FL20" s="17">
        <v>0.88</v>
      </c>
      <c r="FM20" s="529">
        <f t="shared" si="43"/>
        <v>1.3020159053079343</v>
      </c>
      <c r="FN20" s="21" t="s">
        <v>48</v>
      </c>
      <c r="FO20" s="51" t="s">
        <v>1089</v>
      </c>
      <c r="FP20" s="17">
        <v>0.45</v>
      </c>
      <c r="FQ20" s="178">
        <f t="shared" si="44"/>
        <v>0.66580358794155736</v>
      </c>
      <c r="FR20" s="17" t="s">
        <v>48</v>
      </c>
      <c r="FS20" s="51" t="s">
        <v>1090</v>
      </c>
      <c r="FT20" s="17">
        <v>0.75</v>
      </c>
      <c r="FU20" s="365">
        <f t="shared" si="45"/>
        <v>1.1096726465692623</v>
      </c>
      <c r="FV20" s="17" t="s">
        <v>46</v>
      </c>
      <c r="FW20" s="274"/>
      <c r="FX20" s="17">
        <v>1.1200000000000001</v>
      </c>
      <c r="FY20" s="43">
        <f t="shared" si="46"/>
        <v>1.6571111522100985</v>
      </c>
      <c r="FZ20" s="17" t="s">
        <v>42</v>
      </c>
      <c r="GA20" s="51" t="s">
        <v>1149</v>
      </c>
      <c r="GB20" s="53">
        <v>0.64</v>
      </c>
      <c r="GC20" s="530">
        <f t="shared" si="47"/>
        <v>0.94692065840577044</v>
      </c>
      <c r="GD20" s="21" t="s">
        <v>42</v>
      </c>
      <c r="GE20" s="63"/>
      <c r="GF20" s="17">
        <v>0.59</v>
      </c>
      <c r="GG20" s="115">
        <f t="shared" si="48"/>
        <v>0.87294248196781954</v>
      </c>
      <c r="GH20" s="17" t="s">
        <v>48</v>
      </c>
      <c r="GI20" s="51" t="s">
        <v>1150</v>
      </c>
      <c r="GJ20" s="17">
        <v>0.89</v>
      </c>
      <c r="GK20" s="531">
        <f t="shared" si="49"/>
        <v>1.3168115405955245</v>
      </c>
      <c r="GL20" s="17" t="s">
        <v>48</v>
      </c>
      <c r="GM20" s="67" t="s">
        <v>1093</v>
      </c>
      <c r="GN20" s="17">
        <v>0.26</v>
      </c>
      <c r="GO20" s="532">
        <f t="shared" si="50"/>
        <v>0.38468651747734428</v>
      </c>
      <c r="GP20" s="17" t="s">
        <v>48</v>
      </c>
      <c r="GQ20" s="51" t="s">
        <v>1151</v>
      </c>
      <c r="GR20" s="17">
        <v>0.46</v>
      </c>
      <c r="GS20" s="312">
        <f t="shared" si="51"/>
        <v>0.68059922322914757</v>
      </c>
      <c r="GT20" s="17" t="s">
        <v>48</v>
      </c>
      <c r="GU20" s="51" t="s">
        <v>1152</v>
      </c>
      <c r="GV20" s="17">
        <v>0.88</v>
      </c>
      <c r="GW20" s="529">
        <f t="shared" si="52"/>
        <v>1.3020159053079343</v>
      </c>
      <c r="GX20" s="17" t="s">
        <v>48</v>
      </c>
      <c r="GY20" s="67" t="s">
        <v>1153</v>
      </c>
      <c r="GZ20" s="17">
        <v>0.55000000000000004</v>
      </c>
      <c r="HA20" s="223">
        <f t="shared" si="53"/>
        <v>0.81375994081745906</v>
      </c>
      <c r="HB20" s="17" t="s">
        <v>42</v>
      </c>
      <c r="HC20" s="20" t="s">
        <v>1154</v>
      </c>
      <c r="HD20" s="17">
        <v>0.55000000000000004</v>
      </c>
      <c r="HE20" s="223">
        <f t="shared" si="54"/>
        <v>0.81375994081745906</v>
      </c>
      <c r="HF20" s="17" t="s">
        <v>46</v>
      </c>
      <c r="HG20" s="20" t="s">
        <v>1155</v>
      </c>
      <c r="HH20" s="17">
        <v>0.79</v>
      </c>
      <c r="HI20" s="337">
        <f t="shared" si="55"/>
        <v>1.1688551877196229</v>
      </c>
      <c r="HJ20" s="17" t="s">
        <v>42</v>
      </c>
      <c r="HK20" s="20" t="s">
        <v>1156</v>
      </c>
      <c r="HL20" s="17">
        <v>0.52</v>
      </c>
      <c r="HM20" s="19">
        <f t="shared" si="56"/>
        <v>0.76937303495468856</v>
      </c>
      <c r="HN20" s="17" t="s">
        <v>48</v>
      </c>
      <c r="HO20" s="20" t="s">
        <v>1100</v>
      </c>
      <c r="HP20" s="17">
        <v>0.48</v>
      </c>
      <c r="HQ20" s="129">
        <f t="shared" si="57"/>
        <v>0.71019049380432786</v>
      </c>
      <c r="HR20" s="17" t="s">
        <v>42</v>
      </c>
      <c r="HS20" s="73" t="s">
        <v>1157</v>
      </c>
      <c r="HT20" s="17">
        <v>0.97</v>
      </c>
      <c r="HU20" s="335">
        <f t="shared" si="58"/>
        <v>1.4351766228962457</v>
      </c>
      <c r="HV20" s="17" t="s">
        <v>48</v>
      </c>
      <c r="HW20" s="75" t="s">
        <v>1158</v>
      </c>
      <c r="HX20" s="17">
        <v>0.75</v>
      </c>
      <c r="HY20" s="365">
        <f t="shared" si="59"/>
        <v>1.1096726465692623</v>
      </c>
      <c r="HZ20" s="21" t="s">
        <v>48</v>
      </c>
      <c r="IA20" s="75" t="s">
        <v>1159</v>
      </c>
      <c r="IB20" s="17">
        <v>0.91</v>
      </c>
      <c r="IC20" s="36">
        <f t="shared" si="60"/>
        <v>1.3464028111707049</v>
      </c>
      <c r="ID20" s="17" t="s">
        <v>42</v>
      </c>
      <c r="IE20" s="51" t="s">
        <v>1160</v>
      </c>
      <c r="IF20" s="17">
        <v>0.65</v>
      </c>
      <c r="IG20" s="55">
        <f t="shared" si="61"/>
        <v>0.96171629369336065</v>
      </c>
      <c r="IH20" s="17" t="s">
        <v>42</v>
      </c>
      <c r="II20" s="67" t="s">
        <v>1161</v>
      </c>
      <c r="IJ20" s="204">
        <v>0.63</v>
      </c>
      <c r="IK20" s="191">
        <f t="shared" si="62"/>
        <v>0.93212502311818024</v>
      </c>
      <c r="IL20" s="17" t="s">
        <v>42</v>
      </c>
      <c r="IM20" s="51" t="s">
        <v>1162</v>
      </c>
      <c r="IN20" s="17">
        <v>0.43</v>
      </c>
      <c r="IO20" s="349">
        <f t="shared" si="63"/>
        <v>0.63621231736637696</v>
      </c>
      <c r="IP20" s="17" t="s">
        <v>48</v>
      </c>
      <c r="IQ20" s="51" t="s">
        <v>1163</v>
      </c>
      <c r="IR20" s="17">
        <v>0.71</v>
      </c>
      <c r="IS20" s="524">
        <f t="shared" si="64"/>
        <v>1.0504901054189015</v>
      </c>
      <c r="IT20" s="17" t="s">
        <v>48</v>
      </c>
      <c r="IU20" s="75" t="s">
        <v>1164</v>
      </c>
      <c r="IV20" s="17">
        <v>0.18</v>
      </c>
      <c r="IW20" s="233">
        <f t="shared" si="65"/>
        <v>0.26632143517662293</v>
      </c>
      <c r="IX20" s="17" t="s">
        <v>42</v>
      </c>
      <c r="IY20" s="51" t="s">
        <v>1165</v>
      </c>
      <c r="IZ20" s="17">
        <v>0.75</v>
      </c>
      <c r="JA20" s="365">
        <f t="shared" si="66"/>
        <v>1.1096726465692623</v>
      </c>
      <c r="JB20" s="17" t="s">
        <v>42</v>
      </c>
      <c r="JC20" s="51" t="s">
        <v>1166</v>
      </c>
      <c r="JD20" s="17">
        <v>0.73</v>
      </c>
      <c r="JE20" s="525">
        <f t="shared" si="67"/>
        <v>1.0800813759940819</v>
      </c>
      <c r="JF20" s="17" t="s">
        <v>42</v>
      </c>
      <c r="JG20" s="51" t="s">
        <v>1167</v>
      </c>
      <c r="JH20" s="17">
        <v>0.59</v>
      </c>
      <c r="JI20" s="115">
        <f t="shared" si="68"/>
        <v>0.87294248196781954</v>
      </c>
      <c r="JJ20" s="17" t="s">
        <v>46</v>
      </c>
      <c r="JK20" s="51" t="s">
        <v>1168</v>
      </c>
      <c r="JL20" s="21">
        <v>0.39</v>
      </c>
      <c r="JM20" s="72">
        <f t="shared" si="69"/>
        <v>0.57702977621601637</v>
      </c>
      <c r="JN20" s="21" t="s">
        <v>48</v>
      </c>
      <c r="JO20" s="75" t="s">
        <v>1169</v>
      </c>
      <c r="JP20" s="21">
        <v>0.48</v>
      </c>
      <c r="JQ20" s="129">
        <f t="shared" si="70"/>
        <v>0.71019049380432786</v>
      </c>
      <c r="JR20" s="21" t="s">
        <v>46</v>
      </c>
      <c r="JS20" s="51" t="s">
        <v>1170</v>
      </c>
      <c r="JT20" s="21">
        <v>0.6</v>
      </c>
      <c r="JU20" s="366">
        <f t="shared" si="71"/>
        <v>0.88773811725540974</v>
      </c>
      <c r="JV20" s="21" t="s">
        <v>42</v>
      </c>
      <c r="JW20" s="75" t="s">
        <v>1171</v>
      </c>
      <c r="JX20" s="17">
        <v>0.82</v>
      </c>
      <c r="JY20" s="361">
        <f t="shared" si="72"/>
        <v>1.2132420935823933</v>
      </c>
      <c r="JZ20" s="51" t="s">
        <v>110</v>
      </c>
      <c r="KA20" s="51" t="s">
        <v>1172</v>
      </c>
      <c r="KB20" s="21">
        <v>1.08</v>
      </c>
      <c r="KC20" s="476">
        <f t="shared" si="73"/>
        <v>1.5979286110597377</v>
      </c>
      <c r="KD20" s="75" t="s">
        <v>48</v>
      </c>
      <c r="KE20" s="75" t="s">
        <v>1173</v>
      </c>
      <c r="KF20" s="17">
        <v>0.69</v>
      </c>
      <c r="KG20" s="533">
        <f t="shared" si="74"/>
        <v>1.0208988348437211</v>
      </c>
      <c r="KH20" s="51" t="s">
        <v>42</v>
      </c>
      <c r="KI20" s="51" t="s">
        <v>1174</v>
      </c>
      <c r="KJ20" s="21">
        <v>0.61</v>
      </c>
      <c r="KK20" s="300">
        <f t="shared" si="75"/>
        <v>0.90253375254299995</v>
      </c>
      <c r="KL20" s="75" t="s">
        <v>70</v>
      </c>
      <c r="KM20" s="75" t="s">
        <v>1116</v>
      </c>
      <c r="KN20" s="17">
        <v>0.63</v>
      </c>
      <c r="KO20" s="191">
        <f t="shared" si="76"/>
        <v>0.93212502311818024</v>
      </c>
      <c r="KP20" s="51" t="s">
        <v>48</v>
      </c>
      <c r="KQ20" s="51" t="s">
        <v>1175</v>
      </c>
      <c r="KR20" s="21">
        <v>0.67</v>
      </c>
      <c r="KS20" s="122">
        <f t="shared" si="77"/>
        <v>0.99130756426854105</v>
      </c>
      <c r="KT20" s="75" t="s">
        <v>46</v>
      </c>
      <c r="KU20" s="75" t="s">
        <v>1176</v>
      </c>
      <c r="KV20" s="82">
        <v>0.6</v>
      </c>
      <c r="KW20" s="366">
        <f t="shared" si="78"/>
        <v>0.88773811725540974</v>
      </c>
      <c r="KX20" s="51" t="s">
        <v>48</v>
      </c>
      <c r="KY20" s="51" t="s">
        <v>1177</v>
      </c>
      <c r="KZ20" s="83">
        <v>0.23</v>
      </c>
      <c r="LA20" s="301">
        <f t="shared" si="79"/>
        <v>0.34029961161457378</v>
      </c>
      <c r="LB20" s="75" t="s">
        <v>42</v>
      </c>
      <c r="LC20" s="75" t="s">
        <v>1178</v>
      </c>
      <c r="LD20" s="82">
        <v>0.51</v>
      </c>
      <c r="LE20" s="302">
        <f t="shared" si="80"/>
        <v>0.75457739966709836</v>
      </c>
      <c r="LF20" s="51" t="s">
        <v>179</v>
      </c>
      <c r="LG20" s="51" t="s">
        <v>1179</v>
      </c>
      <c r="LH20" s="83">
        <v>0.4</v>
      </c>
      <c r="LI20" s="84"/>
      <c r="LJ20" s="85"/>
      <c r="LK20" s="85"/>
      <c r="LL20" s="86">
        <f t="shared" si="81"/>
        <v>0.67417721518987328</v>
      </c>
      <c r="LM20" s="86">
        <f t="shared" si="82"/>
        <v>1.2014645137063467</v>
      </c>
      <c r="LN20" s="86">
        <f t="shared" si="90"/>
        <v>1.0979584623227612</v>
      </c>
      <c r="LO20" s="86">
        <f t="shared" si="94"/>
        <v>1.2378414561704587</v>
      </c>
      <c r="LP20" s="86">
        <f t="shared" si="95"/>
        <v>-5.4923930356456596E-2</v>
      </c>
      <c r="LQ20" s="87">
        <f t="shared" si="96"/>
        <v>0</v>
      </c>
      <c r="LR20" s="86">
        <f t="shared" si="97"/>
        <v>1.1970414445103217</v>
      </c>
      <c r="LS20" s="84">
        <v>1</v>
      </c>
      <c r="LT20" s="87">
        <f t="shared" si="100"/>
        <v>1</v>
      </c>
      <c r="LU20" s="87">
        <f t="shared" si="92"/>
        <v>1</v>
      </c>
      <c r="LV20" s="86">
        <f t="shared" si="98"/>
        <v>0.92</v>
      </c>
      <c r="LW20" s="89" t="s">
        <v>3810</v>
      </c>
      <c r="LX20" s="5" t="str">
        <f t="shared" si="87"/>
        <v/>
      </c>
      <c r="LY20" s="5" t="str">
        <f t="shared" si="88"/>
        <v/>
      </c>
      <c r="LZ20" s="5"/>
      <c r="MA20" s="67" t="str">
        <f t="shared" si="99"/>
        <v>SÃO PAULO</v>
      </c>
      <c r="MB20" s="89" t="s">
        <v>3808</v>
      </c>
    </row>
    <row r="21" spans="1:340" x14ac:dyDescent="0.2">
      <c r="A21" s="16">
        <v>0.76249999999999996</v>
      </c>
      <c r="B21" s="534">
        <f t="shared" si="0"/>
        <v>0.68412500000000009</v>
      </c>
      <c r="C21" s="442">
        <f t="shared" si="1"/>
        <v>0.1839941531152931</v>
      </c>
      <c r="D21" s="17">
        <v>0.81</v>
      </c>
      <c r="E21" s="326">
        <f t="shared" si="2"/>
        <v>1.1839941531152931</v>
      </c>
      <c r="F21" s="17" t="s">
        <v>46</v>
      </c>
      <c r="G21" s="20" t="s">
        <v>1180</v>
      </c>
      <c r="H21" s="21">
        <v>0.8</v>
      </c>
      <c r="I21" s="337">
        <f t="shared" si="3"/>
        <v>1.1693769413484376</v>
      </c>
      <c r="J21" s="21" t="s">
        <v>70</v>
      </c>
      <c r="K21" s="23" t="s">
        <v>1181</v>
      </c>
      <c r="L21" s="17">
        <v>0.78</v>
      </c>
      <c r="M21" s="195">
        <f t="shared" si="4"/>
        <v>1.1401425178147266</v>
      </c>
      <c r="N21" s="17" t="s">
        <v>46</v>
      </c>
      <c r="O21" s="20" t="s">
        <v>1182</v>
      </c>
      <c r="P21" s="21">
        <v>0.78</v>
      </c>
      <c r="Q21" s="195">
        <f t="shared" si="5"/>
        <v>1.1401425178147266</v>
      </c>
      <c r="R21" s="21" t="s">
        <v>108</v>
      </c>
      <c r="S21" s="23" t="s">
        <v>1183</v>
      </c>
      <c r="T21" s="17">
        <v>0.6</v>
      </c>
      <c r="U21" s="145">
        <f t="shared" si="6"/>
        <v>0.87703270601132821</v>
      </c>
      <c r="V21" s="17" t="s">
        <v>42</v>
      </c>
      <c r="W21" s="5"/>
      <c r="X21" s="21">
        <v>0.84</v>
      </c>
      <c r="Y21" s="434">
        <f t="shared" si="7"/>
        <v>1.2278457884158596</v>
      </c>
      <c r="Z21" s="21" t="s">
        <v>108</v>
      </c>
      <c r="AA21" s="28"/>
      <c r="AB21" s="17">
        <v>0.62</v>
      </c>
      <c r="AC21" s="492">
        <f t="shared" si="8"/>
        <v>0.90626712954503919</v>
      </c>
      <c r="AD21" s="17" t="s">
        <v>48</v>
      </c>
      <c r="AE21" s="20" t="s">
        <v>1184</v>
      </c>
      <c r="AF21" s="21">
        <v>0.92</v>
      </c>
      <c r="AG21" s="430">
        <f t="shared" si="9"/>
        <v>1.3447834825507032</v>
      </c>
      <c r="AH21" s="21" t="s">
        <v>70</v>
      </c>
      <c r="AI21" s="23" t="s">
        <v>1185</v>
      </c>
      <c r="AJ21" s="17">
        <v>0.96</v>
      </c>
      <c r="AK21" s="105">
        <f t="shared" si="10"/>
        <v>1.4032523296181252</v>
      </c>
      <c r="AL21" s="17" t="s">
        <v>48</v>
      </c>
      <c r="AM21" s="20" t="s">
        <v>1186</v>
      </c>
      <c r="AN21" s="21">
        <v>1.03</v>
      </c>
      <c r="AO21" s="343">
        <f t="shared" si="11"/>
        <v>1.5055728119861136</v>
      </c>
      <c r="AP21" s="21" t="s">
        <v>48</v>
      </c>
      <c r="AQ21" s="23" t="s">
        <v>1187</v>
      </c>
      <c r="AR21" s="17">
        <v>0.72</v>
      </c>
      <c r="AS21" s="535">
        <f t="shared" si="12"/>
        <v>1.0524392472135937</v>
      </c>
      <c r="AT21" s="17" t="s">
        <v>48</v>
      </c>
      <c r="AU21" s="20" t="s">
        <v>1188</v>
      </c>
      <c r="AV21" s="21">
        <v>0.9</v>
      </c>
      <c r="AW21" s="369">
        <f t="shared" si="13"/>
        <v>1.3155490590169923</v>
      </c>
      <c r="AX21" s="21" t="s">
        <v>48</v>
      </c>
      <c r="AY21" s="23" t="s">
        <v>1189</v>
      </c>
      <c r="AZ21" s="17">
        <v>0.82</v>
      </c>
      <c r="BA21" s="386">
        <f t="shared" si="14"/>
        <v>1.1986113648821486</v>
      </c>
      <c r="BB21" s="17" t="s">
        <v>46</v>
      </c>
      <c r="BC21" s="20" t="s">
        <v>1190</v>
      </c>
      <c r="BD21" s="17">
        <v>0.84</v>
      </c>
      <c r="BE21" s="434">
        <f t="shared" si="15"/>
        <v>1.2278457884158596</v>
      </c>
      <c r="BF21" s="17" t="s">
        <v>42</v>
      </c>
      <c r="BG21" s="20" t="s">
        <v>1191</v>
      </c>
      <c r="BH21" s="37">
        <v>1.26</v>
      </c>
      <c r="BI21" s="536">
        <f t="shared" si="16"/>
        <v>1.8417686826237893</v>
      </c>
      <c r="BJ21" s="37" t="s">
        <v>42</v>
      </c>
      <c r="BK21" s="38" t="s">
        <v>1192</v>
      </c>
      <c r="BL21" s="17">
        <v>0.69</v>
      </c>
      <c r="BM21" s="537">
        <f t="shared" si="17"/>
        <v>1.0085876119130275</v>
      </c>
      <c r="BN21" s="17" t="s">
        <v>42</v>
      </c>
      <c r="BO21" s="40"/>
      <c r="BP21" s="538">
        <v>0.71</v>
      </c>
      <c r="BQ21" s="539">
        <f t="shared" si="18"/>
        <v>1.0378220354467382</v>
      </c>
      <c r="BR21" s="538" t="s">
        <v>42</v>
      </c>
      <c r="BS21" s="41"/>
      <c r="BT21" s="37">
        <v>0.81</v>
      </c>
      <c r="BU21" s="326">
        <f t="shared" si="19"/>
        <v>1.1839941531152931</v>
      </c>
      <c r="BV21" s="21" t="s">
        <v>70</v>
      </c>
      <c r="BW21" s="23" t="s">
        <v>1193</v>
      </c>
      <c r="BX21" s="17">
        <v>0.44</v>
      </c>
      <c r="BY21" s="256">
        <f t="shared" si="20"/>
        <v>0.64315731774164064</v>
      </c>
      <c r="BZ21" s="17" t="s">
        <v>48</v>
      </c>
      <c r="CA21" s="20" t="s">
        <v>1194</v>
      </c>
      <c r="CB21" s="37">
        <v>0.71</v>
      </c>
      <c r="CC21" s="206">
        <f t="shared" si="21"/>
        <v>1.0378220354467382</v>
      </c>
      <c r="CD21" s="21" t="s">
        <v>46</v>
      </c>
      <c r="CE21" s="23" t="s">
        <v>1195</v>
      </c>
      <c r="CF21" s="17">
        <v>0.39</v>
      </c>
      <c r="CG21" s="165">
        <f t="shared" si="22"/>
        <v>0.57007125890736332</v>
      </c>
      <c r="CH21" s="17" t="s">
        <v>48</v>
      </c>
      <c r="CI21" s="20" t="s">
        <v>1196</v>
      </c>
      <c r="CJ21" s="37">
        <v>0.18</v>
      </c>
      <c r="CK21" s="233">
        <f t="shared" si="23"/>
        <v>0.26310981180339843</v>
      </c>
      <c r="CL21" s="46" t="s">
        <v>48</v>
      </c>
      <c r="CM21" s="23" t="s">
        <v>1197</v>
      </c>
      <c r="CN21" s="17">
        <v>0.71</v>
      </c>
      <c r="CO21" s="206">
        <f t="shared" si="24"/>
        <v>1.0378220354467382</v>
      </c>
      <c r="CP21" s="17" t="s">
        <v>48</v>
      </c>
      <c r="CQ21" s="20" t="s">
        <v>1198</v>
      </c>
      <c r="CR21" s="37">
        <v>0.45</v>
      </c>
      <c r="CS21" s="163">
        <f t="shared" si="25"/>
        <v>0.65777452950849613</v>
      </c>
      <c r="CT21" s="21" t="s">
        <v>46</v>
      </c>
      <c r="CU21" s="23" t="s">
        <v>1199</v>
      </c>
      <c r="CV21" s="17">
        <v>0.71</v>
      </c>
      <c r="CW21" s="206">
        <f t="shared" si="26"/>
        <v>1.0378220354467382</v>
      </c>
      <c r="CX21" s="17" t="s">
        <v>42</v>
      </c>
      <c r="CY21" s="20" t="s">
        <v>1200</v>
      </c>
      <c r="CZ21" s="37">
        <v>0.39</v>
      </c>
      <c r="DA21" s="165">
        <f t="shared" si="27"/>
        <v>0.57007125890736332</v>
      </c>
      <c r="DB21" s="21" t="s">
        <v>42</v>
      </c>
      <c r="DC21" s="23" t="s">
        <v>1201</v>
      </c>
      <c r="DD21" s="17">
        <v>0.5</v>
      </c>
      <c r="DE21" s="540">
        <f t="shared" si="28"/>
        <v>0.73086058834277356</v>
      </c>
      <c r="DF21" s="17" t="s">
        <v>70</v>
      </c>
      <c r="DG21" s="20" t="s">
        <v>1079</v>
      </c>
      <c r="DH21" s="37">
        <v>1.1100000000000001</v>
      </c>
      <c r="DI21" s="412">
        <f t="shared" si="29"/>
        <v>1.6225105061209573</v>
      </c>
      <c r="DJ21" s="21" t="s">
        <v>48</v>
      </c>
      <c r="DK21" s="28"/>
      <c r="DL21" s="17">
        <v>0.34</v>
      </c>
      <c r="DM21" s="210">
        <f t="shared" si="30"/>
        <v>0.49698520007308605</v>
      </c>
      <c r="DN21" s="17" t="s">
        <v>70</v>
      </c>
      <c r="DO21" s="51" t="s">
        <v>1141</v>
      </c>
      <c r="DP21" s="21">
        <v>0.91</v>
      </c>
      <c r="DQ21" s="488">
        <f t="shared" si="31"/>
        <v>1.3301662707838477</v>
      </c>
      <c r="DR21" s="53" t="s">
        <v>46</v>
      </c>
      <c r="DS21" s="54" t="s">
        <v>1202</v>
      </c>
      <c r="DT21" s="53">
        <v>0.51</v>
      </c>
      <c r="DU21" s="541">
        <f t="shared" si="32"/>
        <v>0.74547780010962905</v>
      </c>
      <c r="DV21" s="56" t="s">
        <v>42</v>
      </c>
      <c r="DW21" s="57" t="s">
        <v>1203</v>
      </c>
      <c r="DX21" s="53">
        <v>0.52</v>
      </c>
      <c r="DY21" s="96">
        <f t="shared" si="33"/>
        <v>0.76009501187648443</v>
      </c>
      <c r="DZ21" s="53" t="s">
        <v>46</v>
      </c>
      <c r="EA21" s="54" t="s">
        <v>1203</v>
      </c>
      <c r="EB21" s="56">
        <v>0.5</v>
      </c>
      <c r="EC21" s="540">
        <f t="shared" si="34"/>
        <v>0.73086058834277356</v>
      </c>
      <c r="ED21" s="56" t="s">
        <v>70</v>
      </c>
      <c r="EE21" s="57" t="s">
        <v>1204</v>
      </c>
      <c r="EF21" s="53">
        <v>0.37</v>
      </c>
      <c r="EG21" s="189">
        <f t="shared" si="35"/>
        <v>0.54083683537365235</v>
      </c>
      <c r="EH21" s="53" t="s">
        <v>48</v>
      </c>
      <c r="EI21" s="57" t="s">
        <v>1205</v>
      </c>
      <c r="EJ21" s="53">
        <v>0.88</v>
      </c>
      <c r="EK21" s="542">
        <f t="shared" si="36"/>
        <v>1.2863146354832813</v>
      </c>
      <c r="EL21" s="56" t="s">
        <v>46</v>
      </c>
      <c r="EM21" s="57" t="s">
        <v>1206</v>
      </c>
      <c r="EN21" s="53">
        <v>0.96</v>
      </c>
      <c r="EO21" s="105">
        <f t="shared" si="37"/>
        <v>1.4032523296181252</v>
      </c>
      <c r="EP21" s="53" t="s">
        <v>42</v>
      </c>
      <c r="EQ21" s="23" t="s">
        <v>1207</v>
      </c>
      <c r="ER21" s="53">
        <v>0.42</v>
      </c>
      <c r="ES21" s="157">
        <f t="shared" si="38"/>
        <v>0.61392289420792978</v>
      </c>
      <c r="ET21" s="53" t="s">
        <v>42</v>
      </c>
      <c r="EU21" s="20" t="s">
        <v>1208</v>
      </c>
      <c r="EV21" s="53">
        <v>0.9</v>
      </c>
      <c r="EW21" s="369">
        <f t="shared" si="39"/>
        <v>1.3155490590169923</v>
      </c>
      <c r="EX21" s="21" t="s">
        <v>48</v>
      </c>
      <c r="EY21" s="57" t="s">
        <v>1209</v>
      </c>
      <c r="EZ21" s="53">
        <v>0.78</v>
      </c>
      <c r="FA21" s="195">
        <f t="shared" si="40"/>
        <v>1.1401425178147266</v>
      </c>
      <c r="FB21" s="40"/>
      <c r="FC21" s="40"/>
      <c r="FD21" s="53">
        <v>0.98</v>
      </c>
      <c r="FE21" s="286">
        <f t="shared" si="41"/>
        <v>1.4324867531518362</v>
      </c>
      <c r="FF21" s="21" t="s">
        <v>48</v>
      </c>
      <c r="FG21" s="64"/>
      <c r="FH21" s="17">
        <v>1.06</v>
      </c>
      <c r="FI21" s="447">
        <f t="shared" si="42"/>
        <v>1.5494244472866798</v>
      </c>
      <c r="FJ21" s="17" t="s">
        <v>48</v>
      </c>
      <c r="FK21" s="51" t="s">
        <v>1210</v>
      </c>
      <c r="FL21" s="17">
        <v>0.88</v>
      </c>
      <c r="FM21" s="542">
        <f t="shared" si="43"/>
        <v>1.2863146354832813</v>
      </c>
      <c r="FN21" s="21" t="s">
        <v>46</v>
      </c>
      <c r="FO21" s="51" t="s">
        <v>1211</v>
      </c>
      <c r="FP21" s="17">
        <v>0.45</v>
      </c>
      <c r="FQ21" s="163">
        <f t="shared" si="44"/>
        <v>0.65777452950849613</v>
      </c>
      <c r="FR21" s="17" t="s">
        <v>48</v>
      </c>
      <c r="FS21" s="51" t="s">
        <v>1212</v>
      </c>
      <c r="FT21" s="17">
        <v>0.82</v>
      </c>
      <c r="FU21" s="386">
        <f t="shared" si="45"/>
        <v>1.1986113648821486</v>
      </c>
      <c r="FV21" s="17" t="s">
        <v>856</v>
      </c>
      <c r="FW21" s="51" t="s">
        <v>1213</v>
      </c>
      <c r="FX21" s="17">
        <v>1.2</v>
      </c>
      <c r="FY21" s="543">
        <f t="shared" si="46"/>
        <v>1.7540654120226564</v>
      </c>
      <c r="FZ21" s="17" t="s">
        <v>42</v>
      </c>
      <c r="GA21" s="51" t="s">
        <v>1214</v>
      </c>
      <c r="GB21" s="53">
        <v>0.57999999999999996</v>
      </c>
      <c r="GC21" s="288">
        <f t="shared" si="47"/>
        <v>0.84779828247761724</v>
      </c>
      <c r="GD21" s="21" t="s">
        <v>48</v>
      </c>
      <c r="GE21" s="63"/>
      <c r="GF21" s="17">
        <v>0.59</v>
      </c>
      <c r="GG21" s="324">
        <f t="shared" si="48"/>
        <v>0.86241549424447272</v>
      </c>
      <c r="GH21" s="17" t="s">
        <v>48</v>
      </c>
      <c r="GI21" s="51" t="s">
        <v>1215</v>
      </c>
      <c r="GJ21" s="17">
        <v>0.89</v>
      </c>
      <c r="GK21" s="220">
        <f t="shared" si="49"/>
        <v>1.3009318472501368</v>
      </c>
      <c r="GL21" s="17" t="s">
        <v>48</v>
      </c>
      <c r="GM21" s="67" t="s">
        <v>1216</v>
      </c>
      <c r="GN21" s="17">
        <v>0.26</v>
      </c>
      <c r="GO21" s="295">
        <f t="shared" si="50"/>
        <v>0.38004750593824221</v>
      </c>
      <c r="GP21" s="17" t="s">
        <v>48</v>
      </c>
      <c r="GQ21" s="51" t="s">
        <v>1217</v>
      </c>
      <c r="GR21" s="17">
        <v>0.46</v>
      </c>
      <c r="GS21" s="66">
        <f t="shared" si="51"/>
        <v>0.67239174127535162</v>
      </c>
      <c r="GT21" s="17" t="s">
        <v>48</v>
      </c>
      <c r="GU21" s="51" t="s">
        <v>1218</v>
      </c>
      <c r="GV21" s="17">
        <v>0.95</v>
      </c>
      <c r="GW21" s="179">
        <f t="shared" si="52"/>
        <v>1.3886351178512697</v>
      </c>
      <c r="GX21" s="17" t="s">
        <v>48</v>
      </c>
      <c r="GY21" s="67" t="s">
        <v>1219</v>
      </c>
      <c r="GZ21" s="17">
        <v>0.49</v>
      </c>
      <c r="HA21" s="291">
        <f t="shared" si="53"/>
        <v>0.71624337657591808</v>
      </c>
      <c r="HB21" s="17" t="s">
        <v>42</v>
      </c>
      <c r="HC21" s="20" t="s">
        <v>1220</v>
      </c>
      <c r="HD21" s="17">
        <v>0.61</v>
      </c>
      <c r="HE21" s="199">
        <f t="shared" si="54"/>
        <v>0.8916499177781837</v>
      </c>
      <c r="HF21" s="17" t="s">
        <v>179</v>
      </c>
      <c r="HG21" s="20" t="s">
        <v>1221</v>
      </c>
      <c r="HH21" s="17">
        <v>0.85</v>
      </c>
      <c r="HI21" s="106">
        <f t="shared" si="55"/>
        <v>1.242463000182715</v>
      </c>
      <c r="HJ21" s="17" t="s">
        <v>42</v>
      </c>
      <c r="HK21" s="20" t="s">
        <v>1222</v>
      </c>
      <c r="HL21" s="17">
        <v>0.52</v>
      </c>
      <c r="HM21" s="96">
        <f t="shared" si="56"/>
        <v>0.76009501187648443</v>
      </c>
      <c r="HN21" s="17" t="s">
        <v>42</v>
      </c>
      <c r="HO21" s="20" t="s">
        <v>1223</v>
      </c>
      <c r="HP21" s="17">
        <v>0.48</v>
      </c>
      <c r="HQ21" s="154">
        <f t="shared" si="57"/>
        <v>0.70162616480906259</v>
      </c>
      <c r="HR21" s="17" t="s">
        <v>42</v>
      </c>
      <c r="HS21" s="73" t="s">
        <v>1224</v>
      </c>
      <c r="HT21" s="17">
        <v>0.97</v>
      </c>
      <c r="HU21" s="52">
        <f t="shared" si="58"/>
        <v>1.4178695413849807</v>
      </c>
      <c r="HV21" s="17" t="s">
        <v>48</v>
      </c>
      <c r="HW21" s="75" t="s">
        <v>1225</v>
      </c>
      <c r="HX21" s="17">
        <v>0.75</v>
      </c>
      <c r="HY21" s="385">
        <f t="shared" si="59"/>
        <v>1.0962908825141602</v>
      </c>
      <c r="HZ21" s="21" t="s">
        <v>48</v>
      </c>
      <c r="IA21" s="75" t="s">
        <v>1226</v>
      </c>
      <c r="IB21" s="17">
        <v>0.85</v>
      </c>
      <c r="IC21" s="106">
        <f t="shared" si="60"/>
        <v>1.242463000182715</v>
      </c>
      <c r="ID21" s="17" t="s">
        <v>42</v>
      </c>
      <c r="IE21" s="51" t="s">
        <v>1227</v>
      </c>
      <c r="IF21" s="17">
        <v>0.71</v>
      </c>
      <c r="IG21" s="206">
        <f t="shared" si="61"/>
        <v>1.0378220354467382</v>
      </c>
      <c r="IH21" s="17" t="s">
        <v>42</v>
      </c>
      <c r="II21" s="67" t="s">
        <v>1228</v>
      </c>
      <c r="IJ21" s="204">
        <v>0.7</v>
      </c>
      <c r="IK21" s="368">
        <f t="shared" si="62"/>
        <v>1.0232048236798827</v>
      </c>
      <c r="IL21" s="17" t="s">
        <v>42</v>
      </c>
      <c r="IM21" s="51" t="s">
        <v>1229</v>
      </c>
      <c r="IN21" s="17">
        <v>0.43</v>
      </c>
      <c r="IO21" s="215">
        <f t="shared" si="63"/>
        <v>0.62854010597478527</v>
      </c>
      <c r="IP21" s="17" t="s">
        <v>48</v>
      </c>
      <c r="IQ21" s="51" t="s">
        <v>1230</v>
      </c>
      <c r="IR21" s="17">
        <v>0.66</v>
      </c>
      <c r="IS21" s="433">
        <f t="shared" si="64"/>
        <v>0.96473597661246113</v>
      </c>
      <c r="IT21" s="17" t="s">
        <v>48</v>
      </c>
      <c r="IU21" s="75" t="s">
        <v>1231</v>
      </c>
      <c r="IV21" s="17">
        <v>0.12</v>
      </c>
      <c r="IW21" s="544">
        <f t="shared" si="65"/>
        <v>0.17540654120226565</v>
      </c>
      <c r="IX21" s="17" t="s">
        <v>42</v>
      </c>
      <c r="IY21" s="51" t="s">
        <v>1232</v>
      </c>
      <c r="IZ21" s="17">
        <v>0.75</v>
      </c>
      <c r="JA21" s="385">
        <f t="shared" si="66"/>
        <v>1.0962908825141602</v>
      </c>
      <c r="JB21" s="17" t="s">
        <v>42</v>
      </c>
      <c r="JC21" s="51" t="s">
        <v>1233</v>
      </c>
      <c r="JD21" s="17">
        <v>0.73</v>
      </c>
      <c r="JE21" s="404">
        <f t="shared" si="67"/>
        <v>1.0670564589804492</v>
      </c>
      <c r="JF21" s="17" t="s">
        <v>42</v>
      </c>
      <c r="JG21" s="51" t="s">
        <v>1234</v>
      </c>
      <c r="JH21" s="17">
        <v>0.59</v>
      </c>
      <c r="JI21" s="324">
        <f t="shared" si="68"/>
        <v>0.86241549424447272</v>
      </c>
      <c r="JJ21" s="17" t="s">
        <v>46</v>
      </c>
      <c r="JK21" s="51" t="s">
        <v>1235</v>
      </c>
      <c r="JL21" s="21">
        <v>0.46</v>
      </c>
      <c r="JM21" s="66">
        <f t="shared" si="69"/>
        <v>0.67239174127535162</v>
      </c>
      <c r="JN21" s="21" t="s">
        <v>48</v>
      </c>
      <c r="JO21" s="75" t="s">
        <v>1236</v>
      </c>
      <c r="JP21" s="21">
        <v>0.54</v>
      </c>
      <c r="JQ21" s="545">
        <f t="shared" si="70"/>
        <v>0.7893294354101954</v>
      </c>
      <c r="JR21" s="21" t="s">
        <v>46</v>
      </c>
      <c r="JS21" s="51" t="s">
        <v>1237</v>
      </c>
      <c r="JT21" s="21">
        <v>0.6</v>
      </c>
      <c r="JU21" s="145">
        <f t="shared" si="71"/>
        <v>0.87703270601132821</v>
      </c>
      <c r="JV21" s="21" t="s">
        <v>42</v>
      </c>
      <c r="JW21" s="75" t="s">
        <v>1238</v>
      </c>
      <c r="JX21" s="17">
        <v>0.75</v>
      </c>
      <c r="JY21" s="385">
        <f t="shared" si="72"/>
        <v>1.0962908825141602</v>
      </c>
      <c r="JZ21" s="51" t="s">
        <v>42</v>
      </c>
      <c r="KA21" s="51" t="s">
        <v>1239</v>
      </c>
      <c r="KB21" s="21">
        <v>1.08</v>
      </c>
      <c r="KC21" s="546">
        <f t="shared" si="73"/>
        <v>1.5786588708203908</v>
      </c>
      <c r="KD21" s="75" t="s">
        <v>48</v>
      </c>
      <c r="KE21" s="75" t="s">
        <v>1240</v>
      </c>
      <c r="KF21" s="17">
        <v>0.69</v>
      </c>
      <c r="KG21" s="362">
        <f t="shared" si="74"/>
        <v>1.0085876119130275</v>
      </c>
      <c r="KH21" s="51" t="s">
        <v>42</v>
      </c>
      <c r="KI21" s="51" t="s">
        <v>1241</v>
      </c>
      <c r="KJ21" s="21">
        <v>0.61</v>
      </c>
      <c r="KK21" s="199">
        <f t="shared" si="75"/>
        <v>0.8916499177781837</v>
      </c>
      <c r="KL21" s="75" t="s">
        <v>70</v>
      </c>
      <c r="KM21" s="75" t="s">
        <v>1242</v>
      </c>
      <c r="KN21" s="17">
        <v>0.56999999999999995</v>
      </c>
      <c r="KO21" s="514">
        <f t="shared" si="76"/>
        <v>0.83318107071076175</v>
      </c>
      <c r="KP21" s="51" t="s">
        <v>46</v>
      </c>
      <c r="KQ21" s="51" t="s">
        <v>1243</v>
      </c>
      <c r="KR21" s="21">
        <v>0.73</v>
      </c>
      <c r="KS21" s="404">
        <f t="shared" si="77"/>
        <v>1.0670564589804492</v>
      </c>
      <c r="KT21" s="75" t="s">
        <v>46</v>
      </c>
      <c r="KU21" s="75" t="s">
        <v>1244</v>
      </c>
      <c r="KV21" s="82">
        <v>0.6</v>
      </c>
      <c r="KW21" s="145">
        <f t="shared" si="78"/>
        <v>0.87703270601132821</v>
      </c>
      <c r="KX21" s="51" t="s">
        <v>110</v>
      </c>
      <c r="KY21" s="51" t="s">
        <v>1245</v>
      </c>
      <c r="KZ21" s="83">
        <v>0.23</v>
      </c>
      <c r="LA21" s="70">
        <f t="shared" si="79"/>
        <v>0.33619587063767581</v>
      </c>
      <c r="LB21" s="75" t="s">
        <v>42</v>
      </c>
      <c r="LC21" s="75" t="s">
        <v>1246</v>
      </c>
      <c r="LD21" s="82">
        <v>0.56999999999999995</v>
      </c>
      <c r="LE21" s="514">
        <f t="shared" si="80"/>
        <v>0.83318107071076175</v>
      </c>
      <c r="LF21" s="51" t="s">
        <v>179</v>
      </c>
      <c r="LG21" s="51" t="s">
        <v>1247</v>
      </c>
      <c r="LH21" s="83">
        <v>0.4</v>
      </c>
      <c r="LI21" s="84"/>
      <c r="LJ21" s="85"/>
      <c r="LK21" s="85"/>
      <c r="LL21" s="86">
        <f t="shared" si="81"/>
        <v>0.68253164556962032</v>
      </c>
      <c r="LM21" s="86">
        <f t="shared" si="82"/>
        <v>1.1867581602373887</v>
      </c>
      <c r="LN21" s="86">
        <f t="shared" si="90"/>
        <v>1.1037087985107383</v>
      </c>
      <c r="LO21" s="86">
        <f t="shared" si="94"/>
        <v>1.2161504803384826</v>
      </c>
      <c r="LP21" s="86">
        <f t="shared" si="95"/>
        <v>-5.3250594492978864E-2</v>
      </c>
      <c r="LQ21" s="87">
        <f t="shared" si="96"/>
        <v>0</v>
      </c>
      <c r="LR21" s="86">
        <f t="shared" si="97"/>
        <v>1.1827373614725598</v>
      </c>
      <c r="LS21" s="84">
        <v>1</v>
      </c>
      <c r="LT21" s="87">
        <f t="shared" si="100"/>
        <v>0</v>
      </c>
      <c r="LU21" s="87">
        <f t="shared" si="92"/>
        <v>2</v>
      </c>
      <c r="LV21" s="86">
        <f t="shared" si="98"/>
        <v>0.96</v>
      </c>
      <c r="LW21" s="89" t="s">
        <v>3811</v>
      </c>
      <c r="LX21" s="5" t="str">
        <f t="shared" si="87"/>
        <v/>
      </c>
      <c r="LY21" s="5" t="str">
        <f t="shared" si="88"/>
        <v/>
      </c>
      <c r="LZ21" s="5"/>
      <c r="MA21" s="67" t="str">
        <f t="shared" si="99"/>
        <v>SÃO PAULO</v>
      </c>
      <c r="MB21" s="89" t="s">
        <v>3808</v>
      </c>
    </row>
    <row r="22" spans="1:340" x14ac:dyDescent="0.2">
      <c r="A22" s="16">
        <v>0.7631944444444444</v>
      </c>
      <c r="B22" s="547">
        <f t="shared" si="0"/>
        <v>0.6927500000000002</v>
      </c>
      <c r="C22" s="548">
        <f t="shared" si="1"/>
        <v>0.16925297726452526</v>
      </c>
      <c r="D22" s="17">
        <v>0.81</v>
      </c>
      <c r="E22" s="337">
        <f t="shared" si="2"/>
        <v>1.1692529772645253</v>
      </c>
      <c r="F22" s="17" t="s">
        <v>46</v>
      </c>
      <c r="G22" s="20" t="s">
        <v>1248</v>
      </c>
      <c r="H22" s="21">
        <v>0.75</v>
      </c>
      <c r="I22" s="27">
        <f t="shared" si="3"/>
        <v>1.082641645615301</v>
      </c>
      <c r="J22" s="21" t="s">
        <v>70</v>
      </c>
      <c r="K22" s="23" t="s">
        <v>1249</v>
      </c>
      <c r="L22" s="17">
        <v>0.91</v>
      </c>
      <c r="M22" s="459">
        <f t="shared" si="4"/>
        <v>1.3136051966798987</v>
      </c>
      <c r="N22" s="17" t="s">
        <v>48</v>
      </c>
      <c r="O22" s="20" t="s">
        <v>1250</v>
      </c>
      <c r="P22" s="21">
        <v>0.78</v>
      </c>
      <c r="Q22" s="367">
        <f t="shared" si="5"/>
        <v>1.125947311439913</v>
      </c>
      <c r="R22" s="21" t="s">
        <v>48</v>
      </c>
      <c r="S22" s="23" t="s">
        <v>1251</v>
      </c>
      <c r="T22" s="17">
        <v>0.6</v>
      </c>
      <c r="U22" s="461">
        <f t="shared" si="6"/>
        <v>0.86611331649224077</v>
      </c>
      <c r="V22" s="17" t="s">
        <v>42</v>
      </c>
      <c r="W22" s="5"/>
      <c r="X22" s="21">
        <v>0.92</v>
      </c>
      <c r="Y22" s="451">
        <f t="shared" si="7"/>
        <v>1.3280404186214361</v>
      </c>
      <c r="Z22" s="21" t="s">
        <v>48</v>
      </c>
      <c r="AA22" s="28"/>
      <c r="AB22" s="17">
        <v>0.62</v>
      </c>
      <c r="AC22" s="108">
        <f t="shared" si="8"/>
        <v>0.89498376037531546</v>
      </c>
      <c r="AD22" s="17" t="s">
        <v>48</v>
      </c>
      <c r="AE22" s="20" t="s">
        <v>1252</v>
      </c>
      <c r="AF22" s="21">
        <v>0.85</v>
      </c>
      <c r="AG22" s="434">
        <f t="shared" si="9"/>
        <v>1.2269938650306744</v>
      </c>
      <c r="AH22" s="21" t="s">
        <v>48</v>
      </c>
      <c r="AI22" s="23" t="s">
        <v>1253</v>
      </c>
      <c r="AJ22" s="17">
        <v>0.96</v>
      </c>
      <c r="AK22" s="252">
        <f t="shared" si="10"/>
        <v>1.3857813063875852</v>
      </c>
      <c r="AL22" s="17" t="s">
        <v>48</v>
      </c>
      <c r="AM22" s="20" t="s">
        <v>1254</v>
      </c>
      <c r="AN22" s="21">
        <v>0.96</v>
      </c>
      <c r="AO22" s="252">
        <f t="shared" si="11"/>
        <v>1.3857813063875852</v>
      </c>
      <c r="AP22" s="21" t="s">
        <v>42</v>
      </c>
      <c r="AQ22" s="23" t="s">
        <v>1255</v>
      </c>
      <c r="AR22" s="17">
        <v>0.72</v>
      </c>
      <c r="AS22" s="206">
        <f t="shared" si="12"/>
        <v>1.0393359797906889</v>
      </c>
      <c r="AT22" s="17" t="s">
        <v>48</v>
      </c>
      <c r="AU22" s="20" t="s">
        <v>1256</v>
      </c>
      <c r="AV22" s="21">
        <v>0.9</v>
      </c>
      <c r="AW22" s="360">
        <f t="shared" si="13"/>
        <v>1.2991699747383612</v>
      </c>
      <c r="AX22" s="21" t="s">
        <v>48</v>
      </c>
      <c r="AY22" s="23" t="s">
        <v>1257</v>
      </c>
      <c r="AZ22" s="17">
        <v>0.94</v>
      </c>
      <c r="BA22" s="104">
        <f t="shared" si="14"/>
        <v>1.3569108625045105</v>
      </c>
      <c r="BB22" s="17" t="s">
        <v>46</v>
      </c>
      <c r="BC22" s="20" t="s">
        <v>1258</v>
      </c>
      <c r="BD22" s="17">
        <v>0.92</v>
      </c>
      <c r="BE22" s="451">
        <f t="shared" si="15"/>
        <v>1.3280404186214361</v>
      </c>
      <c r="BF22" s="17" t="s">
        <v>42</v>
      </c>
      <c r="BG22" s="20" t="s">
        <v>1259</v>
      </c>
      <c r="BH22" s="37">
        <v>1.32</v>
      </c>
      <c r="BI22" s="549">
        <f t="shared" si="16"/>
        <v>1.9054492962829299</v>
      </c>
      <c r="BJ22" s="37" t="s">
        <v>42</v>
      </c>
      <c r="BK22" s="38" t="s">
        <v>1260</v>
      </c>
      <c r="BL22" s="17">
        <v>0.69</v>
      </c>
      <c r="BM22" s="550">
        <f t="shared" si="17"/>
        <v>0.99603031396607689</v>
      </c>
      <c r="BN22" s="17" t="s">
        <v>42</v>
      </c>
      <c r="BO22" s="40"/>
      <c r="BP22" s="538">
        <v>0.65</v>
      </c>
      <c r="BQ22" s="551">
        <f t="shared" si="18"/>
        <v>0.93828942619992761</v>
      </c>
      <c r="BR22" s="538" t="s">
        <v>42</v>
      </c>
      <c r="BS22" s="41"/>
      <c r="BT22" s="37">
        <v>0.81</v>
      </c>
      <c r="BU22" s="337">
        <f t="shared" si="19"/>
        <v>1.1692529772645253</v>
      </c>
      <c r="BV22" s="21" t="s">
        <v>70</v>
      </c>
      <c r="BW22" s="23" t="s">
        <v>1261</v>
      </c>
      <c r="BX22" s="17">
        <v>0.44</v>
      </c>
      <c r="BY22" s="382">
        <f t="shared" si="20"/>
        <v>0.63514976542764323</v>
      </c>
      <c r="BZ22" s="17" t="s">
        <v>48</v>
      </c>
      <c r="CA22" s="20" t="s">
        <v>1262</v>
      </c>
      <c r="CB22" s="37">
        <v>0.71</v>
      </c>
      <c r="CC22" s="368">
        <f t="shared" si="21"/>
        <v>1.0249007578491516</v>
      </c>
      <c r="CD22" s="46" t="s">
        <v>70</v>
      </c>
      <c r="CE22" s="23" t="s">
        <v>1263</v>
      </c>
      <c r="CF22" s="17">
        <v>0.34</v>
      </c>
      <c r="CG22" s="304">
        <f t="shared" si="22"/>
        <v>0.49079754601226983</v>
      </c>
      <c r="CH22" s="17" t="s">
        <v>48</v>
      </c>
      <c r="CI22" s="20" t="s">
        <v>1264</v>
      </c>
      <c r="CJ22" s="37">
        <v>0.18</v>
      </c>
      <c r="CK22" s="552">
        <f t="shared" si="23"/>
        <v>0.25983399494767223</v>
      </c>
      <c r="CL22" s="46" t="s">
        <v>179</v>
      </c>
      <c r="CM22" s="23" t="s">
        <v>1265</v>
      </c>
      <c r="CN22" s="17">
        <v>0.71</v>
      </c>
      <c r="CO22" s="368">
        <f t="shared" si="24"/>
        <v>1.0249007578491516</v>
      </c>
      <c r="CP22" s="17" t="s">
        <v>48</v>
      </c>
      <c r="CQ22" s="20" t="s">
        <v>1266</v>
      </c>
      <c r="CR22" s="37">
        <v>0.45</v>
      </c>
      <c r="CS22" s="240">
        <f t="shared" si="25"/>
        <v>0.64958498736918058</v>
      </c>
      <c r="CT22" s="21" t="s">
        <v>46</v>
      </c>
      <c r="CU22" s="23" t="s">
        <v>1199</v>
      </c>
      <c r="CV22" s="17">
        <v>0.71</v>
      </c>
      <c r="CW22" s="368">
        <f t="shared" si="26"/>
        <v>1.0249007578491516</v>
      </c>
      <c r="CX22" s="17" t="s">
        <v>42</v>
      </c>
      <c r="CY22" s="20" t="s">
        <v>1267</v>
      </c>
      <c r="CZ22" s="37">
        <v>0.46</v>
      </c>
      <c r="DA22" s="178">
        <f t="shared" si="27"/>
        <v>0.66402020931071803</v>
      </c>
      <c r="DB22" s="21" t="s">
        <v>108</v>
      </c>
      <c r="DC22" s="23" t="s">
        <v>1268</v>
      </c>
      <c r="DD22" s="17">
        <v>0.56000000000000005</v>
      </c>
      <c r="DE22" s="159">
        <f t="shared" si="28"/>
        <v>0.8083724287260915</v>
      </c>
      <c r="DF22" s="17" t="s">
        <v>70</v>
      </c>
      <c r="DG22" s="20" t="s">
        <v>1269</v>
      </c>
      <c r="DH22" s="37">
        <v>1.1100000000000001</v>
      </c>
      <c r="DI22" s="553">
        <f t="shared" si="29"/>
        <v>1.6023096355106456</v>
      </c>
      <c r="DJ22" s="21" t="s">
        <v>48</v>
      </c>
      <c r="DK22" s="28"/>
      <c r="DL22" s="17">
        <v>0.34</v>
      </c>
      <c r="DM22" s="304">
        <f t="shared" si="30"/>
        <v>0.49079754601226983</v>
      </c>
      <c r="DN22" s="17" t="s">
        <v>48</v>
      </c>
      <c r="DO22" s="51" t="s">
        <v>1270</v>
      </c>
      <c r="DP22" s="21">
        <v>0.84</v>
      </c>
      <c r="DQ22" s="361">
        <f t="shared" si="31"/>
        <v>1.2125586430891371</v>
      </c>
      <c r="DR22" s="53" t="s">
        <v>46</v>
      </c>
      <c r="DS22" s="54" t="s">
        <v>1271</v>
      </c>
      <c r="DT22" s="53">
        <v>0.51</v>
      </c>
      <c r="DU22" s="92">
        <f t="shared" si="32"/>
        <v>0.73619631901840465</v>
      </c>
      <c r="DV22" s="56" t="s">
        <v>42</v>
      </c>
      <c r="DW22" s="57" t="s">
        <v>1272</v>
      </c>
      <c r="DX22" s="53">
        <v>0.51</v>
      </c>
      <c r="DY22" s="92">
        <f t="shared" si="33"/>
        <v>0.73619631901840465</v>
      </c>
      <c r="DZ22" s="53" t="s">
        <v>46</v>
      </c>
      <c r="EA22" s="54" t="s">
        <v>1272</v>
      </c>
      <c r="EB22" s="56">
        <v>0.5</v>
      </c>
      <c r="EC22" s="149">
        <f t="shared" si="34"/>
        <v>0.72176109707686731</v>
      </c>
      <c r="ED22" s="56" t="s">
        <v>70</v>
      </c>
      <c r="EE22" s="57" t="s">
        <v>1273</v>
      </c>
      <c r="EF22" s="53">
        <v>0.51</v>
      </c>
      <c r="EG22" s="92">
        <f t="shared" si="35"/>
        <v>0.73619631901840465</v>
      </c>
      <c r="EH22" s="53" t="s">
        <v>48</v>
      </c>
      <c r="EI22" s="57" t="s">
        <v>1274</v>
      </c>
      <c r="EJ22" s="53">
        <v>0.82</v>
      </c>
      <c r="EK22" s="326">
        <f t="shared" si="36"/>
        <v>1.1836881992060624</v>
      </c>
      <c r="EL22" s="56" t="s">
        <v>46</v>
      </c>
      <c r="EM22" s="57" t="s">
        <v>1275</v>
      </c>
      <c r="EN22" s="53">
        <v>0.96</v>
      </c>
      <c r="EO22" s="252">
        <f t="shared" si="37"/>
        <v>1.3857813063875852</v>
      </c>
      <c r="EP22" s="53" t="s">
        <v>42</v>
      </c>
      <c r="EQ22" s="23" t="s">
        <v>1276</v>
      </c>
      <c r="ER22" s="53">
        <v>0.42</v>
      </c>
      <c r="ES22" s="247">
        <f t="shared" si="38"/>
        <v>0.60627932154456854</v>
      </c>
      <c r="ET22" s="53" t="s">
        <v>42</v>
      </c>
      <c r="EU22" s="20" t="s">
        <v>1208</v>
      </c>
      <c r="EV22" s="53">
        <v>0.91</v>
      </c>
      <c r="EW22" s="459">
        <f t="shared" si="39"/>
        <v>1.3136051966798987</v>
      </c>
      <c r="EX22" s="21" t="s">
        <v>48</v>
      </c>
      <c r="EY22" s="57" t="s">
        <v>1277</v>
      </c>
      <c r="EZ22" s="53">
        <v>0.78</v>
      </c>
      <c r="FA22" s="367">
        <f t="shared" si="40"/>
        <v>1.125947311439913</v>
      </c>
      <c r="FB22" s="40"/>
      <c r="FC22" s="40"/>
      <c r="FD22" s="53">
        <v>0.92</v>
      </c>
      <c r="FE22" s="451">
        <f t="shared" si="41"/>
        <v>1.3280404186214361</v>
      </c>
      <c r="FF22" s="21" t="s">
        <v>48</v>
      </c>
      <c r="FG22" s="64"/>
      <c r="FH22" s="17">
        <v>1.06</v>
      </c>
      <c r="FI22" s="554">
        <f t="shared" si="42"/>
        <v>1.5301335258029589</v>
      </c>
      <c r="FJ22" s="17" t="s">
        <v>48</v>
      </c>
      <c r="FK22" s="51" t="s">
        <v>1278</v>
      </c>
      <c r="FL22" s="17">
        <v>0.94</v>
      </c>
      <c r="FM22" s="104">
        <f t="shared" si="43"/>
        <v>1.3569108625045105</v>
      </c>
      <c r="FN22" s="21" t="s">
        <v>46</v>
      </c>
      <c r="FO22" s="51" t="s">
        <v>1279</v>
      </c>
      <c r="FP22" s="17">
        <v>0.38</v>
      </c>
      <c r="FQ22" s="166">
        <f t="shared" si="44"/>
        <v>0.54853843377841915</v>
      </c>
      <c r="FR22" s="17" t="s">
        <v>48</v>
      </c>
      <c r="FS22" s="51" t="s">
        <v>1280</v>
      </c>
      <c r="FT22" s="164">
        <v>0.86</v>
      </c>
      <c r="FU22" s="106">
        <f t="shared" si="45"/>
        <v>1.2414290869722118</v>
      </c>
      <c r="FV22" s="17" t="s">
        <v>42</v>
      </c>
      <c r="FW22" s="51" t="s">
        <v>1281</v>
      </c>
      <c r="FX22" s="17">
        <v>1.26</v>
      </c>
      <c r="FY22" s="555">
        <f t="shared" si="46"/>
        <v>1.8188379646337058</v>
      </c>
      <c r="FZ22" s="17" t="s">
        <v>48</v>
      </c>
      <c r="GA22" s="51" t="s">
        <v>1282</v>
      </c>
      <c r="GB22" s="53">
        <v>0.56999999999999995</v>
      </c>
      <c r="GC22" s="378">
        <f t="shared" si="47"/>
        <v>0.82280765066762873</v>
      </c>
      <c r="GD22" s="21" t="s">
        <v>48</v>
      </c>
      <c r="GE22" s="63"/>
      <c r="GF22" s="17">
        <v>0.59</v>
      </c>
      <c r="GG22" s="127">
        <f t="shared" si="48"/>
        <v>0.85167809455070342</v>
      </c>
      <c r="GH22" s="17" t="s">
        <v>48</v>
      </c>
      <c r="GI22" s="51" t="s">
        <v>1283</v>
      </c>
      <c r="GJ22" s="17">
        <v>0.89</v>
      </c>
      <c r="GK22" s="542">
        <f t="shared" si="49"/>
        <v>1.2847347527968238</v>
      </c>
      <c r="GL22" s="17" t="s">
        <v>48</v>
      </c>
      <c r="GM22" s="67" t="s">
        <v>1284</v>
      </c>
      <c r="GN22" s="17">
        <v>0.26</v>
      </c>
      <c r="GO22" s="201">
        <f t="shared" si="50"/>
        <v>0.37531577047997106</v>
      </c>
      <c r="GP22" s="17" t="s">
        <v>48</v>
      </c>
      <c r="GQ22" s="51" t="s">
        <v>1285</v>
      </c>
      <c r="GR22" s="17">
        <v>0.46</v>
      </c>
      <c r="GS22" s="178">
        <f t="shared" si="51"/>
        <v>0.66402020931071803</v>
      </c>
      <c r="GT22" s="17" t="s">
        <v>48</v>
      </c>
      <c r="GU22" s="51" t="s">
        <v>1286</v>
      </c>
      <c r="GV22" s="17">
        <v>0.95</v>
      </c>
      <c r="GW22" s="34">
        <f t="shared" si="52"/>
        <v>1.3713460844460479</v>
      </c>
      <c r="GX22" s="17" t="s">
        <v>48</v>
      </c>
      <c r="GY22" s="67" t="s">
        <v>1287</v>
      </c>
      <c r="GZ22" s="17">
        <v>0.54</v>
      </c>
      <c r="HA22" s="344">
        <f t="shared" si="53"/>
        <v>0.7795019848430168</v>
      </c>
      <c r="HB22" s="17" t="s">
        <v>42</v>
      </c>
      <c r="HC22" s="20" t="s">
        <v>1288</v>
      </c>
      <c r="HD22" s="17">
        <v>0.61</v>
      </c>
      <c r="HE22" s="510">
        <f t="shared" si="54"/>
        <v>0.88054853843377812</v>
      </c>
      <c r="HF22" s="17" t="s">
        <v>179</v>
      </c>
      <c r="HG22" s="20" t="s">
        <v>1289</v>
      </c>
      <c r="HH22" s="17">
        <v>0.91</v>
      </c>
      <c r="HI22" s="459">
        <f t="shared" si="55"/>
        <v>1.3136051966798987</v>
      </c>
      <c r="HJ22" s="17" t="s">
        <v>42</v>
      </c>
      <c r="HK22" s="20" t="s">
        <v>1290</v>
      </c>
      <c r="HL22" s="17">
        <v>0.57999999999999996</v>
      </c>
      <c r="HM22" s="415">
        <f t="shared" si="56"/>
        <v>0.83724287260916608</v>
      </c>
      <c r="HN22" s="17" t="s">
        <v>48</v>
      </c>
      <c r="HO22" s="20" t="s">
        <v>1291</v>
      </c>
      <c r="HP22" s="17">
        <v>0.48</v>
      </c>
      <c r="HQ22" s="354">
        <f t="shared" si="57"/>
        <v>0.69289065319379262</v>
      </c>
      <c r="HR22" s="17" t="s">
        <v>48</v>
      </c>
      <c r="HS22" s="73" t="s">
        <v>1292</v>
      </c>
      <c r="HT22" s="17">
        <v>0.97</v>
      </c>
      <c r="HU22" s="140">
        <f t="shared" si="58"/>
        <v>1.4002165283291226</v>
      </c>
      <c r="HV22" s="17" t="s">
        <v>48</v>
      </c>
      <c r="HW22" s="75" t="s">
        <v>1293</v>
      </c>
      <c r="HX22" s="17">
        <v>0.82</v>
      </c>
      <c r="HY22" s="326">
        <f t="shared" si="59"/>
        <v>1.1836881992060624</v>
      </c>
      <c r="HZ22" s="21" t="s">
        <v>48</v>
      </c>
      <c r="IA22" s="75" t="s">
        <v>1294</v>
      </c>
      <c r="IB22" s="17">
        <v>0.78</v>
      </c>
      <c r="IC22" s="367">
        <f t="shared" si="60"/>
        <v>1.125947311439913</v>
      </c>
      <c r="ID22" s="17" t="s">
        <v>42</v>
      </c>
      <c r="IE22" s="51" t="s">
        <v>1295</v>
      </c>
      <c r="IF22" s="17">
        <v>0.71</v>
      </c>
      <c r="IG22" s="368">
        <f t="shared" si="61"/>
        <v>1.0249007578491516</v>
      </c>
      <c r="IH22" s="17" t="s">
        <v>42</v>
      </c>
      <c r="II22" s="67" t="s">
        <v>1296</v>
      </c>
      <c r="IJ22" s="236">
        <v>0.77</v>
      </c>
      <c r="IK22" s="263">
        <f t="shared" si="62"/>
        <v>1.1115120894983757</v>
      </c>
      <c r="IL22" s="17" t="s">
        <v>42</v>
      </c>
      <c r="IM22" s="51" t="s">
        <v>1297</v>
      </c>
      <c r="IN22" s="17">
        <v>0.5</v>
      </c>
      <c r="IO22" s="149">
        <f t="shared" si="63"/>
        <v>0.72176109707686731</v>
      </c>
      <c r="IP22" s="17" t="s">
        <v>48</v>
      </c>
      <c r="IQ22" s="51" t="s">
        <v>1230</v>
      </c>
      <c r="IR22" s="17">
        <v>0.79</v>
      </c>
      <c r="IS22" s="195">
        <f t="shared" si="64"/>
        <v>1.1403825333814506</v>
      </c>
      <c r="IT22" s="17" t="s">
        <v>48</v>
      </c>
      <c r="IU22" s="75" t="s">
        <v>1298</v>
      </c>
      <c r="IV22" s="17">
        <v>0.12</v>
      </c>
      <c r="IW22" s="544">
        <f t="shared" si="65"/>
        <v>0.17322266329844815</v>
      </c>
      <c r="IX22" s="17" t="s">
        <v>42</v>
      </c>
      <c r="IY22" s="51" t="s">
        <v>1299</v>
      </c>
      <c r="IZ22" s="17">
        <v>0.75</v>
      </c>
      <c r="JA22" s="27">
        <f t="shared" si="66"/>
        <v>1.082641645615301</v>
      </c>
      <c r="JB22" s="17" t="s">
        <v>42</v>
      </c>
      <c r="JC22" s="51" t="s">
        <v>1300</v>
      </c>
      <c r="JD22" s="17">
        <v>0.78</v>
      </c>
      <c r="JE22" s="367">
        <f t="shared" si="67"/>
        <v>1.125947311439913</v>
      </c>
      <c r="JF22" s="17" t="s">
        <v>46</v>
      </c>
      <c r="JG22" s="51" t="s">
        <v>1301</v>
      </c>
      <c r="JH22" s="17">
        <v>0.67</v>
      </c>
      <c r="JI22" s="433">
        <f t="shared" si="68"/>
        <v>0.9671598700830023</v>
      </c>
      <c r="JJ22" s="17" t="s">
        <v>42</v>
      </c>
      <c r="JK22" s="51" t="s">
        <v>1302</v>
      </c>
      <c r="JL22" s="21">
        <v>0.39</v>
      </c>
      <c r="JM22" s="376">
        <f t="shared" si="69"/>
        <v>0.5629736557199565</v>
      </c>
      <c r="JN22" s="21" t="s">
        <v>48</v>
      </c>
      <c r="JO22" s="75" t="s">
        <v>1303</v>
      </c>
      <c r="JP22" s="21">
        <v>0.54</v>
      </c>
      <c r="JQ22" s="344">
        <f t="shared" si="70"/>
        <v>0.7795019848430168</v>
      </c>
      <c r="JR22" s="21" t="s">
        <v>46</v>
      </c>
      <c r="JS22" s="51" t="s">
        <v>1304</v>
      </c>
      <c r="JT22" s="21">
        <v>0.6</v>
      </c>
      <c r="JU22" s="461">
        <f t="shared" si="71"/>
        <v>0.86611331649224077</v>
      </c>
      <c r="JV22" s="21" t="s">
        <v>42</v>
      </c>
      <c r="JW22" s="75" t="s">
        <v>1305</v>
      </c>
      <c r="JX22" s="17">
        <v>0.75</v>
      </c>
      <c r="JY22" s="27">
        <f t="shared" si="72"/>
        <v>1.082641645615301</v>
      </c>
      <c r="JZ22" s="51" t="s">
        <v>42</v>
      </c>
      <c r="KA22" s="51" t="s">
        <v>1306</v>
      </c>
      <c r="KB22" s="21">
        <v>1.02</v>
      </c>
      <c r="KC22" s="556">
        <f t="shared" si="73"/>
        <v>1.4723926380368093</v>
      </c>
      <c r="KD22" s="75" t="s">
        <v>48</v>
      </c>
      <c r="KE22" s="75" t="s">
        <v>1240</v>
      </c>
      <c r="KF22" s="17">
        <v>0.56000000000000005</v>
      </c>
      <c r="KG22" s="159">
        <f t="shared" si="74"/>
        <v>0.8083724287260915</v>
      </c>
      <c r="KH22" s="51" t="s">
        <v>48</v>
      </c>
      <c r="KI22" s="51" t="s">
        <v>1307</v>
      </c>
      <c r="KJ22" s="21">
        <v>0.61</v>
      </c>
      <c r="KK22" s="510">
        <f t="shared" si="75"/>
        <v>0.88054853843377812</v>
      </c>
      <c r="KL22" s="75" t="s">
        <v>70</v>
      </c>
      <c r="KM22" s="75" t="s">
        <v>1308</v>
      </c>
      <c r="KN22" s="17">
        <v>0.61</v>
      </c>
      <c r="KO22" s="510">
        <f t="shared" si="76"/>
        <v>0.88054853843377812</v>
      </c>
      <c r="KP22" s="51" t="s">
        <v>46</v>
      </c>
      <c r="KQ22" s="51" t="s">
        <v>1309</v>
      </c>
      <c r="KR22" s="21">
        <v>0.73</v>
      </c>
      <c r="KS22" s="557">
        <f t="shared" si="77"/>
        <v>1.0537712017322263</v>
      </c>
      <c r="KT22" s="75" t="s">
        <v>46</v>
      </c>
      <c r="KU22" s="75" t="s">
        <v>1310</v>
      </c>
      <c r="KV22" s="82">
        <v>0.6</v>
      </c>
      <c r="KW22" s="461">
        <f t="shared" si="78"/>
        <v>0.86611331649224077</v>
      </c>
      <c r="KX22" s="51" t="s">
        <v>110</v>
      </c>
      <c r="KY22" s="51" t="s">
        <v>1245</v>
      </c>
      <c r="KZ22" s="83">
        <v>0.18</v>
      </c>
      <c r="LA22" s="552">
        <f t="shared" si="79"/>
        <v>0.25983399494767223</v>
      </c>
      <c r="LB22" s="75" t="s">
        <v>42</v>
      </c>
      <c r="LC22" s="75" t="s">
        <v>1311</v>
      </c>
      <c r="LD22" s="82">
        <v>0.56999999999999995</v>
      </c>
      <c r="LE22" s="378">
        <f t="shared" si="80"/>
        <v>0.82280765066762873</v>
      </c>
      <c r="LF22" s="51" t="s">
        <v>1312</v>
      </c>
      <c r="LG22" s="51" t="s">
        <v>1313</v>
      </c>
      <c r="LH22" s="83">
        <v>0.46</v>
      </c>
      <c r="LI22" s="84"/>
      <c r="LJ22" s="85"/>
      <c r="LK22" s="85"/>
      <c r="LL22" s="86">
        <f t="shared" si="81"/>
        <v>0.6912658227848103</v>
      </c>
      <c r="LM22" s="86">
        <f t="shared" si="82"/>
        <v>1.1717634132942683</v>
      </c>
      <c r="LN22" s="86">
        <f t="shared" si="90"/>
        <v>1.108079817548983</v>
      </c>
      <c r="LO22" s="86">
        <f t="shared" si="94"/>
        <v>1.1968019021275611</v>
      </c>
      <c r="LP22" s="86">
        <f t="shared" si="95"/>
        <v>-2.815917924742517E-2</v>
      </c>
      <c r="LQ22" s="87">
        <f t="shared" si="96"/>
        <v>0</v>
      </c>
      <c r="LR22" s="86">
        <f t="shared" si="97"/>
        <v>1.1728248599466973</v>
      </c>
      <c r="LS22" s="84">
        <v>1</v>
      </c>
      <c r="LT22" s="87">
        <f t="shared" si="100"/>
        <v>0</v>
      </c>
      <c r="LU22" s="87">
        <f t="shared" si="92"/>
        <v>3</v>
      </c>
      <c r="LV22" s="86">
        <f t="shared" si="98"/>
        <v>0.96</v>
      </c>
      <c r="LW22" s="89" t="s">
        <v>3812</v>
      </c>
      <c r="LX22" s="5" t="str">
        <f t="shared" si="87"/>
        <v/>
      </c>
      <c r="LY22" s="5" t="str">
        <f t="shared" si="88"/>
        <v/>
      </c>
      <c r="LZ22" s="5"/>
      <c r="MA22" s="67" t="str">
        <f t="shared" si="99"/>
        <v>SÃO PAULO</v>
      </c>
      <c r="MB22" s="89" t="s">
        <v>3808</v>
      </c>
    </row>
    <row r="23" spans="1:340" x14ac:dyDescent="0.2">
      <c r="A23" s="16">
        <v>0.76388888888888884</v>
      </c>
      <c r="B23" s="558">
        <f t="shared" si="0"/>
        <v>0.70662500000000017</v>
      </c>
      <c r="C23" s="559">
        <f t="shared" si="1"/>
        <v>4.7231558464531753E-2</v>
      </c>
      <c r="D23" s="17">
        <v>0.74</v>
      </c>
      <c r="E23" s="395">
        <f t="shared" si="2"/>
        <v>1.0472315584645318</v>
      </c>
      <c r="F23" s="17" t="s">
        <v>46</v>
      </c>
      <c r="G23" s="20" t="s">
        <v>1314</v>
      </c>
      <c r="H23" s="21">
        <v>0.8</v>
      </c>
      <c r="I23" s="258">
        <f t="shared" si="3"/>
        <v>1.1321422253670614</v>
      </c>
      <c r="J23" s="21" t="s">
        <v>70</v>
      </c>
      <c r="K23" s="23" t="s">
        <v>1315</v>
      </c>
      <c r="L23" s="17">
        <v>0.91</v>
      </c>
      <c r="M23" s="124">
        <f t="shared" si="4"/>
        <v>1.2878117813550325</v>
      </c>
      <c r="N23" s="17" t="s">
        <v>48</v>
      </c>
      <c r="O23" s="20" t="s">
        <v>1316</v>
      </c>
      <c r="P23" s="21">
        <v>0.78</v>
      </c>
      <c r="Q23" s="49">
        <f t="shared" si="5"/>
        <v>1.103838669732885</v>
      </c>
      <c r="R23" s="21" t="s">
        <v>48</v>
      </c>
      <c r="S23" s="23" t="s">
        <v>1317</v>
      </c>
      <c r="T23" s="17">
        <v>0.54</v>
      </c>
      <c r="U23" s="356">
        <f t="shared" si="6"/>
        <v>0.7641960021227665</v>
      </c>
      <c r="V23" s="17" t="s">
        <v>42</v>
      </c>
      <c r="W23" s="5"/>
      <c r="X23" s="21">
        <v>0.92</v>
      </c>
      <c r="Y23" s="529">
        <f t="shared" si="7"/>
        <v>1.3019635591721208</v>
      </c>
      <c r="Z23" s="21" t="s">
        <v>48</v>
      </c>
      <c r="AA23" s="28"/>
      <c r="AB23" s="17">
        <v>0.67</v>
      </c>
      <c r="AC23" s="530">
        <f t="shared" si="8"/>
        <v>0.94816911374491408</v>
      </c>
      <c r="AD23" s="17" t="s">
        <v>48</v>
      </c>
      <c r="AE23" s="20" t="s">
        <v>1318</v>
      </c>
      <c r="AF23" s="21">
        <v>0.92</v>
      </c>
      <c r="AG23" s="529">
        <f t="shared" si="9"/>
        <v>1.3019635591721208</v>
      </c>
      <c r="AH23" s="21" t="s">
        <v>48</v>
      </c>
      <c r="AI23" s="23" t="s">
        <v>1319</v>
      </c>
      <c r="AJ23" s="17">
        <v>0.96</v>
      </c>
      <c r="AK23" s="427">
        <f t="shared" si="10"/>
        <v>1.3585706704404736</v>
      </c>
      <c r="AL23" s="17" t="s">
        <v>48</v>
      </c>
      <c r="AM23" s="20" t="s">
        <v>1320</v>
      </c>
      <c r="AN23" s="21">
        <v>1.02</v>
      </c>
      <c r="AO23" s="144">
        <f t="shared" si="11"/>
        <v>1.4434813373430033</v>
      </c>
      <c r="AP23" s="21" t="s">
        <v>108</v>
      </c>
      <c r="AQ23" s="23" t="s">
        <v>1321</v>
      </c>
      <c r="AR23" s="17">
        <v>0.72</v>
      </c>
      <c r="AS23" s="401">
        <f t="shared" si="12"/>
        <v>1.0189280028303553</v>
      </c>
      <c r="AT23" s="17" t="s">
        <v>108</v>
      </c>
      <c r="AU23" s="20" t="s">
        <v>1322</v>
      </c>
      <c r="AV23" s="21">
        <v>0.83</v>
      </c>
      <c r="AW23" s="560">
        <f t="shared" si="13"/>
        <v>1.1745975588183262</v>
      </c>
      <c r="AX23" s="21" t="s">
        <v>48</v>
      </c>
      <c r="AY23" s="23" t="s">
        <v>1323</v>
      </c>
      <c r="AZ23" s="17">
        <v>0.94</v>
      </c>
      <c r="BA23" s="488">
        <f t="shared" si="14"/>
        <v>1.3302671148062972</v>
      </c>
      <c r="BB23" s="17" t="s">
        <v>46</v>
      </c>
      <c r="BC23" s="20" t="s">
        <v>1324</v>
      </c>
      <c r="BD23" s="17">
        <v>0.92</v>
      </c>
      <c r="BE23" s="529">
        <f t="shared" si="15"/>
        <v>1.3019635591721208</v>
      </c>
      <c r="BF23" s="17" t="s">
        <v>42</v>
      </c>
      <c r="BG23" s="20" t="s">
        <v>1325</v>
      </c>
      <c r="BH23" s="37">
        <v>1.44</v>
      </c>
      <c r="BI23" s="561">
        <f t="shared" si="16"/>
        <v>2.0378560056607107</v>
      </c>
      <c r="BJ23" s="37" t="s">
        <v>42</v>
      </c>
      <c r="BK23" s="38" t="s">
        <v>1326</v>
      </c>
      <c r="BL23" s="17">
        <v>0.69</v>
      </c>
      <c r="BM23" s="562">
        <f t="shared" si="17"/>
        <v>0.97647266937909039</v>
      </c>
      <c r="BN23" s="538" t="s">
        <v>108</v>
      </c>
      <c r="BO23" s="40"/>
      <c r="BP23" s="538">
        <v>0.57999999999999996</v>
      </c>
      <c r="BQ23" s="563">
        <f t="shared" si="18"/>
        <v>0.82080311339111955</v>
      </c>
      <c r="BR23" s="538" t="s">
        <v>42</v>
      </c>
      <c r="BS23" s="41"/>
      <c r="BT23" s="37">
        <v>0.81</v>
      </c>
      <c r="BU23" s="131">
        <f t="shared" si="19"/>
        <v>1.1462940031841498</v>
      </c>
      <c r="BV23" s="21" t="s">
        <v>1327</v>
      </c>
      <c r="BW23" s="23" t="s">
        <v>1328</v>
      </c>
      <c r="BX23" s="17">
        <v>0.44</v>
      </c>
      <c r="BY23" s="125">
        <f t="shared" si="20"/>
        <v>0.62267822395188377</v>
      </c>
      <c r="BZ23" s="17" t="s">
        <v>48</v>
      </c>
      <c r="CA23" s="20" t="s">
        <v>1329</v>
      </c>
      <c r="CB23" s="37">
        <v>0.76</v>
      </c>
      <c r="CC23" s="176">
        <f t="shared" si="21"/>
        <v>1.0755351140987084</v>
      </c>
      <c r="CD23" s="46" t="s">
        <v>70</v>
      </c>
      <c r="CE23" s="23" t="s">
        <v>1330</v>
      </c>
      <c r="CF23" s="17">
        <v>0.34</v>
      </c>
      <c r="CG23" s="30">
        <f t="shared" si="22"/>
        <v>0.48116044578100114</v>
      </c>
      <c r="CH23" s="17" t="s">
        <v>48</v>
      </c>
      <c r="CI23" s="20" t="s">
        <v>1331</v>
      </c>
      <c r="CJ23" s="37">
        <v>0.18</v>
      </c>
      <c r="CK23" s="327">
        <f t="shared" si="23"/>
        <v>0.25473200070758883</v>
      </c>
      <c r="CL23" s="46" t="s">
        <v>1332</v>
      </c>
      <c r="CM23" s="23" t="s">
        <v>1333</v>
      </c>
      <c r="CN23" s="17">
        <v>0.71</v>
      </c>
      <c r="CO23" s="564">
        <f t="shared" si="24"/>
        <v>1.004776225013267</v>
      </c>
      <c r="CP23" s="17" t="s">
        <v>70</v>
      </c>
      <c r="CQ23" s="20" t="s">
        <v>1334</v>
      </c>
      <c r="CR23" s="37">
        <v>0.45</v>
      </c>
      <c r="CS23" s="349">
        <f t="shared" si="25"/>
        <v>0.63683000176897209</v>
      </c>
      <c r="CT23" s="21" t="s">
        <v>46</v>
      </c>
      <c r="CU23" s="23" t="s">
        <v>1335</v>
      </c>
      <c r="CV23" s="17">
        <v>0.64</v>
      </c>
      <c r="CW23" s="300">
        <f t="shared" si="26"/>
        <v>0.90571378029364924</v>
      </c>
      <c r="CX23" s="17" t="s">
        <v>42</v>
      </c>
      <c r="CY23" s="20" t="s">
        <v>1336</v>
      </c>
      <c r="CZ23" s="37">
        <v>0.46</v>
      </c>
      <c r="DA23" s="515">
        <f t="shared" si="27"/>
        <v>0.65098177958606041</v>
      </c>
      <c r="DB23" s="21" t="s">
        <v>42</v>
      </c>
      <c r="DC23" s="23" t="s">
        <v>1337</v>
      </c>
      <c r="DD23" s="17">
        <v>0.63</v>
      </c>
      <c r="DE23" s="199">
        <f t="shared" si="28"/>
        <v>0.89156200247656092</v>
      </c>
      <c r="DF23" s="17" t="s">
        <v>70</v>
      </c>
      <c r="DG23" s="20" t="s">
        <v>1338</v>
      </c>
      <c r="DH23" s="37">
        <v>1.17</v>
      </c>
      <c r="DI23" s="565">
        <f t="shared" si="29"/>
        <v>1.6557580045993272</v>
      </c>
      <c r="DJ23" s="21" t="s">
        <v>48</v>
      </c>
      <c r="DK23" s="28"/>
      <c r="DL23" s="17">
        <v>0.34</v>
      </c>
      <c r="DM23" s="30">
        <f t="shared" si="30"/>
        <v>0.48116044578100114</v>
      </c>
      <c r="DN23" s="17" t="s">
        <v>46</v>
      </c>
      <c r="DO23" s="51" t="s">
        <v>1339</v>
      </c>
      <c r="DP23" s="21">
        <v>0.71</v>
      </c>
      <c r="DQ23" s="564">
        <f t="shared" si="31"/>
        <v>1.004776225013267</v>
      </c>
      <c r="DR23" s="53" t="s">
        <v>108</v>
      </c>
      <c r="DS23" s="54" t="s">
        <v>1340</v>
      </c>
      <c r="DT23" s="53">
        <v>0.43</v>
      </c>
      <c r="DU23" s="313">
        <f t="shared" si="32"/>
        <v>0.60852644613479556</v>
      </c>
      <c r="DV23" s="56" t="s">
        <v>42</v>
      </c>
      <c r="DW23" s="57" t="s">
        <v>1341</v>
      </c>
      <c r="DX23" s="53">
        <v>0.51</v>
      </c>
      <c r="DY23" s="149">
        <f t="shared" si="33"/>
        <v>0.72174066867150166</v>
      </c>
      <c r="DZ23" s="53" t="s">
        <v>108</v>
      </c>
      <c r="EA23" s="54" t="s">
        <v>1341</v>
      </c>
      <c r="EB23" s="56">
        <v>0.56000000000000005</v>
      </c>
      <c r="EC23" s="31">
        <f t="shared" si="34"/>
        <v>0.79249955775694314</v>
      </c>
      <c r="ED23" s="56" t="s">
        <v>70</v>
      </c>
      <c r="EE23" s="57" t="s">
        <v>1342</v>
      </c>
      <c r="EF23" s="53">
        <v>0.57999999999999996</v>
      </c>
      <c r="EG23" s="378">
        <f t="shared" si="35"/>
        <v>0.82080311339111955</v>
      </c>
      <c r="EH23" s="53" t="s">
        <v>48</v>
      </c>
      <c r="EI23" s="57" t="s">
        <v>1343</v>
      </c>
      <c r="EJ23" s="53">
        <v>0.94</v>
      </c>
      <c r="EK23" s="488">
        <f t="shared" si="36"/>
        <v>1.3302671148062972</v>
      </c>
      <c r="EL23" s="56" t="s">
        <v>46</v>
      </c>
      <c r="EM23" s="57" t="s">
        <v>1344</v>
      </c>
      <c r="EN23" s="53">
        <v>1.02</v>
      </c>
      <c r="EO23" s="144">
        <f t="shared" si="37"/>
        <v>1.4434813373430033</v>
      </c>
      <c r="EP23" s="53" t="s">
        <v>46</v>
      </c>
      <c r="EQ23" s="23" t="s">
        <v>1345</v>
      </c>
      <c r="ER23" s="53">
        <v>0.42</v>
      </c>
      <c r="ES23" s="494">
        <f t="shared" si="38"/>
        <v>0.59437466831770724</v>
      </c>
      <c r="ET23" s="53" t="s">
        <v>66</v>
      </c>
      <c r="EU23" s="20" t="s">
        <v>1346</v>
      </c>
      <c r="EV23" s="53">
        <v>0.91</v>
      </c>
      <c r="EW23" s="124">
        <f t="shared" si="39"/>
        <v>1.2878117813550325</v>
      </c>
      <c r="EX23" s="21" t="s">
        <v>48</v>
      </c>
      <c r="EY23" s="57" t="s">
        <v>1347</v>
      </c>
      <c r="EZ23" s="53">
        <v>0.78</v>
      </c>
      <c r="FA23" s="49">
        <f t="shared" si="40"/>
        <v>1.103838669732885</v>
      </c>
      <c r="FB23" s="40"/>
      <c r="FC23" s="40"/>
      <c r="FD23" s="53">
        <v>0.99</v>
      </c>
      <c r="FE23" s="140">
        <f t="shared" si="41"/>
        <v>1.4010260038917386</v>
      </c>
      <c r="FF23" s="21" t="s">
        <v>48</v>
      </c>
      <c r="FG23" s="64"/>
      <c r="FH23" s="17">
        <v>0.99</v>
      </c>
      <c r="FI23" s="140">
        <f t="shared" si="42"/>
        <v>1.4010260038917386</v>
      </c>
      <c r="FJ23" s="17" t="s">
        <v>48</v>
      </c>
      <c r="FK23" s="51" t="s">
        <v>1348</v>
      </c>
      <c r="FL23" s="17">
        <v>0.94</v>
      </c>
      <c r="FM23" s="488">
        <f t="shared" si="43"/>
        <v>1.3302671148062972</v>
      </c>
      <c r="FN23" s="21" t="s">
        <v>46</v>
      </c>
      <c r="FO23" s="51" t="s">
        <v>1349</v>
      </c>
      <c r="FP23" s="17">
        <v>0.51</v>
      </c>
      <c r="FQ23" s="149">
        <f t="shared" si="44"/>
        <v>0.72174066867150166</v>
      </c>
      <c r="FR23" s="17" t="s">
        <v>48</v>
      </c>
      <c r="FS23" s="51" t="s">
        <v>1280</v>
      </c>
      <c r="FT23" s="204">
        <v>0.85</v>
      </c>
      <c r="FU23" s="81">
        <f t="shared" si="45"/>
        <v>1.2029011144525028</v>
      </c>
      <c r="FV23" s="17" t="s">
        <v>42</v>
      </c>
      <c r="FW23" s="51" t="s">
        <v>1350</v>
      </c>
      <c r="FX23" s="17">
        <v>1.32</v>
      </c>
      <c r="FY23" s="566">
        <f t="shared" si="46"/>
        <v>1.8680346718556515</v>
      </c>
      <c r="FZ23" s="17" t="s">
        <v>48</v>
      </c>
      <c r="GA23" s="51" t="s">
        <v>1351</v>
      </c>
      <c r="GB23" s="53">
        <v>0.56999999999999995</v>
      </c>
      <c r="GC23" s="471">
        <f t="shared" si="47"/>
        <v>0.80665133557403124</v>
      </c>
      <c r="GD23" s="21" t="s">
        <v>48</v>
      </c>
      <c r="GE23" s="63"/>
      <c r="GF23" s="17">
        <v>0.71</v>
      </c>
      <c r="GG23" s="564">
        <f t="shared" si="48"/>
        <v>1.004776225013267</v>
      </c>
      <c r="GH23" s="17" t="s">
        <v>66</v>
      </c>
      <c r="GI23" s="51" t="s">
        <v>1352</v>
      </c>
      <c r="GJ23" s="17">
        <v>0.89</v>
      </c>
      <c r="GK23" s="332">
        <f t="shared" si="49"/>
        <v>1.2595082257208559</v>
      </c>
      <c r="GL23" s="17" t="s">
        <v>48</v>
      </c>
      <c r="GM23" s="67" t="s">
        <v>1353</v>
      </c>
      <c r="GN23" s="17">
        <v>0.33</v>
      </c>
      <c r="GO23" s="255">
        <f t="shared" si="50"/>
        <v>0.46700866796391288</v>
      </c>
      <c r="GP23" s="17" t="s">
        <v>42</v>
      </c>
      <c r="GQ23" s="51" t="s">
        <v>1354</v>
      </c>
      <c r="GR23" s="17">
        <v>0.59</v>
      </c>
      <c r="GS23" s="514">
        <f t="shared" si="51"/>
        <v>0.83495489120820776</v>
      </c>
      <c r="GT23" s="17" t="s">
        <v>48</v>
      </c>
      <c r="GU23" s="51" t="s">
        <v>1355</v>
      </c>
      <c r="GV23" s="17">
        <v>1.02</v>
      </c>
      <c r="GW23" s="144">
        <f t="shared" si="52"/>
        <v>1.4434813373430033</v>
      </c>
      <c r="GX23" s="17" t="s">
        <v>48</v>
      </c>
      <c r="GY23" s="67" t="s">
        <v>1356</v>
      </c>
      <c r="GZ23" s="17">
        <v>0.54</v>
      </c>
      <c r="HA23" s="356">
        <f t="shared" si="53"/>
        <v>0.7641960021227665</v>
      </c>
      <c r="HB23" s="17" t="s">
        <v>414</v>
      </c>
      <c r="HC23" s="20" t="s">
        <v>1357</v>
      </c>
      <c r="HD23" s="17">
        <v>0.61</v>
      </c>
      <c r="HE23" s="461">
        <f t="shared" si="54"/>
        <v>0.8632584468423844</v>
      </c>
      <c r="HF23" s="17" t="s">
        <v>42</v>
      </c>
      <c r="HG23" s="20" t="s">
        <v>1358</v>
      </c>
      <c r="HH23" s="17">
        <v>0.91</v>
      </c>
      <c r="HI23" s="124">
        <f t="shared" si="55"/>
        <v>1.2878117813550325</v>
      </c>
      <c r="HJ23" s="17" t="s">
        <v>42</v>
      </c>
      <c r="HK23" s="20" t="s">
        <v>1359</v>
      </c>
      <c r="HL23" s="17">
        <v>0.65</v>
      </c>
      <c r="HM23" s="110">
        <f t="shared" si="56"/>
        <v>0.91986555811073745</v>
      </c>
      <c r="HN23" s="17" t="s">
        <v>42</v>
      </c>
      <c r="HO23" s="20" t="s">
        <v>1360</v>
      </c>
      <c r="HP23" s="17">
        <v>0.48</v>
      </c>
      <c r="HQ23" s="312">
        <f t="shared" si="57"/>
        <v>0.67928533522023682</v>
      </c>
      <c r="HR23" s="17" t="s">
        <v>48</v>
      </c>
      <c r="HS23" s="73" t="s">
        <v>1361</v>
      </c>
      <c r="HT23" s="17">
        <v>1.03</v>
      </c>
      <c r="HU23" s="567">
        <f t="shared" si="58"/>
        <v>1.4576331151600916</v>
      </c>
      <c r="HV23" s="17" t="s">
        <v>48</v>
      </c>
      <c r="HW23" s="75" t="s">
        <v>1362</v>
      </c>
      <c r="HX23" s="17">
        <v>0.82</v>
      </c>
      <c r="HY23" s="139">
        <f t="shared" si="59"/>
        <v>1.1604457810012379</v>
      </c>
      <c r="HZ23" s="21" t="s">
        <v>42</v>
      </c>
      <c r="IA23" s="75" t="s">
        <v>1363</v>
      </c>
      <c r="IB23" s="17">
        <v>0.78</v>
      </c>
      <c r="IC23" s="49">
        <f t="shared" si="60"/>
        <v>1.103838669732885</v>
      </c>
      <c r="ID23" s="17" t="s">
        <v>42</v>
      </c>
      <c r="IE23" s="51" t="s">
        <v>1364</v>
      </c>
      <c r="IF23" s="17">
        <v>0.76</v>
      </c>
      <c r="IG23" s="176">
        <f t="shared" si="61"/>
        <v>1.0755351140987084</v>
      </c>
      <c r="IH23" s="17" t="s">
        <v>42</v>
      </c>
      <c r="II23" s="67" t="s">
        <v>1365</v>
      </c>
      <c r="IJ23" s="17">
        <v>0.77</v>
      </c>
      <c r="IK23" s="568">
        <f t="shared" si="62"/>
        <v>1.0896868919157967</v>
      </c>
      <c r="IL23" s="17" t="s">
        <v>42</v>
      </c>
      <c r="IM23" s="51" t="s">
        <v>1366</v>
      </c>
      <c r="IN23" s="17">
        <v>0.5</v>
      </c>
      <c r="IO23" s="353">
        <f t="shared" si="63"/>
        <v>0.70758889085441345</v>
      </c>
      <c r="IP23" s="17" t="s">
        <v>48</v>
      </c>
      <c r="IQ23" s="51" t="s">
        <v>1367</v>
      </c>
      <c r="IR23" s="17">
        <v>0.67</v>
      </c>
      <c r="IS23" s="530">
        <f t="shared" si="64"/>
        <v>0.94816911374491408</v>
      </c>
      <c r="IT23" s="17" t="s">
        <v>48</v>
      </c>
      <c r="IU23" s="75" t="s">
        <v>1368</v>
      </c>
      <c r="IV23" s="17">
        <v>0.12</v>
      </c>
      <c r="IW23" s="569">
        <f t="shared" si="65"/>
        <v>0.1698213338050592</v>
      </c>
      <c r="IX23" s="17" t="s">
        <v>42</v>
      </c>
      <c r="IY23" s="51" t="s">
        <v>1369</v>
      </c>
      <c r="IZ23" s="17">
        <v>0.75</v>
      </c>
      <c r="JA23" s="570">
        <f t="shared" si="66"/>
        <v>1.0613833362816201</v>
      </c>
      <c r="JB23" s="17" t="s">
        <v>42</v>
      </c>
      <c r="JC23" s="51" t="s">
        <v>1370</v>
      </c>
      <c r="JD23" s="17">
        <v>0.78</v>
      </c>
      <c r="JE23" s="49">
        <f t="shared" si="67"/>
        <v>1.103838669732885</v>
      </c>
      <c r="JF23" s="17" t="s">
        <v>46</v>
      </c>
      <c r="JG23" s="51" t="s">
        <v>1371</v>
      </c>
      <c r="JH23" s="17">
        <v>0.67</v>
      </c>
      <c r="JI23" s="530">
        <f t="shared" si="68"/>
        <v>0.94816911374491408</v>
      </c>
      <c r="JJ23" s="17" t="s">
        <v>42</v>
      </c>
      <c r="JK23" s="51" t="s">
        <v>1372</v>
      </c>
      <c r="JL23" s="21">
        <v>0.39</v>
      </c>
      <c r="JM23" s="348">
        <f t="shared" si="69"/>
        <v>0.55191933486644251</v>
      </c>
      <c r="JN23" s="21" t="s">
        <v>48</v>
      </c>
      <c r="JO23" s="75" t="s">
        <v>1373</v>
      </c>
      <c r="JP23" s="21">
        <v>0.6</v>
      </c>
      <c r="JQ23" s="288">
        <f t="shared" si="70"/>
        <v>0.84910666902529608</v>
      </c>
      <c r="JR23" s="21" t="s">
        <v>46</v>
      </c>
      <c r="JS23" s="51" t="s">
        <v>1374</v>
      </c>
      <c r="JT23" s="21">
        <v>0.6</v>
      </c>
      <c r="JU23" s="288">
        <f t="shared" si="71"/>
        <v>0.84910666902529608</v>
      </c>
      <c r="JV23" s="21" t="s">
        <v>108</v>
      </c>
      <c r="JW23" s="75" t="s">
        <v>1375</v>
      </c>
      <c r="JX23" s="17">
        <v>0.75</v>
      </c>
      <c r="JY23" s="570">
        <f t="shared" si="72"/>
        <v>1.0613833362816201</v>
      </c>
      <c r="JZ23" s="51" t="s">
        <v>42</v>
      </c>
      <c r="KA23" s="51" t="s">
        <v>1376</v>
      </c>
      <c r="KB23" s="21">
        <v>1.0900000000000001</v>
      </c>
      <c r="KC23" s="134">
        <f t="shared" si="73"/>
        <v>1.5425437820626213</v>
      </c>
      <c r="KD23" s="75" t="s">
        <v>48</v>
      </c>
      <c r="KE23" s="75" t="s">
        <v>1377</v>
      </c>
      <c r="KF23" s="17">
        <v>0.56000000000000005</v>
      </c>
      <c r="KG23" s="31">
        <f t="shared" si="74"/>
        <v>0.79249955775694314</v>
      </c>
      <c r="KH23" s="51" t="s">
        <v>48</v>
      </c>
      <c r="KI23" s="51" t="s">
        <v>1378</v>
      </c>
      <c r="KJ23" s="21">
        <v>0.61</v>
      </c>
      <c r="KK23" s="461">
        <f t="shared" si="75"/>
        <v>0.8632584468423844</v>
      </c>
      <c r="KL23" s="75" t="s">
        <v>42</v>
      </c>
      <c r="KM23" s="75" t="s">
        <v>1379</v>
      </c>
      <c r="KN23" s="17">
        <v>0.61</v>
      </c>
      <c r="KO23" s="461">
        <f t="shared" si="76"/>
        <v>0.8632584468423844</v>
      </c>
      <c r="KP23" s="51" t="s">
        <v>46</v>
      </c>
      <c r="KQ23" s="51" t="s">
        <v>1380</v>
      </c>
      <c r="KR23" s="21">
        <v>0.86</v>
      </c>
      <c r="KS23" s="472">
        <f t="shared" si="77"/>
        <v>1.2170528922695911</v>
      </c>
      <c r="KT23" s="75" t="s">
        <v>46</v>
      </c>
      <c r="KU23" s="75" t="s">
        <v>1381</v>
      </c>
      <c r="KV23" s="82">
        <v>0.53</v>
      </c>
      <c r="KW23" s="242">
        <f t="shared" si="78"/>
        <v>0.7500442243056783</v>
      </c>
      <c r="KX23" s="51" t="s">
        <v>46</v>
      </c>
      <c r="KY23" s="51" t="s">
        <v>1382</v>
      </c>
      <c r="KZ23" s="83">
        <v>0.18</v>
      </c>
      <c r="LA23" s="327">
        <f t="shared" si="79"/>
        <v>0.25473200070758883</v>
      </c>
      <c r="LB23" s="75" t="s">
        <v>42</v>
      </c>
      <c r="LC23" s="75" t="s">
        <v>1383</v>
      </c>
      <c r="LD23" s="82">
        <v>0.56999999999999995</v>
      </c>
      <c r="LE23" s="471">
        <f t="shared" si="80"/>
        <v>0.80665133557403124</v>
      </c>
      <c r="LF23" s="51" t="s">
        <v>46</v>
      </c>
      <c r="LG23" s="51" t="s">
        <v>1384</v>
      </c>
      <c r="LH23" s="83">
        <v>0.46</v>
      </c>
      <c r="LI23" s="84"/>
      <c r="LJ23" s="85"/>
      <c r="LK23" s="85"/>
      <c r="LL23" s="86">
        <f t="shared" si="81"/>
        <v>0.70620253164556979</v>
      </c>
      <c r="LM23" s="86">
        <f t="shared" si="82"/>
        <v>1.0478580390751029</v>
      </c>
      <c r="LN23" s="86">
        <f t="shared" si="90"/>
        <v>1.1112639973362473</v>
      </c>
      <c r="LO23" s="86">
        <f t="shared" si="94"/>
        <v>1.1822020574596199</v>
      </c>
      <c r="LP23" s="86">
        <f t="shared" si="95"/>
        <v>-2.9701100412078407E-2</v>
      </c>
      <c r="LQ23" s="87">
        <f t="shared" si="96"/>
        <v>0</v>
      </c>
      <c r="LR23" s="86">
        <f t="shared" si="97"/>
        <v>1.1614715515400633</v>
      </c>
      <c r="LS23" s="84">
        <v>1</v>
      </c>
      <c r="LT23" s="87">
        <f t="shared" si="100"/>
        <v>0</v>
      </c>
      <c r="LU23" s="87">
        <f t="shared" si="92"/>
        <v>4</v>
      </c>
      <c r="LV23" s="84">
        <f t="shared" si="98"/>
        <v>1</v>
      </c>
      <c r="LW23" s="519" t="s">
        <v>3813</v>
      </c>
      <c r="LX23" s="5" t="str">
        <f t="shared" si="87"/>
        <v/>
      </c>
      <c r="LY23" s="5" t="str">
        <f t="shared" si="88"/>
        <v/>
      </c>
      <c r="LZ23" s="5"/>
      <c r="MA23" s="67" t="str">
        <f t="shared" si="99"/>
        <v>SÃO PAULO</v>
      </c>
      <c r="MB23" s="89" t="s">
        <v>3808</v>
      </c>
    </row>
    <row r="24" spans="1:340" x14ac:dyDescent="0.2">
      <c r="A24" s="16">
        <v>0.76458333333333328</v>
      </c>
      <c r="B24" s="571">
        <f t="shared" si="0"/>
        <v>0.70837500000000009</v>
      </c>
      <c r="C24" s="572">
        <f t="shared" si="1"/>
        <v>-4.0056467266631479E-2</v>
      </c>
      <c r="D24" s="17">
        <v>0.68</v>
      </c>
      <c r="E24" s="446">
        <f t="shared" si="2"/>
        <v>0.95994353273336852</v>
      </c>
      <c r="F24" s="17" t="s">
        <v>46</v>
      </c>
      <c r="G24" s="20" t="s">
        <v>1385</v>
      </c>
      <c r="H24" s="21">
        <v>0.8</v>
      </c>
      <c r="I24" s="33">
        <f t="shared" si="3"/>
        <v>1.1293453326274925</v>
      </c>
      <c r="J24" s="21" t="s">
        <v>179</v>
      </c>
      <c r="K24" s="23" t="s">
        <v>1386</v>
      </c>
      <c r="L24" s="17">
        <v>0.96</v>
      </c>
      <c r="M24" s="148">
        <f t="shared" si="4"/>
        <v>1.3552143991529908</v>
      </c>
      <c r="N24" s="17" t="s">
        <v>48</v>
      </c>
      <c r="O24" s="20" t="s">
        <v>1387</v>
      </c>
      <c r="P24" s="21">
        <v>0.78</v>
      </c>
      <c r="Q24" s="573">
        <f t="shared" si="5"/>
        <v>1.1011116993118051</v>
      </c>
      <c r="R24" s="21" t="s">
        <v>66</v>
      </c>
      <c r="S24" s="23" t="s">
        <v>1388</v>
      </c>
      <c r="T24" s="17">
        <v>0.54</v>
      </c>
      <c r="U24" s="356">
        <f t="shared" si="6"/>
        <v>0.76230809952355738</v>
      </c>
      <c r="V24" s="17" t="s">
        <v>70</v>
      </c>
      <c r="W24" s="5"/>
      <c r="X24" s="21">
        <v>0.92</v>
      </c>
      <c r="Y24" s="360">
        <f t="shared" si="7"/>
        <v>1.2987471325216162</v>
      </c>
      <c r="Z24" s="21" t="s">
        <v>48</v>
      </c>
      <c r="AA24" s="28"/>
      <c r="AB24" s="17">
        <v>0.61</v>
      </c>
      <c r="AC24" s="324">
        <f t="shared" si="8"/>
        <v>0.86112581612846295</v>
      </c>
      <c r="AD24" s="17" t="s">
        <v>48</v>
      </c>
      <c r="AE24" s="20" t="s">
        <v>1389</v>
      </c>
      <c r="AF24" s="21">
        <v>0.92</v>
      </c>
      <c r="AG24" s="360">
        <f t="shared" si="9"/>
        <v>1.2987471325216162</v>
      </c>
      <c r="AH24" s="21" t="s">
        <v>48</v>
      </c>
      <c r="AI24" s="23" t="s">
        <v>1390</v>
      </c>
      <c r="AJ24" s="17">
        <v>0.96</v>
      </c>
      <c r="AK24" s="148">
        <f t="shared" si="10"/>
        <v>1.3552143991529908</v>
      </c>
      <c r="AL24" s="17" t="s">
        <v>108</v>
      </c>
      <c r="AM24" s="20" t="s">
        <v>1391</v>
      </c>
      <c r="AN24" s="21">
        <v>1.02</v>
      </c>
      <c r="AO24" s="79">
        <f t="shared" si="11"/>
        <v>1.4399152991000528</v>
      </c>
      <c r="AP24" s="21" t="s">
        <v>108</v>
      </c>
      <c r="AQ24" s="23" t="s">
        <v>1392</v>
      </c>
      <c r="AR24" s="17">
        <v>0.72</v>
      </c>
      <c r="AS24" s="200">
        <f t="shared" si="12"/>
        <v>1.0164107993647431</v>
      </c>
      <c r="AT24" s="17" t="s">
        <v>46</v>
      </c>
      <c r="AU24" s="20" t="s">
        <v>1393</v>
      </c>
      <c r="AV24" s="21">
        <v>0.89</v>
      </c>
      <c r="AW24" s="574">
        <f t="shared" si="13"/>
        <v>1.2563966825480852</v>
      </c>
      <c r="AX24" s="21" t="s">
        <v>48</v>
      </c>
      <c r="AY24" s="23" t="s">
        <v>1394</v>
      </c>
      <c r="AZ24" s="17">
        <v>0.94</v>
      </c>
      <c r="BA24" s="182">
        <f t="shared" si="14"/>
        <v>1.3269807658373034</v>
      </c>
      <c r="BB24" s="17" t="s">
        <v>46</v>
      </c>
      <c r="BC24" s="20" t="s">
        <v>1395</v>
      </c>
      <c r="BD24" s="17">
        <v>0.92</v>
      </c>
      <c r="BE24" s="360">
        <f t="shared" si="15"/>
        <v>1.2987471325216162</v>
      </c>
      <c r="BF24" s="17" t="s">
        <v>42</v>
      </c>
      <c r="BG24" s="20" t="s">
        <v>1396</v>
      </c>
      <c r="BH24" s="37">
        <v>1.38</v>
      </c>
      <c r="BI24" s="142">
        <f t="shared" si="16"/>
        <v>1.9481206987824242</v>
      </c>
      <c r="BJ24" s="37" t="s">
        <v>42</v>
      </c>
      <c r="BK24" s="38" t="s">
        <v>1397</v>
      </c>
      <c r="BL24" s="17">
        <v>0.63</v>
      </c>
      <c r="BM24" s="366">
        <f t="shared" si="17"/>
        <v>0.88935944944415024</v>
      </c>
      <c r="BN24" s="17" t="s">
        <v>70</v>
      </c>
      <c r="BO24" s="40"/>
      <c r="BP24" s="17">
        <v>0.64</v>
      </c>
      <c r="BQ24" s="300">
        <f t="shared" si="18"/>
        <v>0.90347626610199394</v>
      </c>
      <c r="BR24" s="17" t="s">
        <v>108</v>
      </c>
      <c r="BS24" s="41"/>
      <c r="BT24" s="37">
        <v>0.75</v>
      </c>
      <c r="BU24" s="482">
        <f t="shared" si="19"/>
        <v>1.0587612493382741</v>
      </c>
      <c r="BV24" s="21" t="s">
        <v>70</v>
      </c>
      <c r="BW24" s="23" t="s">
        <v>1398</v>
      </c>
      <c r="BX24" s="17">
        <v>0.44</v>
      </c>
      <c r="BY24" s="125">
        <f t="shared" si="20"/>
        <v>0.62113993294512082</v>
      </c>
      <c r="BZ24" s="17" t="s">
        <v>48</v>
      </c>
      <c r="CA24" s="20" t="s">
        <v>1399</v>
      </c>
      <c r="CB24" s="37">
        <v>0.76</v>
      </c>
      <c r="CC24" s="160">
        <f t="shared" si="21"/>
        <v>1.0728780659961177</v>
      </c>
      <c r="CD24" s="46" t="s">
        <v>108</v>
      </c>
      <c r="CE24" s="23" t="s">
        <v>1400</v>
      </c>
      <c r="CF24" s="17">
        <v>0.34</v>
      </c>
      <c r="CG24" s="30">
        <f t="shared" si="22"/>
        <v>0.47997176636668426</v>
      </c>
      <c r="CH24" s="17" t="s">
        <v>108</v>
      </c>
      <c r="CI24" s="20" t="s">
        <v>1401</v>
      </c>
      <c r="CJ24" s="37">
        <v>0.18</v>
      </c>
      <c r="CK24" s="327">
        <f t="shared" si="23"/>
        <v>0.25410269984118578</v>
      </c>
      <c r="CL24" s="46" t="s">
        <v>108</v>
      </c>
      <c r="CM24" s="23" t="s">
        <v>1402</v>
      </c>
      <c r="CN24" s="17">
        <v>0.71</v>
      </c>
      <c r="CO24" s="17">
        <f t="shared" si="24"/>
        <v>1.0022939827068995</v>
      </c>
      <c r="CP24" s="17" t="s">
        <v>70</v>
      </c>
      <c r="CQ24" s="20" t="s">
        <v>1403</v>
      </c>
      <c r="CR24" s="37">
        <v>0.51</v>
      </c>
      <c r="CS24" s="74">
        <f t="shared" si="25"/>
        <v>0.71995764955002639</v>
      </c>
      <c r="CT24" s="21" t="s">
        <v>46</v>
      </c>
      <c r="CU24" s="23" t="s">
        <v>1404</v>
      </c>
      <c r="CV24" s="17">
        <v>0.57999999999999996</v>
      </c>
      <c r="CW24" s="62">
        <f t="shared" si="26"/>
        <v>0.81877536615493185</v>
      </c>
      <c r="CX24" s="17" t="s">
        <v>66</v>
      </c>
      <c r="CY24" s="20" t="s">
        <v>1405</v>
      </c>
      <c r="CZ24" s="37">
        <v>0.26</v>
      </c>
      <c r="DA24" s="235">
        <f t="shared" si="27"/>
        <v>0.36703723310393505</v>
      </c>
      <c r="DB24" s="21" t="s">
        <v>42</v>
      </c>
      <c r="DC24" s="23" t="s">
        <v>1406</v>
      </c>
      <c r="DD24" s="17">
        <v>0.63</v>
      </c>
      <c r="DE24" s="366">
        <f t="shared" si="28"/>
        <v>0.88935944944415024</v>
      </c>
      <c r="DF24" s="17" t="s">
        <v>108</v>
      </c>
      <c r="DG24" s="20" t="s">
        <v>1407</v>
      </c>
      <c r="DH24" s="37">
        <v>1.17</v>
      </c>
      <c r="DI24" s="575">
        <f t="shared" si="29"/>
        <v>1.6516675489677075</v>
      </c>
      <c r="DJ24" s="21" t="s">
        <v>48</v>
      </c>
      <c r="DK24" s="28"/>
      <c r="DL24" s="17">
        <v>0.27</v>
      </c>
      <c r="DM24" s="576">
        <f t="shared" si="30"/>
        <v>0.38115404976177869</v>
      </c>
      <c r="DN24" s="17" t="s">
        <v>46</v>
      </c>
      <c r="DO24" s="51" t="s">
        <v>1408</v>
      </c>
      <c r="DP24" s="21">
        <v>0.78</v>
      </c>
      <c r="DQ24" s="573">
        <f t="shared" si="31"/>
        <v>1.1011116993118051</v>
      </c>
      <c r="DR24" s="53" t="s">
        <v>108</v>
      </c>
      <c r="DS24" s="54" t="s">
        <v>1409</v>
      </c>
      <c r="DT24" s="53">
        <v>0.49</v>
      </c>
      <c r="DU24" s="354">
        <f t="shared" si="32"/>
        <v>0.6917240162343391</v>
      </c>
      <c r="DV24" s="56" t="s">
        <v>42</v>
      </c>
      <c r="DW24" s="57" t="s">
        <v>1410</v>
      </c>
      <c r="DX24" s="53">
        <v>0.51</v>
      </c>
      <c r="DY24" s="74">
        <f t="shared" si="33"/>
        <v>0.71995764955002639</v>
      </c>
      <c r="DZ24" s="53" t="s">
        <v>108</v>
      </c>
      <c r="EA24" s="54" t="s">
        <v>1410</v>
      </c>
      <c r="EB24" s="56">
        <v>0.56000000000000005</v>
      </c>
      <c r="EC24" s="545">
        <f t="shared" si="34"/>
        <v>0.79054173283924478</v>
      </c>
      <c r="ED24" s="56" t="s">
        <v>70</v>
      </c>
      <c r="EE24" s="57" t="s">
        <v>1411</v>
      </c>
      <c r="EF24" s="53">
        <v>0.5</v>
      </c>
      <c r="EG24" s="198">
        <f t="shared" si="35"/>
        <v>0.70584083289218269</v>
      </c>
      <c r="EH24" s="53" t="s">
        <v>48</v>
      </c>
      <c r="EI24" s="57" t="s">
        <v>1412</v>
      </c>
      <c r="EJ24" s="53">
        <v>0.88</v>
      </c>
      <c r="EK24" s="106">
        <f t="shared" si="36"/>
        <v>1.2422798658902416</v>
      </c>
      <c r="EL24" s="56" t="s">
        <v>46</v>
      </c>
      <c r="EM24" s="57" t="s">
        <v>1413</v>
      </c>
      <c r="EN24" s="53">
        <v>0.95</v>
      </c>
      <c r="EO24" s="577">
        <f t="shared" si="37"/>
        <v>1.3410975824951472</v>
      </c>
      <c r="EP24" s="53" t="s">
        <v>46</v>
      </c>
      <c r="EQ24" s="23" t="s">
        <v>1414</v>
      </c>
      <c r="ER24" s="53">
        <v>0.42</v>
      </c>
      <c r="ES24" s="494">
        <f t="shared" si="38"/>
        <v>0.59290629962943342</v>
      </c>
      <c r="ET24" s="53" t="s">
        <v>70</v>
      </c>
      <c r="EU24" s="20" t="s">
        <v>1415</v>
      </c>
      <c r="EV24" s="53">
        <v>0.83</v>
      </c>
      <c r="EW24" s="271">
        <f t="shared" si="39"/>
        <v>1.1716957826010233</v>
      </c>
      <c r="EX24" s="21" t="s">
        <v>48</v>
      </c>
      <c r="EY24" s="57" t="s">
        <v>1416</v>
      </c>
      <c r="EZ24" s="53">
        <v>0.78</v>
      </c>
      <c r="FA24" s="573">
        <f t="shared" si="40"/>
        <v>1.1011116993118051</v>
      </c>
      <c r="FB24" s="40"/>
      <c r="FC24" s="40"/>
      <c r="FD24" s="53">
        <v>1</v>
      </c>
      <c r="FE24" s="578">
        <f t="shared" si="41"/>
        <v>1.4116816657843654</v>
      </c>
      <c r="FF24" s="21" t="s">
        <v>48</v>
      </c>
      <c r="FG24" s="64"/>
      <c r="FH24" s="17">
        <v>0.92</v>
      </c>
      <c r="FI24" s="360">
        <f t="shared" si="42"/>
        <v>1.2987471325216162</v>
      </c>
      <c r="FJ24" s="17" t="s">
        <v>48</v>
      </c>
      <c r="FK24" s="51" t="s">
        <v>1417</v>
      </c>
      <c r="FL24" s="17">
        <v>0.88</v>
      </c>
      <c r="FM24" s="106">
        <f t="shared" si="43"/>
        <v>1.2422798658902416</v>
      </c>
      <c r="FN24" s="21" t="s">
        <v>46</v>
      </c>
      <c r="FO24" s="51" t="s">
        <v>1418</v>
      </c>
      <c r="FP24" s="17">
        <v>0.51</v>
      </c>
      <c r="FQ24" s="74">
        <f t="shared" si="44"/>
        <v>0.71995764955002639</v>
      </c>
      <c r="FR24" s="17" t="s">
        <v>48</v>
      </c>
      <c r="FS24" s="51" t="s">
        <v>1419</v>
      </c>
      <c r="FT24" s="236">
        <v>0.78</v>
      </c>
      <c r="FU24" s="573">
        <f t="shared" si="45"/>
        <v>1.1011116993118051</v>
      </c>
      <c r="FV24" s="17" t="s">
        <v>42</v>
      </c>
      <c r="FW24" s="51" t="s">
        <v>1420</v>
      </c>
      <c r="FX24" s="17">
        <v>1.32</v>
      </c>
      <c r="FY24" s="579">
        <f t="shared" si="46"/>
        <v>1.8634197988353625</v>
      </c>
      <c r="FZ24" s="17" t="s">
        <v>48</v>
      </c>
      <c r="GA24" s="51" t="s">
        <v>1421</v>
      </c>
      <c r="GB24" s="53">
        <v>0.56999999999999995</v>
      </c>
      <c r="GC24" s="471">
        <f t="shared" si="47"/>
        <v>0.80465854949708826</v>
      </c>
      <c r="GD24" s="21" t="s">
        <v>48</v>
      </c>
      <c r="GE24" s="63"/>
      <c r="GF24" s="17">
        <v>0.71</v>
      </c>
      <c r="GG24" s="17">
        <f t="shared" si="48"/>
        <v>1.0022939827068995</v>
      </c>
      <c r="GH24" s="17" t="s">
        <v>46</v>
      </c>
      <c r="GI24" s="51" t="s">
        <v>1422</v>
      </c>
      <c r="GJ24" s="17">
        <v>0.88</v>
      </c>
      <c r="GK24" s="106">
        <f t="shared" si="49"/>
        <v>1.2422798658902416</v>
      </c>
      <c r="GL24" s="17" t="s">
        <v>48</v>
      </c>
      <c r="GM24" s="67" t="s">
        <v>1353</v>
      </c>
      <c r="GN24" s="17">
        <v>0.39</v>
      </c>
      <c r="GO24" s="348">
        <f t="shared" si="50"/>
        <v>0.55055584965590254</v>
      </c>
      <c r="GP24" s="17" t="s">
        <v>42</v>
      </c>
      <c r="GQ24" s="51" t="s">
        <v>1423</v>
      </c>
      <c r="GR24" s="17">
        <v>0.59</v>
      </c>
      <c r="GS24" s="514">
        <f t="shared" si="51"/>
        <v>0.83289218281277555</v>
      </c>
      <c r="GT24" s="17" t="s">
        <v>48</v>
      </c>
      <c r="GU24" s="51" t="s">
        <v>1424</v>
      </c>
      <c r="GV24" s="17">
        <v>1.08</v>
      </c>
      <c r="GW24" s="214">
        <f t="shared" si="52"/>
        <v>1.5246161990471148</v>
      </c>
      <c r="GX24" s="17" t="s">
        <v>48</v>
      </c>
      <c r="GY24" s="67" t="s">
        <v>1425</v>
      </c>
      <c r="GZ24" s="17">
        <v>0.54</v>
      </c>
      <c r="HA24" s="356">
        <f t="shared" si="53"/>
        <v>0.76230809952355738</v>
      </c>
      <c r="HB24" s="17" t="s">
        <v>414</v>
      </c>
      <c r="HC24" s="20" t="s">
        <v>1357</v>
      </c>
      <c r="HD24" s="17">
        <v>0.61</v>
      </c>
      <c r="HE24" s="324">
        <f t="shared" si="54"/>
        <v>0.86112581612846295</v>
      </c>
      <c r="HF24" s="17" t="s">
        <v>42</v>
      </c>
      <c r="HG24" s="20" t="s">
        <v>1426</v>
      </c>
      <c r="HH24" s="17">
        <v>0.96</v>
      </c>
      <c r="HI24" s="148">
        <f t="shared" si="55"/>
        <v>1.3552143991529908</v>
      </c>
      <c r="HJ24" s="17" t="s">
        <v>42</v>
      </c>
      <c r="HK24" s="20" t="s">
        <v>1427</v>
      </c>
      <c r="HL24" s="17">
        <v>0.87</v>
      </c>
      <c r="HM24" s="434">
        <f t="shared" si="56"/>
        <v>1.2281630492323978</v>
      </c>
      <c r="HN24" s="17" t="s">
        <v>48</v>
      </c>
      <c r="HO24" s="20" t="s">
        <v>1428</v>
      </c>
      <c r="HP24" s="17">
        <v>0.48</v>
      </c>
      <c r="HQ24" s="162">
        <f t="shared" si="57"/>
        <v>0.6776071995764954</v>
      </c>
      <c r="HR24" s="17" t="s">
        <v>48</v>
      </c>
      <c r="HS24" s="73" t="s">
        <v>1429</v>
      </c>
      <c r="HT24" s="17">
        <v>1.03</v>
      </c>
      <c r="HU24" s="453">
        <f t="shared" si="58"/>
        <v>1.4540321157578964</v>
      </c>
      <c r="HV24" s="17" t="s">
        <v>48</v>
      </c>
      <c r="HW24" s="75" t="s">
        <v>1430</v>
      </c>
      <c r="HX24" s="17">
        <v>0.75</v>
      </c>
      <c r="HY24" s="482">
        <f t="shared" si="59"/>
        <v>1.0587612493382741</v>
      </c>
      <c r="HZ24" s="21" t="s">
        <v>42</v>
      </c>
      <c r="IA24" s="75" t="s">
        <v>1431</v>
      </c>
      <c r="IB24" s="17">
        <v>0.76</v>
      </c>
      <c r="IC24" s="160">
        <f t="shared" si="60"/>
        <v>1.0728780659961177</v>
      </c>
      <c r="ID24" s="17" t="s">
        <v>42</v>
      </c>
      <c r="IE24" s="51" t="s">
        <v>1432</v>
      </c>
      <c r="IF24" s="17">
        <v>0.69</v>
      </c>
      <c r="IG24" s="186">
        <f t="shared" si="61"/>
        <v>0.97406034939121211</v>
      </c>
      <c r="IH24" s="17" t="s">
        <v>108</v>
      </c>
      <c r="II24" s="51" t="s">
        <v>1433</v>
      </c>
      <c r="IJ24" s="17">
        <v>0.7</v>
      </c>
      <c r="IK24" s="61">
        <f t="shared" si="62"/>
        <v>0.9881771660490557</v>
      </c>
      <c r="IL24" s="17" t="s">
        <v>42</v>
      </c>
      <c r="IM24" s="51" t="s">
        <v>1366</v>
      </c>
      <c r="IN24" s="17">
        <v>0.5</v>
      </c>
      <c r="IO24" s="198">
        <f t="shared" si="63"/>
        <v>0.70584083289218269</v>
      </c>
      <c r="IP24" s="17" t="s">
        <v>48</v>
      </c>
      <c r="IQ24" s="51" t="s">
        <v>1434</v>
      </c>
      <c r="IR24" s="17">
        <v>0.77</v>
      </c>
      <c r="IS24" s="414">
        <f t="shared" si="64"/>
        <v>1.0869948826539615</v>
      </c>
      <c r="IT24" s="17" t="s">
        <v>48</v>
      </c>
      <c r="IU24" s="75" t="s">
        <v>1368</v>
      </c>
      <c r="IV24" s="17">
        <v>0.18</v>
      </c>
      <c r="IW24" s="327">
        <f t="shared" si="65"/>
        <v>0.25410269984118578</v>
      </c>
      <c r="IX24" s="17" t="s">
        <v>108</v>
      </c>
      <c r="IY24" s="51" t="s">
        <v>1435</v>
      </c>
      <c r="IZ24" s="17">
        <v>0.75</v>
      </c>
      <c r="JA24" s="482">
        <f t="shared" si="66"/>
        <v>1.0587612493382741</v>
      </c>
      <c r="JB24" s="17" t="s">
        <v>42</v>
      </c>
      <c r="JC24" s="51" t="s">
        <v>1436</v>
      </c>
      <c r="JD24" s="17">
        <v>0.92</v>
      </c>
      <c r="JE24" s="360">
        <f t="shared" si="67"/>
        <v>1.2987471325216162</v>
      </c>
      <c r="JF24" s="17" t="s">
        <v>46</v>
      </c>
      <c r="JG24" s="51" t="s">
        <v>1437</v>
      </c>
      <c r="JH24" s="17">
        <v>0.67</v>
      </c>
      <c r="JI24" s="530">
        <f t="shared" si="68"/>
        <v>0.94582671607552493</v>
      </c>
      <c r="JJ24" s="17" t="s">
        <v>42</v>
      </c>
      <c r="JK24" s="51" t="s">
        <v>1438</v>
      </c>
      <c r="JL24" s="21">
        <v>0.46</v>
      </c>
      <c r="JM24" s="240">
        <f t="shared" si="69"/>
        <v>0.64937356626080811</v>
      </c>
      <c r="JN24" s="21" t="s">
        <v>48</v>
      </c>
      <c r="JO24" s="75" t="s">
        <v>1439</v>
      </c>
      <c r="JP24" s="21">
        <v>0.6</v>
      </c>
      <c r="JQ24" s="497">
        <f t="shared" si="70"/>
        <v>0.84700899947061925</v>
      </c>
      <c r="JR24" s="21" t="s">
        <v>46</v>
      </c>
      <c r="JS24" s="51" t="s">
        <v>1440</v>
      </c>
      <c r="JT24" s="21">
        <v>0.67</v>
      </c>
      <c r="JU24" s="530">
        <f t="shared" si="71"/>
        <v>0.94582671607552493</v>
      </c>
      <c r="JV24" s="21" t="s">
        <v>42</v>
      </c>
      <c r="JW24" s="75" t="s">
        <v>1441</v>
      </c>
      <c r="JX24" s="17">
        <v>0.75</v>
      </c>
      <c r="JY24" s="482">
        <f t="shared" si="72"/>
        <v>1.0587612493382741</v>
      </c>
      <c r="JZ24" s="51" t="s">
        <v>42</v>
      </c>
      <c r="KA24" s="51" t="s">
        <v>1442</v>
      </c>
      <c r="KB24" s="21">
        <v>1.1499999999999999</v>
      </c>
      <c r="KC24" s="580">
        <f t="shared" si="73"/>
        <v>1.6234339156520201</v>
      </c>
      <c r="KD24" s="75" t="s">
        <v>48</v>
      </c>
      <c r="KE24" s="75" t="s">
        <v>1443</v>
      </c>
      <c r="KF24" s="17">
        <v>0.49</v>
      </c>
      <c r="KG24" s="354">
        <f t="shared" si="74"/>
        <v>0.6917240162343391</v>
      </c>
      <c r="KH24" s="51" t="s">
        <v>48</v>
      </c>
      <c r="KI24" s="51" t="s">
        <v>1444</v>
      </c>
      <c r="KJ24" s="21">
        <v>0.66</v>
      </c>
      <c r="KK24" s="191">
        <f t="shared" si="75"/>
        <v>0.93170989941768123</v>
      </c>
      <c r="KL24" s="75" t="s">
        <v>42</v>
      </c>
      <c r="KM24" s="75" t="s">
        <v>1445</v>
      </c>
      <c r="KN24" s="17">
        <v>0.67</v>
      </c>
      <c r="KO24" s="530">
        <f t="shared" si="76"/>
        <v>0.94582671607552493</v>
      </c>
      <c r="KP24" s="51" t="s">
        <v>46</v>
      </c>
      <c r="KQ24" s="51" t="s">
        <v>1446</v>
      </c>
      <c r="KR24" s="21">
        <v>0.86</v>
      </c>
      <c r="KS24" s="361">
        <f t="shared" si="77"/>
        <v>1.2140462325745542</v>
      </c>
      <c r="KT24" s="75" t="s">
        <v>46</v>
      </c>
      <c r="KU24" s="75" t="s">
        <v>1447</v>
      </c>
      <c r="KV24" s="82">
        <v>0.66</v>
      </c>
      <c r="KW24" s="191">
        <f t="shared" si="78"/>
        <v>0.93170989941768123</v>
      </c>
      <c r="KX24" s="51" t="s">
        <v>46</v>
      </c>
      <c r="KY24" s="51" t="s">
        <v>1448</v>
      </c>
      <c r="KZ24" s="83">
        <v>0.18</v>
      </c>
      <c r="LA24" s="327">
        <f t="shared" si="79"/>
        <v>0.25410269984118578</v>
      </c>
      <c r="LB24" s="75" t="s">
        <v>42</v>
      </c>
      <c r="LC24" s="75" t="s">
        <v>1449</v>
      </c>
      <c r="LD24" s="82">
        <v>0.56999999999999995</v>
      </c>
      <c r="LE24" s="471">
        <f t="shared" si="80"/>
        <v>0.80465854949708826</v>
      </c>
      <c r="LF24" s="51" t="s">
        <v>70</v>
      </c>
      <c r="LG24" s="51" t="s">
        <v>1450</v>
      </c>
      <c r="LH24" s="83">
        <v>0.53</v>
      </c>
      <c r="LI24" s="84"/>
      <c r="LJ24" s="85"/>
      <c r="LK24" s="85"/>
      <c r="LL24" s="86">
        <f t="shared" si="81"/>
        <v>0.70873417721518994</v>
      </c>
      <c r="LM24" s="86">
        <f t="shared" si="82"/>
        <v>0.95945704590105374</v>
      </c>
      <c r="LN24" s="86">
        <f t="shared" si="90"/>
        <v>1.1082446659904786</v>
      </c>
      <c r="LO24" s="86">
        <f t="shared" si="94"/>
        <v>1.1128096755733097</v>
      </c>
      <c r="LP24" s="86">
        <f t="shared" si="95"/>
        <v>-0.13890012116228578</v>
      </c>
      <c r="LQ24" s="87">
        <f t="shared" si="96"/>
        <v>0</v>
      </c>
      <c r="LR24" s="86">
        <f t="shared" si="97"/>
        <v>1.0780713281827592</v>
      </c>
      <c r="LS24" s="84">
        <v>1</v>
      </c>
      <c r="LT24" s="87">
        <f t="shared" si="100"/>
        <v>0</v>
      </c>
      <c r="LU24" s="87">
        <f t="shared" si="92"/>
        <v>5</v>
      </c>
      <c r="LV24" s="84">
        <f t="shared" si="98"/>
        <v>1</v>
      </c>
      <c r="LW24" s="581" t="s">
        <v>3814</v>
      </c>
      <c r="LX24" s="89" t="str">
        <f t="shared" si="87"/>
        <v/>
      </c>
      <c r="LY24" s="581" t="str">
        <f t="shared" si="88"/>
        <v/>
      </c>
      <c r="LZ24" s="5"/>
      <c r="MA24" s="67" t="str">
        <f t="shared" si="99"/>
        <v>SÃO PAULO</v>
      </c>
      <c r="MB24" s="89" t="s">
        <v>3808</v>
      </c>
    </row>
    <row r="25" spans="1:340" x14ac:dyDescent="0.2">
      <c r="A25" s="16">
        <v>0.76527777777777772</v>
      </c>
      <c r="B25" s="582">
        <f t="shared" si="0"/>
        <v>0.70087500000000014</v>
      </c>
      <c r="C25" s="583">
        <f t="shared" si="1"/>
        <v>5.5823078294988226E-2</v>
      </c>
      <c r="D25" s="17">
        <v>0.74</v>
      </c>
      <c r="E25" s="71">
        <f t="shared" si="2"/>
        <v>1.0558230782949882</v>
      </c>
      <c r="F25" s="17" t="s">
        <v>414</v>
      </c>
      <c r="G25" s="20" t="s">
        <v>1451</v>
      </c>
      <c r="H25" s="21">
        <v>0.8</v>
      </c>
      <c r="I25" s="490">
        <f t="shared" si="3"/>
        <v>1.1414303549135008</v>
      </c>
      <c r="J25" s="21" t="s">
        <v>179</v>
      </c>
      <c r="K25" s="23" t="s">
        <v>1452</v>
      </c>
      <c r="L25" s="17">
        <v>0.89</v>
      </c>
      <c r="M25" s="261">
        <f t="shared" si="4"/>
        <v>1.2698412698412695</v>
      </c>
      <c r="N25" s="17" t="s">
        <v>48</v>
      </c>
      <c r="O25" s="20" t="s">
        <v>1453</v>
      </c>
      <c r="P25" s="21">
        <v>0.92</v>
      </c>
      <c r="Q25" s="459">
        <f t="shared" si="5"/>
        <v>1.312644908150526</v>
      </c>
      <c r="R25" s="21" t="s">
        <v>46</v>
      </c>
      <c r="S25" s="23" t="s">
        <v>1454</v>
      </c>
      <c r="T25" s="17">
        <v>0.54</v>
      </c>
      <c r="U25" s="19">
        <f t="shared" si="6"/>
        <v>0.77046548956661309</v>
      </c>
      <c r="V25" s="17" t="s">
        <v>70</v>
      </c>
      <c r="W25" s="5"/>
      <c r="X25" s="21">
        <v>0.79</v>
      </c>
      <c r="Y25" s="367">
        <f t="shared" si="7"/>
        <v>1.1271624754770821</v>
      </c>
      <c r="Z25" s="21" t="s">
        <v>48</v>
      </c>
      <c r="AA25" s="28"/>
      <c r="AB25" s="17">
        <v>0.68</v>
      </c>
      <c r="AC25" s="409">
        <f t="shared" si="8"/>
        <v>0.9702158016764757</v>
      </c>
      <c r="AD25" s="17" t="s">
        <v>48</v>
      </c>
      <c r="AE25" s="20" t="s">
        <v>1455</v>
      </c>
      <c r="AF25" s="21">
        <v>0.91</v>
      </c>
      <c r="AG25" s="360">
        <f t="shared" si="9"/>
        <v>1.2983770287141072</v>
      </c>
      <c r="AH25" s="21" t="s">
        <v>48</v>
      </c>
      <c r="AI25" s="23" t="s">
        <v>1456</v>
      </c>
      <c r="AJ25" s="17">
        <v>0.96</v>
      </c>
      <c r="AK25" s="34">
        <f t="shared" si="10"/>
        <v>1.3697164258962009</v>
      </c>
      <c r="AL25" s="17" t="s">
        <v>70</v>
      </c>
      <c r="AM25" s="20" t="s">
        <v>1457</v>
      </c>
      <c r="AN25" s="21">
        <v>1.02</v>
      </c>
      <c r="AO25" s="453">
        <f t="shared" si="11"/>
        <v>1.4553237025147134</v>
      </c>
      <c r="AP25" s="21" t="s">
        <v>48</v>
      </c>
      <c r="AQ25" s="23" t="s">
        <v>1458</v>
      </c>
      <c r="AR25" s="17">
        <v>0.52</v>
      </c>
      <c r="AS25" s="58">
        <f t="shared" si="12"/>
        <v>0.74192973069377555</v>
      </c>
      <c r="AT25" s="17" t="s">
        <v>46</v>
      </c>
      <c r="AU25" s="20" t="s">
        <v>1459</v>
      </c>
      <c r="AV25" s="21">
        <v>0.89</v>
      </c>
      <c r="AW25" s="261">
        <f t="shared" si="13"/>
        <v>1.2698412698412695</v>
      </c>
      <c r="AX25" s="21" t="s">
        <v>48</v>
      </c>
      <c r="AY25" s="23" t="s">
        <v>1460</v>
      </c>
      <c r="AZ25" s="17">
        <v>0.94</v>
      </c>
      <c r="BA25" s="577">
        <f t="shared" si="14"/>
        <v>1.3411806670233632</v>
      </c>
      <c r="BB25" s="17" t="s">
        <v>108</v>
      </c>
      <c r="BC25" s="20" t="s">
        <v>1461</v>
      </c>
      <c r="BD25" s="17">
        <v>0.92</v>
      </c>
      <c r="BE25" s="459">
        <f t="shared" si="15"/>
        <v>1.312644908150526</v>
      </c>
      <c r="BF25" s="17" t="s">
        <v>108</v>
      </c>
      <c r="BG25" s="20" t="s">
        <v>1462</v>
      </c>
      <c r="BH25" s="37">
        <v>1.38</v>
      </c>
      <c r="BI25" s="584">
        <f t="shared" si="16"/>
        <v>1.9689673622257886</v>
      </c>
      <c r="BJ25" s="37" t="s">
        <v>42</v>
      </c>
      <c r="BK25" s="38" t="s">
        <v>1463</v>
      </c>
      <c r="BL25" s="17">
        <v>0.63</v>
      </c>
      <c r="BM25" s="478">
        <f t="shared" si="17"/>
        <v>0.89887640449438189</v>
      </c>
      <c r="BN25" s="17" t="s">
        <v>70</v>
      </c>
      <c r="BO25" s="40"/>
      <c r="BP25" s="17">
        <v>0.64</v>
      </c>
      <c r="BQ25" s="80">
        <f t="shared" si="18"/>
        <v>0.9131442839308006</v>
      </c>
      <c r="BR25" s="17" t="s">
        <v>42</v>
      </c>
      <c r="BS25" s="41"/>
      <c r="BT25" s="37">
        <v>0.63</v>
      </c>
      <c r="BU25" s="478">
        <f t="shared" si="19"/>
        <v>0.89887640449438189</v>
      </c>
      <c r="BV25" s="21" t="s">
        <v>70</v>
      </c>
      <c r="BW25" s="23" t="s">
        <v>1464</v>
      </c>
      <c r="BX25" s="17">
        <v>0.44</v>
      </c>
      <c r="BY25" s="215">
        <f t="shared" si="20"/>
        <v>0.62778669520242547</v>
      </c>
      <c r="BZ25" s="17" t="s">
        <v>70</v>
      </c>
      <c r="CA25" s="20" t="s">
        <v>1465</v>
      </c>
      <c r="CB25" s="37">
        <v>0.7</v>
      </c>
      <c r="CC25" s="231">
        <f t="shared" si="21"/>
        <v>0.99875156054931313</v>
      </c>
      <c r="CD25" s="46" t="s">
        <v>70</v>
      </c>
      <c r="CE25" s="23" t="s">
        <v>1466</v>
      </c>
      <c r="CF25" s="17">
        <v>0.34</v>
      </c>
      <c r="CG25" s="123">
        <f t="shared" si="22"/>
        <v>0.48510790083823785</v>
      </c>
      <c r="CH25" s="17" t="s">
        <v>66</v>
      </c>
      <c r="CI25" s="20" t="s">
        <v>1467</v>
      </c>
      <c r="CJ25" s="37">
        <v>0.12</v>
      </c>
      <c r="CK25" s="569">
        <f t="shared" si="23"/>
        <v>0.17121455323702511</v>
      </c>
      <c r="CL25" s="46" t="s">
        <v>42</v>
      </c>
      <c r="CM25" s="23" t="s">
        <v>1468</v>
      </c>
      <c r="CN25" s="17">
        <v>0.71</v>
      </c>
      <c r="CO25" s="111">
        <f t="shared" si="24"/>
        <v>1.013019439985732</v>
      </c>
      <c r="CP25" s="17" t="s">
        <v>70</v>
      </c>
      <c r="CQ25" s="20" t="s">
        <v>1469</v>
      </c>
      <c r="CR25" s="37">
        <v>0.51</v>
      </c>
      <c r="CS25" s="203">
        <f t="shared" si="25"/>
        <v>0.72766185125735672</v>
      </c>
      <c r="CT25" s="21" t="s">
        <v>108</v>
      </c>
      <c r="CU25" s="28"/>
      <c r="CV25" s="17">
        <v>0.51</v>
      </c>
      <c r="CW25" s="203">
        <f t="shared" si="26"/>
        <v>0.72766185125735672</v>
      </c>
      <c r="CX25" s="17" t="s">
        <v>66</v>
      </c>
      <c r="CY25" s="20" t="s">
        <v>1470</v>
      </c>
      <c r="CZ25" s="37">
        <v>0.26</v>
      </c>
      <c r="DA25" s="585">
        <f t="shared" si="27"/>
        <v>0.37096486534688777</v>
      </c>
      <c r="DB25" s="21" t="s">
        <v>42</v>
      </c>
      <c r="DC25" s="23" t="s">
        <v>1471</v>
      </c>
      <c r="DD25" s="17">
        <v>0.69</v>
      </c>
      <c r="DE25" s="61">
        <f t="shared" si="28"/>
        <v>0.9844836811128943</v>
      </c>
      <c r="DF25" s="17" t="s">
        <v>70</v>
      </c>
      <c r="DG25" s="20" t="s">
        <v>1472</v>
      </c>
      <c r="DH25" s="37">
        <v>1.17</v>
      </c>
      <c r="DI25" s="421">
        <f t="shared" si="29"/>
        <v>1.6693418940609948</v>
      </c>
      <c r="DJ25" s="21" t="s">
        <v>48</v>
      </c>
      <c r="DK25" s="28"/>
      <c r="DL25" s="17">
        <v>0.14000000000000001</v>
      </c>
      <c r="DM25" s="586">
        <f t="shared" si="30"/>
        <v>0.19975031210986266</v>
      </c>
      <c r="DN25" s="17" t="s">
        <v>46</v>
      </c>
      <c r="DO25" s="51" t="s">
        <v>1473</v>
      </c>
      <c r="DP25" s="21">
        <v>0.72</v>
      </c>
      <c r="DQ25" s="141">
        <f t="shared" si="31"/>
        <v>1.0272873194221506</v>
      </c>
      <c r="DR25" s="53" t="s">
        <v>46</v>
      </c>
      <c r="DS25" s="54" t="s">
        <v>1474</v>
      </c>
      <c r="DT25" s="53">
        <v>0.55000000000000004</v>
      </c>
      <c r="DU25" s="174">
        <f t="shared" si="32"/>
        <v>0.78473336900303181</v>
      </c>
      <c r="DV25" s="56" t="s">
        <v>70</v>
      </c>
      <c r="DW25" s="57" t="s">
        <v>1410</v>
      </c>
      <c r="DX25" s="53">
        <v>0.32</v>
      </c>
      <c r="DY25" s="76">
        <f t="shared" si="33"/>
        <v>0.4565721419654003</v>
      </c>
      <c r="DZ25" s="53" t="s">
        <v>42</v>
      </c>
      <c r="EA25" s="54" t="s">
        <v>1410</v>
      </c>
      <c r="EB25" s="56">
        <v>0.56000000000000005</v>
      </c>
      <c r="EC25" s="491">
        <f t="shared" si="34"/>
        <v>0.79900124843945064</v>
      </c>
      <c r="ED25" s="56" t="s">
        <v>70</v>
      </c>
      <c r="EE25" s="57" t="s">
        <v>1411</v>
      </c>
      <c r="EF25" s="53">
        <v>0.44</v>
      </c>
      <c r="EG25" s="215">
        <f t="shared" si="35"/>
        <v>0.62778669520242547</v>
      </c>
      <c r="EH25" s="53" t="s">
        <v>48</v>
      </c>
      <c r="EI25" s="57" t="s">
        <v>1475</v>
      </c>
      <c r="EJ25" s="53">
        <v>0.95</v>
      </c>
      <c r="EK25" s="148">
        <f t="shared" si="36"/>
        <v>1.3554485464597821</v>
      </c>
      <c r="EL25" s="56" t="s">
        <v>46</v>
      </c>
      <c r="EM25" s="57" t="s">
        <v>1476</v>
      </c>
      <c r="EN25" s="53">
        <v>0.95</v>
      </c>
      <c r="EO25" s="148">
        <f t="shared" si="37"/>
        <v>1.3554485464597821</v>
      </c>
      <c r="EP25" s="53" t="s">
        <v>46</v>
      </c>
      <c r="EQ25" s="23" t="s">
        <v>1477</v>
      </c>
      <c r="ER25" s="53">
        <v>0.36</v>
      </c>
      <c r="ES25" s="350">
        <f t="shared" si="38"/>
        <v>0.51364365971107528</v>
      </c>
      <c r="ET25" s="53" t="s">
        <v>70</v>
      </c>
      <c r="EU25" s="20" t="s">
        <v>1478</v>
      </c>
      <c r="EV25" s="53">
        <v>0.95</v>
      </c>
      <c r="EW25" s="148">
        <f t="shared" si="39"/>
        <v>1.3554485464597821</v>
      </c>
      <c r="EX25" s="21" t="s">
        <v>48</v>
      </c>
      <c r="EY25" s="57" t="s">
        <v>1479</v>
      </c>
      <c r="EZ25" s="53">
        <v>0.78</v>
      </c>
      <c r="FA25" s="263">
        <f t="shared" si="40"/>
        <v>1.1128945960406633</v>
      </c>
      <c r="FB25" s="40"/>
      <c r="FC25" s="40"/>
      <c r="FD25" s="53">
        <v>1.17</v>
      </c>
      <c r="FE25" s="421">
        <f t="shared" si="41"/>
        <v>1.6693418940609948</v>
      </c>
      <c r="FF25" s="21" t="s">
        <v>48</v>
      </c>
      <c r="FG25" s="64"/>
      <c r="FH25" s="17">
        <v>0.99</v>
      </c>
      <c r="FI25" s="281">
        <f t="shared" si="42"/>
        <v>1.4125200642054572</v>
      </c>
      <c r="FJ25" s="17" t="s">
        <v>48</v>
      </c>
      <c r="FK25" s="51" t="s">
        <v>1480</v>
      </c>
      <c r="FL25" s="17">
        <v>0.9</v>
      </c>
      <c r="FM25" s="587">
        <f t="shared" si="43"/>
        <v>1.2841091492776884</v>
      </c>
      <c r="FN25" s="21" t="s">
        <v>46</v>
      </c>
      <c r="FO25" s="51" t="s">
        <v>1481</v>
      </c>
      <c r="FP25" s="17">
        <v>0.56999999999999995</v>
      </c>
      <c r="FQ25" s="223">
        <f t="shared" si="44"/>
        <v>0.81326912787586925</v>
      </c>
      <c r="FR25" s="17" t="s">
        <v>70</v>
      </c>
      <c r="FS25" s="51" t="s">
        <v>1482</v>
      </c>
      <c r="FT25" s="17">
        <v>0.78</v>
      </c>
      <c r="FU25" s="263">
        <f t="shared" si="45"/>
        <v>1.1128945960406633</v>
      </c>
      <c r="FV25" s="17" t="s">
        <v>42</v>
      </c>
      <c r="FW25" s="51" t="s">
        <v>1483</v>
      </c>
      <c r="FX25" s="17">
        <v>1.26</v>
      </c>
      <c r="FY25" s="588">
        <f t="shared" si="46"/>
        <v>1.7977528089887638</v>
      </c>
      <c r="FZ25" s="17" t="s">
        <v>48</v>
      </c>
      <c r="GA25" s="51" t="s">
        <v>1484</v>
      </c>
      <c r="GB25" s="53">
        <v>0.56999999999999995</v>
      </c>
      <c r="GC25" s="223">
        <f t="shared" si="47"/>
        <v>0.81326912787586925</v>
      </c>
      <c r="GD25" s="21" t="s">
        <v>48</v>
      </c>
      <c r="GE25" s="63"/>
      <c r="GF25" s="17">
        <v>0.64</v>
      </c>
      <c r="GG25" s="80">
        <f t="shared" si="48"/>
        <v>0.9131442839308006</v>
      </c>
      <c r="GH25" s="17" t="s">
        <v>46</v>
      </c>
      <c r="GI25" s="51" t="s">
        <v>1485</v>
      </c>
      <c r="GJ25" s="17">
        <v>0.88</v>
      </c>
      <c r="GK25" s="589">
        <f t="shared" si="49"/>
        <v>1.2555733904048509</v>
      </c>
      <c r="GL25" s="17" t="s">
        <v>66</v>
      </c>
      <c r="GM25" s="67" t="s">
        <v>1486</v>
      </c>
      <c r="GN25" s="17">
        <v>0.46</v>
      </c>
      <c r="GO25" s="163">
        <f t="shared" si="50"/>
        <v>0.65632245407526302</v>
      </c>
      <c r="GP25" s="17" t="s">
        <v>42</v>
      </c>
      <c r="GQ25" s="51" t="s">
        <v>1487</v>
      </c>
      <c r="GR25" s="17">
        <v>0.59</v>
      </c>
      <c r="GS25" s="78">
        <f t="shared" si="51"/>
        <v>0.84180488674870679</v>
      </c>
      <c r="GT25" s="17" t="s">
        <v>48</v>
      </c>
      <c r="GU25" s="51" t="s">
        <v>1488</v>
      </c>
      <c r="GV25" s="17">
        <v>1.02</v>
      </c>
      <c r="GW25" s="453">
        <f t="shared" si="52"/>
        <v>1.4553237025147134</v>
      </c>
      <c r="GX25" s="17" t="s">
        <v>48</v>
      </c>
      <c r="GY25" s="67" t="s">
        <v>1489</v>
      </c>
      <c r="GZ25" s="17">
        <v>0.54</v>
      </c>
      <c r="HA25" s="19">
        <f t="shared" si="53"/>
        <v>0.77046548956661309</v>
      </c>
      <c r="HB25" s="17" t="s">
        <v>70</v>
      </c>
      <c r="HC25" s="20" t="s">
        <v>1490</v>
      </c>
      <c r="HD25" s="17">
        <v>0.61</v>
      </c>
      <c r="HE25" s="282">
        <f t="shared" si="54"/>
        <v>0.87034064562154434</v>
      </c>
      <c r="HF25" s="17" t="s">
        <v>42</v>
      </c>
      <c r="HG25" s="20" t="s">
        <v>1426</v>
      </c>
      <c r="HH25" s="17">
        <v>0.96</v>
      </c>
      <c r="HI25" s="34">
        <f t="shared" si="55"/>
        <v>1.3697164258962009</v>
      </c>
      <c r="HJ25" s="17" t="s">
        <v>42</v>
      </c>
      <c r="HK25" s="20" t="s">
        <v>1491</v>
      </c>
      <c r="HL25" s="17">
        <v>0.87</v>
      </c>
      <c r="HM25" s="106">
        <f t="shared" si="56"/>
        <v>1.2413055109684321</v>
      </c>
      <c r="HN25" s="17" t="s">
        <v>42</v>
      </c>
      <c r="HO25" s="20" t="s">
        <v>1428</v>
      </c>
      <c r="HP25" s="17">
        <v>0.48</v>
      </c>
      <c r="HQ25" s="188">
        <f t="shared" si="57"/>
        <v>0.68485821294810045</v>
      </c>
      <c r="HR25" s="17" t="s">
        <v>48</v>
      </c>
      <c r="HS25" s="73" t="s">
        <v>1492</v>
      </c>
      <c r="HT25" s="17">
        <v>1.1000000000000001</v>
      </c>
      <c r="HU25" s="590">
        <f t="shared" si="58"/>
        <v>1.5694667380060636</v>
      </c>
      <c r="HV25" s="17" t="s">
        <v>48</v>
      </c>
      <c r="HW25" s="75" t="s">
        <v>1493</v>
      </c>
      <c r="HX25" s="17">
        <v>0.75</v>
      </c>
      <c r="HY25" s="404">
        <f t="shared" si="59"/>
        <v>1.0700909577314071</v>
      </c>
      <c r="HZ25" s="21" t="s">
        <v>42</v>
      </c>
      <c r="IA25" s="75" t="s">
        <v>1494</v>
      </c>
      <c r="IB25" s="17">
        <v>0.76</v>
      </c>
      <c r="IC25" s="591">
        <f t="shared" si="60"/>
        <v>1.0843588371678257</v>
      </c>
      <c r="ID25" s="17" t="s">
        <v>46</v>
      </c>
      <c r="IE25" s="51" t="s">
        <v>1495</v>
      </c>
      <c r="IF25" s="17">
        <v>0.57999999999999996</v>
      </c>
      <c r="IG25" s="137">
        <f t="shared" si="61"/>
        <v>0.82753700731228796</v>
      </c>
      <c r="IH25" s="17" t="s">
        <v>108</v>
      </c>
      <c r="II25" s="51" t="s">
        <v>1496</v>
      </c>
      <c r="IJ25" s="17">
        <v>0.7</v>
      </c>
      <c r="IK25" s="231">
        <f t="shared" si="62"/>
        <v>0.99875156054931313</v>
      </c>
      <c r="IL25" s="17" t="s">
        <v>42</v>
      </c>
      <c r="IM25" s="51" t="s">
        <v>1497</v>
      </c>
      <c r="IN25" s="17">
        <v>0.5</v>
      </c>
      <c r="IO25" s="129">
        <f t="shared" si="63"/>
        <v>0.713393971820938</v>
      </c>
      <c r="IP25" s="17" t="s">
        <v>48</v>
      </c>
      <c r="IQ25" s="51" t="s">
        <v>1498</v>
      </c>
      <c r="IR25" s="17">
        <v>0.77</v>
      </c>
      <c r="IS25" s="183">
        <f t="shared" si="64"/>
        <v>1.0986267166042445</v>
      </c>
      <c r="IT25" s="17" t="s">
        <v>48</v>
      </c>
      <c r="IU25" s="75" t="s">
        <v>1499</v>
      </c>
      <c r="IV25" s="17">
        <v>0.19</v>
      </c>
      <c r="IW25" s="462">
        <f t="shared" si="65"/>
        <v>0.27108970929195642</v>
      </c>
      <c r="IX25" s="17" t="s">
        <v>48</v>
      </c>
      <c r="IY25" s="51" t="s">
        <v>1500</v>
      </c>
      <c r="IZ25" s="17">
        <v>0.75</v>
      </c>
      <c r="JA25" s="404">
        <f t="shared" si="66"/>
        <v>1.0700909577314071</v>
      </c>
      <c r="JB25" s="17" t="s">
        <v>66</v>
      </c>
      <c r="JC25" s="51" t="s">
        <v>1501</v>
      </c>
      <c r="JD25" s="17">
        <v>0.92</v>
      </c>
      <c r="JE25" s="459">
        <f t="shared" si="67"/>
        <v>1.312644908150526</v>
      </c>
      <c r="JF25" s="17" t="s">
        <v>46</v>
      </c>
      <c r="JG25" s="51" t="s">
        <v>1502</v>
      </c>
      <c r="JH25" s="17">
        <v>0.73</v>
      </c>
      <c r="JI25" s="364">
        <f t="shared" si="68"/>
        <v>1.0415551988585694</v>
      </c>
      <c r="JJ25" s="17" t="s">
        <v>108</v>
      </c>
      <c r="JK25" s="51" t="s">
        <v>1503</v>
      </c>
      <c r="JL25" s="21">
        <v>0.33</v>
      </c>
      <c r="JM25" s="592">
        <f t="shared" si="69"/>
        <v>0.47084002140181908</v>
      </c>
      <c r="JN25" s="21" t="s">
        <v>48</v>
      </c>
      <c r="JO25" s="75" t="s">
        <v>1504</v>
      </c>
      <c r="JP25" s="21">
        <v>0.6</v>
      </c>
      <c r="JQ25" s="272">
        <f t="shared" si="70"/>
        <v>0.85607276618512551</v>
      </c>
      <c r="JR25" s="21" t="s">
        <v>46</v>
      </c>
      <c r="JS25" s="51" t="s">
        <v>1505</v>
      </c>
      <c r="JT25" s="21">
        <v>0.47</v>
      </c>
      <c r="JU25" s="66">
        <f t="shared" si="71"/>
        <v>0.67059033351168162</v>
      </c>
      <c r="JV25" s="21" t="s">
        <v>46</v>
      </c>
      <c r="JW25" s="75" t="s">
        <v>1506</v>
      </c>
      <c r="JX25" s="17">
        <v>0.75</v>
      </c>
      <c r="JY25" s="404">
        <f t="shared" si="72"/>
        <v>1.0700909577314071</v>
      </c>
      <c r="JZ25" s="51" t="s">
        <v>42</v>
      </c>
      <c r="KA25" s="51" t="s">
        <v>1507</v>
      </c>
      <c r="KB25" s="21">
        <v>1.29</v>
      </c>
      <c r="KC25" s="120">
        <f t="shared" si="73"/>
        <v>1.84055644729802</v>
      </c>
      <c r="KD25" s="75" t="s">
        <v>48</v>
      </c>
      <c r="KE25" s="75" t="s">
        <v>1508</v>
      </c>
      <c r="KF25" s="17">
        <v>0.51</v>
      </c>
      <c r="KG25" s="203">
        <f t="shared" si="74"/>
        <v>0.72766185125735672</v>
      </c>
      <c r="KH25" s="51" t="s">
        <v>48</v>
      </c>
      <c r="KI25" s="51" t="s">
        <v>1509</v>
      </c>
      <c r="KJ25" s="21">
        <v>0.56000000000000005</v>
      </c>
      <c r="KK25" s="491">
        <f t="shared" si="75"/>
        <v>0.79900124843945064</v>
      </c>
      <c r="KL25" s="75" t="s">
        <v>42</v>
      </c>
      <c r="KM25" s="75" t="s">
        <v>1510</v>
      </c>
      <c r="KN25" s="17">
        <v>0.67</v>
      </c>
      <c r="KO25" s="194">
        <f t="shared" si="76"/>
        <v>0.95594792224005698</v>
      </c>
      <c r="KP25" s="51" t="s">
        <v>46</v>
      </c>
      <c r="KQ25" s="51" t="s">
        <v>1446</v>
      </c>
      <c r="KR25" s="21">
        <v>0.86</v>
      </c>
      <c r="KS25" s="434">
        <f t="shared" si="77"/>
        <v>1.2270376315320133</v>
      </c>
      <c r="KT25" s="75" t="s">
        <v>46</v>
      </c>
      <c r="KU25" s="75" t="s">
        <v>1511</v>
      </c>
      <c r="KV25" s="82">
        <v>0.66</v>
      </c>
      <c r="KW25" s="121">
        <f t="shared" si="78"/>
        <v>0.94168004280363815</v>
      </c>
      <c r="KX25" s="51" t="s">
        <v>46</v>
      </c>
      <c r="KY25" s="51" t="s">
        <v>1512</v>
      </c>
      <c r="KZ25" s="83">
        <v>0.25</v>
      </c>
      <c r="LA25" s="593">
        <f t="shared" si="79"/>
        <v>0.356696985910469</v>
      </c>
      <c r="LB25" s="75" t="s">
        <v>42</v>
      </c>
      <c r="LC25" s="75" t="s">
        <v>1513</v>
      </c>
      <c r="LD25" s="82">
        <v>0.5</v>
      </c>
      <c r="LE25" s="129">
        <f t="shared" si="80"/>
        <v>0.713393971820938</v>
      </c>
      <c r="LF25" s="51" t="s">
        <v>70</v>
      </c>
      <c r="LG25" s="51" t="s">
        <v>1450</v>
      </c>
      <c r="LH25" s="83">
        <v>0.61</v>
      </c>
      <c r="LI25" s="84"/>
      <c r="LJ25" s="85"/>
      <c r="LK25" s="85"/>
      <c r="LL25" s="86">
        <f t="shared" si="81"/>
        <v>0.70037974683544313</v>
      </c>
      <c r="LM25" s="86">
        <f t="shared" si="82"/>
        <v>1.0565696728718597</v>
      </c>
      <c r="LN25" s="86">
        <f t="shared" si="90"/>
        <v>1.1014815923500501</v>
      </c>
      <c r="LO25" s="86">
        <f t="shared" si="94"/>
        <v>1.0284386173319113</v>
      </c>
      <c r="LP25" s="86">
        <f t="shared" si="95"/>
        <v>-0.21230636739321451</v>
      </c>
      <c r="LQ25" s="87">
        <f t="shared" si="96"/>
        <v>0</v>
      </c>
      <c r="LR25" s="86">
        <f t="shared" si="97"/>
        <v>0.9974049429403854</v>
      </c>
      <c r="LS25" s="84">
        <v>1</v>
      </c>
      <c r="LT25" s="87">
        <f t="shared" si="100"/>
        <v>1</v>
      </c>
      <c r="LU25" s="87">
        <f t="shared" si="92"/>
        <v>1</v>
      </c>
      <c r="LV25" s="86">
        <f t="shared" si="98"/>
        <v>0.92</v>
      </c>
      <c r="LW25" s="89" t="s">
        <v>3810</v>
      </c>
      <c r="LX25" s="5" t="str">
        <f t="shared" si="87"/>
        <v/>
      </c>
      <c r="LY25" s="5" t="str">
        <f t="shared" si="88"/>
        <v/>
      </c>
      <c r="LZ25" s="5"/>
      <c r="MA25" s="67" t="str">
        <f t="shared" si="99"/>
        <v>ATLÉTICO-MG</v>
      </c>
      <c r="MB25" s="89" t="s">
        <v>3808</v>
      </c>
    </row>
    <row r="26" spans="1:340" x14ac:dyDescent="0.2">
      <c r="A26" s="16">
        <v>0.76597222222222228</v>
      </c>
      <c r="B26" s="594">
        <f t="shared" si="0"/>
        <v>0.70437500000000008</v>
      </c>
      <c r="C26" s="595">
        <f t="shared" si="1"/>
        <v>-0.11978704525288386</v>
      </c>
      <c r="D26" s="17">
        <v>0.62</v>
      </c>
      <c r="E26" s="510">
        <f t="shared" si="2"/>
        <v>0.88021295474711614</v>
      </c>
      <c r="F26" s="17" t="s">
        <v>856</v>
      </c>
      <c r="G26" s="20" t="s">
        <v>1514</v>
      </c>
      <c r="H26" s="21">
        <v>0.81</v>
      </c>
      <c r="I26" s="131">
        <f t="shared" si="3"/>
        <v>1.149955634427684</v>
      </c>
      <c r="J26" s="21" t="s">
        <v>46</v>
      </c>
      <c r="K26" s="23" t="s">
        <v>1515</v>
      </c>
      <c r="L26" s="17">
        <v>0.95</v>
      </c>
      <c r="M26" s="392">
        <f t="shared" si="4"/>
        <v>1.3487133984028392</v>
      </c>
      <c r="N26" s="17" t="s">
        <v>48</v>
      </c>
      <c r="O26" s="20" t="s">
        <v>1516</v>
      </c>
      <c r="P26" s="21">
        <v>0.92</v>
      </c>
      <c r="Q26" s="596">
        <f t="shared" si="5"/>
        <v>1.3061224489795917</v>
      </c>
      <c r="R26" s="21" t="s">
        <v>46</v>
      </c>
      <c r="S26" s="23" t="s">
        <v>1517</v>
      </c>
      <c r="T26" s="17">
        <v>0.54</v>
      </c>
      <c r="U26" s="202">
        <f t="shared" si="6"/>
        <v>0.766637089618456</v>
      </c>
      <c r="V26" s="17" t="s">
        <v>70</v>
      </c>
      <c r="W26" s="5"/>
      <c r="X26" s="21">
        <v>0.85</v>
      </c>
      <c r="Y26" s="285">
        <f t="shared" si="7"/>
        <v>1.2067435669920141</v>
      </c>
      <c r="Z26" s="21" t="s">
        <v>49</v>
      </c>
      <c r="AA26" s="28"/>
      <c r="AB26" s="17">
        <v>0.74</v>
      </c>
      <c r="AC26" s="524">
        <f t="shared" si="8"/>
        <v>1.0505767524401064</v>
      </c>
      <c r="AD26" s="17" t="s">
        <v>48</v>
      </c>
      <c r="AE26" s="20" t="s">
        <v>1518</v>
      </c>
      <c r="AF26" s="21">
        <v>0.9</v>
      </c>
      <c r="AG26" s="420">
        <f t="shared" si="9"/>
        <v>1.2777284826974267</v>
      </c>
      <c r="AH26" s="21" t="s">
        <v>356</v>
      </c>
      <c r="AI26" s="23" t="s">
        <v>1519</v>
      </c>
      <c r="AJ26" s="17">
        <v>0.96</v>
      </c>
      <c r="AK26" s="341">
        <f t="shared" si="10"/>
        <v>1.3629103815439216</v>
      </c>
      <c r="AL26" s="17" t="s">
        <v>70</v>
      </c>
      <c r="AM26" s="20" t="s">
        <v>1520</v>
      </c>
      <c r="AN26" s="21">
        <v>1.1399999999999999</v>
      </c>
      <c r="AO26" s="138">
        <f t="shared" si="11"/>
        <v>1.618456078083407</v>
      </c>
      <c r="AP26" s="21" t="s">
        <v>42</v>
      </c>
      <c r="AQ26" s="23" t="s">
        <v>1521</v>
      </c>
      <c r="AR26" s="17">
        <v>0.64</v>
      </c>
      <c r="AS26" s="492">
        <f t="shared" si="12"/>
        <v>0.9086069210292812</v>
      </c>
      <c r="AT26" s="17" t="s">
        <v>46</v>
      </c>
      <c r="AU26" s="20" t="s">
        <v>1522</v>
      </c>
      <c r="AV26" s="21">
        <v>0.89</v>
      </c>
      <c r="AW26" s="95">
        <f t="shared" si="13"/>
        <v>1.2635314995563443</v>
      </c>
      <c r="AX26" s="21" t="s">
        <v>48</v>
      </c>
      <c r="AY26" s="23" t="s">
        <v>1523</v>
      </c>
      <c r="AZ26" s="17">
        <v>1.07</v>
      </c>
      <c r="BA26" s="407">
        <f t="shared" si="14"/>
        <v>1.5190771960958296</v>
      </c>
      <c r="BB26" s="17" t="s">
        <v>856</v>
      </c>
      <c r="BC26" s="20" t="s">
        <v>1524</v>
      </c>
      <c r="BD26" s="17">
        <v>0.92</v>
      </c>
      <c r="BE26" s="596">
        <f t="shared" si="15"/>
        <v>1.3061224489795917</v>
      </c>
      <c r="BF26" s="17" t="s">
        <v>42</v>
      </c>
      <c r="BG26" s="20" t="s">
        <v>1525</v>
      </c>
      <c r="BH26" s="37">
        <v>1.36</v>
      </c>
      <c r="BI26" s="241">
        <f t="shared" si="16"/>
        <v>1.9307897071872226</v>
      </c>
      <c r="BJ26" s="37" t="s">
        <v>42</v>
      </c>
      <c r="BK26" s="38" t="s">
        <v>1526</v>
      </c>
      <c r="BL26" s="17">
        <v>0.69</v>
      </c>
      <c r="BM26" s="389">
        <f t="shared" si="17"/>
        <v>0.97959183673469363</v>
      </c>
      <c r="BN26" s="17" t="s">
        <v>70</v>
      </c>
      <c r="BO26" s="40"/>
      <c r="BP26" s="17">
        <v>0.57999999999999996</v>
      </c>
      <c r="BQ26" s="378">
        <f t="shared" si="18"/>
        <v>0.82342502218278602</v>
      </c>
      <c r="BR26" s="17" t="s">
        <v>42</v>
      </c>
      <c r="BS26" s="41"/>
      <c r="BT26" s="37">
        <v>0.69</v>
      </c>
      <c r="BU26" s="389">
        <f t="shared" si="19"/>
        <v>0.97959183673469363</v>
      </c>
      <c r="BV26" s="46" t="s">
        <v>70</v>
      </c>
      <c r="BW26" s="23" t="s">
        <v>1527</v>
      </c>
      <c r="BX26" s="17">
        <v>0.44</v>
      </c>
      <c r="BY26" s="26">
        <f t="shared" si="20"/>
        <v>0.6246672582076308</v>
      </c>
      <c r="BZ26" s="17" t="s">
        <v>70</v>
      </c>
      <c r="CA26" s="20" t="s">
        <v>1528</v>
      </c>
      <c r="CB26" s="37">
        <v>0.64</v>
      </c>
      <c r="CC26" s="492">
        <f t="shared" si="21"/>
        <v>0.9086069210292812</v>
      </c>
      <c r="CD26" s="46" t="s">
        <v>70</v>
      </c>
      <c r="CE26" s="23" t="s">
        <v>1529</v>
      </c>
      <c r="CF26" s="17">
        <v>0.34</v>
      </c>
      <c r="CG26" s="123">
        <f t="shared" si="22"/>
        <v>0.48269742679680566</v>
      </c>
      <c r="CH26" s="17" t="s">
        <v>42</v>
      </c>
      <c r="CI26" s="20" t="s">
        <v>1530</v>
      </c>
      <c r="CJ26" s="37">
        <v>0.12</v>
      </c>
      <c r="CK26" s="569">
        <f t="shared" si="23"/>
        <v>0.1703637976929902</v>
      </c>
      <c r="CL26" s="46" t="s">
        <v>42</v>
      </c>
      <c r="CM26" s="23" t="s">
        <v>1531</v>
      </c>
      <c r="CN26" s="17">
        <v>0.77</v>
      </c>
      <c r="CO26" s="270">
        <f t="shared" si="24"/>
        <v>1.0931677018633539</v>
      </c>
      <c r="CP26" s="17" t="s">
        <v>108</v>
      </c>
      <c r="CQ26" s="20" t="s">
        <v>1532</v>
      </c>
      <c r="CR26" s="37">
        <v>0.51</v>
      </c>
      <c r="CS26" s="149">
        <f t="shared" si="25"/>
        <v>0.72404614019520841</v>
      </c>
      <c r="CT26" s="21" t="s">
        <v>108</v>
      </c>
      <c r="CU26" s="28"/>
      <c r="CV26" s="17">
        <v>0.51</v>
      </c>
      <c r="CW26" s="149">
        <f t="shared" si="26"/>
        <v>0.72404614019520841</v>
      </c>
      <c r="CX26" s="17" t="s">
        <v>66</v>
      </c>
      <c r="CY26" s="20" t="s">
        <v>1533</v>
      </c>
      <c r="CZ26" s="37">
        <v>0.33</v>
      </c>
      <c r="DA26" s="255">
        <f t="shared" si="27"/>
        <v>0.46850044365572313</v>
      </c>
      <c r="DB26" s="21" t="s">
        <v>42</v>
      </c>
      <c r="DC26" s="23" t="s">
        <v>1534</v>
      </c>
      <c r="DD26" s="17">
        <v>0.63</v>
      </c>
      <c r="DE26" s="108">
        <f t="shared" si="28"/>
        <v>0.89440993788819867</v>
      </c>
      <c r="DF26" s="17" t="s">
        <v>70</v>
      </c>
      <c r="DG26" s="20" t="s">
        <v>1535</v>
      </c>
      <c r="DH26" s="37">
        <v>1.17</v>
      </c>
      <c r="DI26" s="597">
        <f t="shared" si="29"/>
        <v>1.6610470275066544</v>
      </c>
      <c r="DJ26" s="21" t="s">
        <v>108</v>
      </c>
      <c r="DK26" s="28"/>
      <c r="DL26" s="17">
        <v>0.14000000000000001</v>
      </c>
      <c r="DM26" s="586">
        <f t="shared" si="30"/>
        <v>0.19875776397515527</v>
      </c>
      <c r="DN26" s="17" t="s">
        <v>46</v>
      </c>
      <c r="DO26" s="51" t="s">
        <v>1473</v>
      </c>
      <c r="DP26" s="21">
        <v>0.72</v>
      </c>
      <c r="DQ26" s="368">
        <f t="shared" si="31"/>
        <v>1.0221827861579413</v>
      </c>
      <c r="DR26" s="53" t="s">
        <v>46</v>
      </c>
      <c r="DS26" s="54" t="s">
        <v>1536</v>
      </c>
      <c r="DT26" s="53">
        <v>0.54</v>
      </c>
      <c r="DU26" s="202">
        <f t="shared" si="32"/>
        <v>0.766637089618456</v>
      </c>
      <c r="DV26" s="56" t="s">
        <v>70</v>
      </c>
      <c r="DW26" s="57" t="s">
        <v>1537</v>
      </c>
      <c r="DX26" s="53">
        <v>0.38</v>
      </c>
      <c r="DY26" s="189">
        <f t="shared" si="33"/>
        <v>0.53948535936113573</v>
      </c>
      <c r="DZ26" s="53" t="s">
        <v>42</v>
      </c>
      <c r="EA26" s="54" t="s">
        <v>1537</v>
      </c>
      <c r="EB26" s="56">
        <v>0.56000000000000005</v>
      </c>
      <c r="EC26" s="31">
        <f t="shared" si="34"/>
        <v>0.79503105590062106</v>
      </c>
      <c r="ED26" s="56" t="s">
        <v>70</v>
      </c>
      <c r="EE26" s="57" t="s">
        <v>1538</v>
      </c>
      <c r="EF26" s="53">
        <v>0.44</v>
      </c>
      <c r="EG26" s="26">
        <f t="shared" si="35"/>
        <v>0.6246672582076308</v>
      </c>
      <c r="EH26" s="53" t="s">
        <v>48</v>
      </c>
      <c r="EI26" s="57" t="s">
        <v>1412</v>
      </c>
      <c r="EJ26" s="53">
        <v>1.01</v>
      </c>
      <c r="EK26" s="335">
        <f t="shared" si="36"/>
        <v>1.4338952972493344</v>
      </c>
      <c r="EL26" s="56" t="s">
        <v>46</v>
      </c>
      <c r="EM26" s="57" t="s">
        <v>1539</v>
      </c>
      <c r="EN26" s="53">
        <v>0.95</v>
      </c>
      <c r="EO26" s="392">
        <f t="shared" si="37"/>
        <v>1.3487133984028392</v>
      </c>
      <c r="EP26" s="53" t="s">
        <v>46</v>
      </c>
      <c r="EQ26" s="23" t="s">
        <v>1540</v>
      </c>
      <c r="ER26" s="53">
        <v>0.36</v>
      </c>
      <c r="ES26" s="350">
        <f t="shared" si="38"/>
        <v>0.51109139307897067</v>
      </c>
      <c r="ET26" s="53" t="s">
        <v>179</v>
      </c>
      <c r="EU26" s="20" t="s">
        <v>1541</v>
      </c>
      <c r="EV26" s="53">
        <v>0.95</v>
      </c>
      <c r="EW26" s="392">
        <f t="shared" si="39"/>
        <v>1.3487133984028392</v>
      </c>
      <c r="EX26" s="21" t="s">
        <v>48</v>
      </c>
      <c r="EY26" s="57" t="s">
        <v>1542</v>
      </c>
      <c r="EZ26" s="53">
        <v>0.78</v>
      </c>
      <c r="FA26" s="474">
        <f t="shared" si="40"/>
        <v>1.1073646850044365</v>
      </c>
      <c r="FB26" s="40"/>
      <c r="FC26" s="40"/>
      <c r="FD26" s="53">
        <v>1.22</v>
      </c>
      <c r="FE26" s="598">
        <f t="shared" si="41"/>
        <v>1.7320319432120672</v>
      </c>
      <c r="FF26" s="21" t="s">
        <v>48</v>
      </c>
      <c r="FG26" s="64"/>
      <c r="FH26" s="17">
        <v>0.99</v>
      </c>
      <c r="FI26" s="105">
        <f t="shared" si="42"/>
        <v>1.4055013309671693</v>
      </c>
      <c r="FJ26" s="17" t="s">
        <v>48</v>
      </c>
      <c r="FK26" s="51" t="s">
        <v>1543</v>
      </c>
      <c r="FL26" s="17">
        <v>0.85</v>
      </c>
      <c r="FM26" s="285">
        <f t="shared" si="43"/>
        <v>1.2067435669920141</v>
      </c>
      <c r="FN26" s="21" t="s">
        <v>46</v>
      </c>
      <c r="FO26" s="51" t="s">
        <v>1544</v>
      </c>
      <c r="FP26" s="17">
        <v>0.56999999999999995</v>
      </c>
      <c r="FQ26" s="159">
        <f t="shared" si="44"/>
        <v>0.80922803904170348</v>
      </c>
      <c r="FR26" s="17" t="s">
        <v>70</v>
      </c>
      <c r="FS26" s="51" t="s">
        <v>1545</v>
      </c>
      <c r="FT26" s="17">
        <v>0.79</v>
      </c>
      <c r="FU26" s="475">
        <f t="shared" si="45"/>
        <v>1.1215616681455189</v>
      </c>
      <c r="FV26" s="17" t="s">
        <v>42</v>
      </c>
      <c r="FW26" s="51" t="s">
        <v>1546</v>
      </c>
      <c r="FX26" s="17">
        <v>1.2</v>
      </c>
      <c r="FY26" s="59">
        <f t="shared" si="46"/>
        <v>1.7036379769299022</v>
      </c>
      <c r="FZ26" s="17" t="s">
        <v>48</v>
      </c>
      <c r="GA26" s="51" t="s">
        <v>1547</v>
      </c>
      <c r="GB26" s="53">
        <v>0.56999999999999995</v>
      </c>
      <c r="GC26" s="159">
        <f t="shared" si="47"/>
        <v>0.80922803904170348</v>
      </c>
      <c r="GD26" s="21" t="s">
        <v>46</v>
      </c>
      <c r="GE26" s="63"/>
      <c r="GF26" s="17">
        <v>0.64</v>
      </c>
      <c r="GG26" s="492">
        <f t="shared" si="48"/>
        <v>0.9086069210292812</v>
      </c>
      <c r="GH26" s="17" t="s">
        <v>46</v>
      </c>
      <c r="GI26" s="51" t="s">
        <v>1548</v>
      </c>
      <c r="GJ26" s="17">
        <v>0.88</v>
      </c>
      <c r="GK26" s="47">
        <f t="shared" si="49"/>
        <v>1.2493345164152616</v>
      </c>
      <c r="GL26" s="17" t="s">
        <v>48</v>
      </c>
      <c r="GM26" s="67" t="s">
        <v>1549</v>
      </c>
      <c r="GN26" s="17">
        <v>0.45</v>
      </c>
      <c r="GO26" s="349">
        <f t="shared" si="50"/>
        <v>0.63886424134871334</v>
      </c>
      <c r="GP26" s="17" t="s">
        <v>42</v>
      </c>
      <c r="GQ26" s="51" t="s">
        <v>1550</v>
      </c>
      <c r="GR26" s="17">
        <v>0.59</v>
      </c>
      <c r="GS26" s="415">
        <f t="shared" si="51"/>
        <v>0.83762200532386855</v>
      </c>
      <c r="GT26" s="17" t="s">
        <v>48</v>
      </c>
      <c r="GU26" s="51" t="s">
        <v>1551</v>
      </c>
      <c r="GV26" s="17">
        <v>0.96</v>
      </c>
      <c r="GW26" s="341">
        <f t="shared" si="52"/>
        <v>1.3629103815439216</v>
      </c>
      <c r="GX26" s="17" t="s">
        <v>42</v>
      </c>
      <c r="GY26" s="67" t="s">
        <v>1489</v>
      </c>
      <c r="GZ26" s="17">
        <v>0.47</v>
      </c>
      <c r="HA26" s="411">
        <f t="shared" si="53"/>
        <v>0.66725820763087829</v>
      </c>
      <c r="HB26" s="17" t="s">
        <v>70</v>
      </c>
      <c r="HC26" s="20" t="s">
        <v>1552</v>
      </c>
      <c r="HD26" s="17">
        <v>0.61</v>
      </c>
      <c r="HE26" s="461">
        <f t="shared" si="54"/>
        <v>0.86601597160603361</v>
      </c>
      <c r="HF26" s="17" t="s">
        <v>42</v>
      </c>
      <c r="HG26" s="20" t="s">
        <v>1553</v>
      </c>
      <c r="HH26" s="17">
        <v>0.91</v>
      </c>
      <c r="HI26" s="599">
        <f t="shared" si="55"/>
        <v>1.2919254658385093</v>
      </c>
      <c r="HJ26" s="17" t="s">
        <v>66</v>
      </c>
      <c r="HK26" s="20" t="s">
        <v>1554</v>
      </c>
      <c r="HL26" s="17">
        <v>1.08</v>
      </c>
      <c r="HM26" s="209">
        <f t="shared" si="56"/>
        <v>1.533274179236912</v>
      </c>
      <c r="HN26" s="17" t="s">
        <v>48</v>
      </c>
      <c r="HO26" s="20" t="s">
        <v>1555</v>
      </c>
      <c r="HP26" s="17">
        <v>0.54</v>
      </c>
      <c r="HQ26" s="202">
        <f t="shared" si="57"/>
        <v>0.766637089618456</v>
      </c>
      <c r="HR26" s="17" t="s">
        <v>48</v>
      </c>
      <c r="HS26" s="73" t="s">
        <v>1556</v>
      </c>
      <c r="HT26" s="17">
        <v>1.1100000000000001</v>
      </c>
      <c r="HU26" s="600">
        <f t="shared" si="58"/>
        <v>1.5758651286601597</v>
      </c>
      <c r="HV26" s="17" t="s">
        <v>48</v>
      </c>
      <c r="HW26" s="75" t="s">
        <v>1557</v>
      </c>
      <c r="HX26" s="17">
        <v>0.69</v>
      </c>
      <c r="HY26" s="389">
        <f t="shared" si="59"/>
        <v>0.97959183673469363</v>
      </c>
      <c r="HZ26" s="21" t="s">
        <v>42</v>
      </c>
      <c r="IA26" s="75" t="s">
        <v>1558</v>
      </c>
      <c r="IB26" s="17">
        <v>0.7</v>
      </c>
      <c r="IC26" s="251">
        <f t="shared" si="60"/>
        <v>0.99378881987577616</v>
      </c>
      <c r="ID26" s="17" t="s">
        <v>46</v>
      </c>
      <c r="IE26" s="51" t="s">
        <v>1559</v>
      </c>
      <c r="IF26" s="17">
        <v>0.63</v>
      </c>
      <c r="IG26" s="108">
        <f t="shared" si="61"/>
        <v>0.89440993788819867</v>
      </c>
      <c r="IH26" s="17" t="s">
        <v>42</v>
      </c>
      <c r="II26" s="67" t="s">
        <v>1560</v>
      </c>
      <c r="IJ26" s="17">
        <v>0.7</v>
      </c>
      <c r="IK26" s="251">
        <f t="shared" si="62"/>
        <v>0.99378881987577616</v>
      </c>
      <c r="IL26" s="17" t="s">
        <v>42</v>
      </c>
      <c r="IM26" s="51" t="s">
        <v>1561</v>
      </c>
      <c r="IN26" s="17">
        <v>0.56000000000000005</v>
      </c>
      <c r="IO26" s="31">
        <f t="shared" si="63"/>
        <v>0.79503105590062106</v>
      </c>
      <c r="IP26" s="17" t="s">
        <v>48</v>
      </c>
      <c r="IQ26" s="51" t="s">
        <v>1562</v>
      </c>
      <c r="IR26" s="17">
        <v>0.77</v>
      </c>
      <c r="IS26" s="270">
        <f t="shared" si="64"/>
        <v>1.0931677018633539</v>
      </c>
      <c r="IT26" s="17" t="s">
        <v>46</v>
      </c>
      <c r="IU26" s="75" t="s">
        <v>1563</v>
      </c>
      <c r="IV26" s="17">
        <v>0.13</v>
      </c>
      <c r="IW26" s="498">
        <f t="shared" si="65"/>
        <v>0.18456078083407274</v>
      </c>
      <c r="IX26" s="17" t="s">
        <v>48</v>
      </c>
      <c r="IY26" s="51" t="s">
        <v>1564</v>
      </c>
      <c r="IZ26" s="17">
        <v>0.44</v>
      </c>
      <c r="JA26" s="26">
        <f t="shared" si="66"/>
        <v>0.6246672582076308</v>
      </c>
      <c r="JB26" s="17" t="s">
        <v>66</v>
      </c>
      <c r="JC26" s="51" t="s">
        <v>1565</v>
      </c>
      <c r="JD26" s="17">
        <v>0.87</v>
      </c>
      <c r="JE26" s="486">
        <f t="shared" si="67"/>
        <v>1.2351375332741792</v>
      </c>
      <c r="JF26" s="17" t="s">
        <v>46</v>
      </c>
      <c r="JG26" s="51" t="s">
        <v>1566</v>
      </c>
      <c r="JH26" s="17">
        <v>0.73</v>
      </c>
      <c r="JI26" s="601">
        <f t="shared" si="68"/>
        <v>1.0363797692990238</v>
      </c>
      <c r="JJ26" s="17" t="s">
        <v>108</v>
      </c>
      <c r="JK26" s="51" t="s">
        <v>1567</v>
      </c>
      <c r="JL26" s="21">
        <v>0.39</v>
      </c>
      <c r="JM26" s="325">
        <f t="shared" si="69"/>
        <v>0.55368234250221826</v>
      </c>
      <c r="JN26" s="21" t="s">
        <v>48</v>
      </c>
      <c r="JO26" s="75" t="s">
        <v>1568</v>
      </c>
      <c r="JP26" s="21">
        <v>0.6</v>
      </c>
      <c r="JQ26" s="127">
        <f t="shared" si="70"/>
        <v>0.85181898846495108</v>
      </c>
      <c r="JR26" s="21" t="s">
        <v>46</v>
      </c>
      <c r="JS26" s="51" t="s">
        <v>1569</v>
      </c>
      <c r="JT26" s="21">
        <v>0.45</v>
      </c>
      <c r="JU26" s="349">
        <f t="shared" si="71"/>
        <v>0.63886424134871334</v>
      </c>
      <c r="JV26" s="21" t="s">
        <v>46</v>
      </c>
      <c r="JW26" s="75" t="s">
        <v>1570</v>
      </c>
      <c r="JX26" s="17">
        <v>0.75</v>
      </c>
      <c r="JY26" s="334">
        <f t="shared" si="72"/>
        <v>1.0647737355811888</v>
      </c>
      <c r="JZ26" s="51" t="s">
        <v>42</v>
      </c>
      <c r="KA26" s="51" t="s">
        <v>1571</v>
      </c>
      <c r="KB26" s="21">
        <v>1.29</v>
      </c>
      <c r="KC26" s="602">
        <f t="shared" si="73"/>
        <v>1.8314108251996448</v>
      </c>
      <c r="KD26" s="75" t="s">
        <v>48</v>
      </c>
      <c r="KE26" s="75" t="s">
        <v>1572</v>
      </c>
      <c r="KF26" s="17">
        <v>0.51</v>
      </c>
      <c r="KG26" s="149">
        <f t="shared" si="74"/>
        <v>0.72404614019520841</v>
      </c>
      <c r="KH26" s="51" t="s">
        <v>48</v>
      </c>
      <c r="KI26" s="51" t="s">
        <v>1573</v>
      </c>
      <c r="KJ26" s="21">
        <v>0.67</v>
      </c>
      <c r="KK26" s="37">
        <f t="shared" si="75"/>
        <v>0.95119787045252879</v>
      </c>
      <c r="KL26" s="75" t="s">
        <v>42</v>
      </c>
      <c r="KM26" s="75" t="s">
        <v>1574</v>
      </c>
      <c r="KN26" s="17">
        <v>0.6</v>
      </c>
      <c r="KO26" s="127">
        <f t="shared" si="76"/>
        <v>0.85181898846495108</v>
      </c>
      <c r="KP26" s="51" t="s">
        <v>46</v>
      </c>
      <c r="KQ26" s="51" t="s">
        <v>1575</v>
      </c>
      <c r="KR26" s="21">
        <v>0.86</v>
      </c>
      <c r="KS26" s="107">
        <f t="shared" si="77"/>
        <v>1.2209405501330965</v>
      </c>
      <c r="KT26" s="75" t="s">
        <v>46</v>
      </c>
      <c r="KU26" s="75" t="s">
        <v>1511</v>
      </c>
      <c r="KV26" s="82">
        <v>0.74</v>
      </c>
      <c r="KW26" s="524">
        <f t="shared" si="78"/>
        <v>1.0505767524401064</v>
      </c>
      <c r="KX26" s="51" t="s">
        <v>42</v>
      </c>
      <c r="KY26" s="51" t="s">
        <v>1576</v>
      </c>
      <c r="KZ26" s="83">
        <v>0.25</v>
      </c>
      <c r="LA26" s="593">
        <f t="shared" si="79"/>
        <v>0.35492457852706294</v>
      </c>
      <c r="LB26" s="75" t="s">
        <v>42</v>
      </c>
      <c r="LC26" s="75" t="s">
        <v>1577</v>
      </c>
      <c r="LD26" s="82">
        <v>0.5</v>
      </c>
      <c r="LE26" s="129">
        <f t="shared" si="80"/>
        <v>0.70984915705412588</v>
      </c>
      <c r="LF26" s="51" t="s">
        <v>70</v>
      </c>
      <c r="LG26" s="51" t="s">
        <v>1578</v>
      </c>
      <c r="LH26" s="83">
        <v>0.53</v>
      </c>
      <c r="LI26" s="84"/>
      <c r="LJ26" s="85"/>
      <c r="LK26" s="85"/>
      <c r="LL26" s="86">
        <f t="shared" si="81"/>
        <v>0.70544303797468366</v>
      </c>
      <c r="LM26" s="86">
        <f t="shared" si="82"/>
        <v>0.87888031580836157</v>
      </c>
      <c r="LN26" s="86">
        <f t="shared" si="90"/>
        <v>1.0995289001988244</v>
      </c>
      <c r="LO26" s="86">
        <f t="shared" si="94"/>
        <v>1.0256935580212665</v>
      </c>
      <c r="LP26" s="86">
        <f t="shared" si="95"/>
        <v>8.7116337967567681E-3</v>
      </c>
      <c r="LQ26" s="87">
        <f t="shared" si="96"/>
        <v>0</v>
      </c>
      <c r="LR26" s="86">
        <f t="shared" si="97"/>
        <v>1.0479425944964103</v>
      </c>
      <c r="LS26" s="84">
        <v>1</v>
      </c>
      <c r="LT26" s="87">
        <f t="shared" si="100"/>
        <v>1</v>
      </c>
      <c r="LU26" s="87">
        <f t="shared" si="92"/>
        <v>1</v>
      </c>
      <c r="LV26" s="86">
        <f t="shared" si="98"/>
        <v>0.92</v>
      </c>
      <c r="LW26" s="89" t="s">
        <v>3810</v>
      </c>
      <c r="LX26" s="5" t="str">
        <f t="shared" si="87"/>
        <v/>
      </c>
      <c r="LY26" s="5" t="str">
        <f t="shared" si="88"/>
        <v/>
      </c>
      <c r="LZ26" s="5"/>
      <c r="MA26" s="67" t="str">
        <f t="shared" si="99"/>
        <v>VASCO</v>
      </c>
      <c r="MB26" s="89" t="s">
        <v>3808</v>
      </c>
    </row>
    <row r="27" spans="1:340" x14ac:dyDescent="0.2">
      <c r="A27" s="16">
        <v>0.76666666666666672</v>
      </c>
      <c r="B27" s="558">
        <f t="shared" si="0"/>
        <v>0.70487500000000014</v>
      </c>
      <c r="C27" s="603">
        <f t="shared" si="1"/>
        <v>-2.1103032452562731E-2</v>
      </c>
      <c r="D27" s="17">
        <v>0.69</v>
      </c>
      <c r="E27" s="389">
        <f t="shared" si="2"/>
        <v>0.97889696754743727</v>
      </c>
      <c r="F27" s="17" t="s">
        <v>48</v>
      </c>
      <c r="G27" s="20" t="s">
        <v>1579</v>
      </c>
      <c r="H27" s="21">
        <v>0.81</v>
      </c>
      <c r="I27" s="131">
        <f t="shared" si="3"/>
        <v>1.1491399184252526</v>
      </c>
      <c r="J27" s="21" t="s">
        <v>46</v>
      </c>
      <c r="K27" s="23" t="s">
        <v>1580</v>
      </c>
      <c r="L27" s="17">
        <v>0.89</v>
      </c>
      <c r="M27" s="435">
        <f t="shared" si="4"/>
        <v>1.2626352190104626</v>
      </c>
      <c r="N27" s="17" t="s">
        <v>42</v>
      </c>
      <c r="O27" s="20" t="s">
        <v>1581</v>
      </c>
      <c r="P27" s="21">
        <v>0.92</v>
      </c>
      <c r="Q27" s="529">
        <f t="shared" si="5"/>
        <v>1.3051959567299165</v>
      </c>
      <c r="R27" s="21" t="s">
        <v>46</v>
      </c>
      <c r="S27" s="23" t="s">
        <v>1582</v>
      </c>
      <c r="T27" s="17">
        <v>0.54</v>
      </c>
      <c r="U27" s="202">
        <f t="shared" si="6"/>
        <v>0.76609327895016832</v>
      </c>
      <c r="V27" s="17" t="s">
        <v>70</v>
      </c>
      <c r="W27" s="5"/>
      <c r="X27" s="21">
        <v>0.98</v>
      </c>
      <c r="Y27" s="604">
        <f t="shared" si="7"/>
        <v>1.3903174321688239</v>
      </c>
      <c r="Z27" s="21" t="s">
        <v>49</v>
      </c>
      <c r="AA27" s="28"/>
      <c r="AB27" s="17">
        <v>0.74</v>
      </c>
      <c r="AC27" s="153">
        <f t="shared" si="8"/>
        <v>1.0498315304131935</v>
      </c>
      <c r="AD27" s="17" t="s">
        <v>48</v>
      </c>
      <c r="AE27" s="20" t="s">
        <v>1583</v>
      </c>
      <c r="AF27" s="21">
        <v>0.9</v>
      </c>
      <c r="AG27" s="605">
        <f t="shared" si="9"/>
        <v>1.2768221315836139</v>
      </c>
      <c r="AH27" s="21" t="s">
        <v>46</v>
      </c>
      <c r="AI27" s="23" t="s">
        <v>1584</v>
      </c>
      <c r="AJ27" s="17">
        <v>1.01</v>
      </c>
      <c r="AK27" s="286">
        <f t="shared" si="10"/>
        <v>1.4328781698882778</v>
      </c>
      <c r="AL27" s="17" t="s">
        <v>70</v>
      </c>
      <c r="AM27" s="20" t="s">
        <v>1585</v>
      </c>
      <c r="AN27" s="21">
        <v>1.1399999999999999</v>
      </c>
      <c r="AO27" s="193">
        <f t="shared" si="11"/>
        <v>1.617308033339244</v>
      </c>
      <c r="AP27" s="21" t="s">
        <v>48</v>
      </c>
      <c r="AQ27" s="23" t="s">
        <v>1586</v>
      </c>
      <c r="AR27" s="17">
        <v>0.64</v>
      </c>
      <c r="AS27" s="492">
        <f t="shared" si="12"/>
        <v>0.90796240468168099</v>
      </c>
      <c r="AT27" s="17" t="s">
        <v>46</v>
      </c>
      <c r="AU27" s="20" t="s">
        <v>1587</v>
      </c>
      <c r="AV27" s="21">
        <v>0.83</v>
      </c>
      <c r="AW27" s="25">
        <f t="shared" si="13"/>
        <v>1.177513743571555</v>
      </c>
      <c r="AX27" s="21" t="s">
        <v>179</v>
      </c>
      <c r="AY27" s="23" t="s">
        <v>1588</v>
      </c>
      <c r="AZ27" s="17">
        <v>1.01</v>
      </c>
      <c r="BA27" s="286">
        <f t="shared" si="14"/>
        <v>1.4328781698882778</v>
      </c>
      <c r="BB27" s="17" t="s">
        <v>856</v>
      </c>
      <c r="BC27" s="20" t="s">
        <v>1589</v>
      </c>
      <c r="BD27" s="17">
        <v>0.86</v>
      </c>
      <c r="BE27" s="107">
        <f t="shared" si="15"/>
        <v>1.2200744812910087</v>
      </c>
      <c r="BF27" s="17" t="s">
        <v>42</v>
      </c>
      <c r="BG27" s="20" t="s">
        <v>1590</v>
      </c>
      <c r="BH27" s="37">
        <v>1.43</v>
      </c>
      <c r="BI27" s="468">
        <f t="shared" si="16"/>
        <v>2.028728497960631</v>
      </c>
      <c r="BJ27" s="37" t="s">
        <v>42</v>
      </c>
      <c r="BK27" s="38" t="s">
        <v>1591</v>
      </c>
      <c r="BL27" s="17">
        <v>0.69</v>
      </c>
      <c r="BM27" s="389">
        <f t="shared" si="17"/>
        <v>0.97889696754743727</v>
      </c>
      <c r="BN27" s="17" t="s">
        <v>70</v>
      </c>
      <c r="BO27" s="40"/>
      <c r="BP27" s="17">
        <v>0.64</v>
      </c>
      <c r="BQ27" s="492">
        <f t="shared" si="18"/>
        <v>0.90796240468168099</v>
      </c>
      <c r="BR27" s="17" t="s">
        <v>42</v>
      </c>
      <c r="BS27" s="41"/>
      <c r="BT27" s="37">
        <v>0.63</v>
      </c>
      <c r="BU27" s="199">
        <f t="shared" si="19"/>
        <v>0.89377549210852969</v>
      </c>
      <c r="BV27" s="46" t="s">
        <v>66</v>
      </c>
      <c r="BW27" s="23" t="s">
        <v>1527</v>
      </c>
      <c r="BX27" s="17">
        <v>0.52</v>
      </c>
      <c r="BY27" s="425">
        <f t="shared" si="20"/>
        <v>0.73771945380386583</v>
      </c>
      <c r="BZ27" s="17" t="s">
        <v>70</v>
      </c>
      <c r="CA27" s="20" t="s">
        <v>1592</v>
      </c>
      <c r="CB27" s="37">
        <v>0.77</v>
      </c>
      <c r="CC27" s="505">
        <f t="shared" si="21"/>
        <v>1.0923922681326474</v>
      </c>
      <c r="CD27" s="46" t="s">
        <v>70</v>
      </c>
      <c r="CE27" s="23" t="s">
        <v>1593</v>
      </c>
      <c r="CF27" s="17">
        <v>0.27</v>
      </c>
      <c r="CG27" s="576">
        <f t="shared" si="22"/>
        <v>0.38304663947508416</v>
      </c>
      <c r="CH27" s="17" t="s">
        <v>42</v>
      </c>
      <c r="CI27" s="20" t="s">
        <v>1594</v>
      </c>
      <c r="CJ27" s="37">
        <v>0.12</v>
      </c>
      <c r="CK27" s="569">
        <f t="shared" si="23"/>
        <v>0.17024295087781519</v>
      </c>
      <c r="CL27" s="46" t="s">
        <v>42</v>
      </c>
      <c r="CM27" s="23" t="s">
        <v>1595</v>
      </c>
      <c r="CN27" s="17">
        <v>0.71</v>
      </c>
      <c r="CO27" s="606">
        <f t="shared" si="24"/>
        <v>1.0072707926937399</v>
      </c>
      <c r="CP27" s="17" t="s">
        <v>70</v>
      </c>
      <c r="CQ27" s="20" t="s">
        <v>1596</v>
      </c>
      <c r="CR27" s="37">
        <v>0.51</v>
      </c>
      <c r="CS27" s="149">
        <f t="shared" si="25"/>
        <v>0.72353254123071453</v>
      </c>
      <c r="CT27" s="21" t="s">
        <v>46</v>
      </c>
      <c r="CU27" s="23" t="s">
        <v>1597</v>
      </c>
      <c r="CV27" s="17">
        <v>0.51</v>
      </c>
      <c r="CW27" s="149">
        <f t="shared" si="26"/>
        <v>0.72353254123071453</v>
      </c>
      <c r="CX27" s="17" t="s">
        <v>42</v>
      </c>
      <c r="CY27" s="20" t="s">
        <v>1598</v>
      </c>
      <c r="CZ27" s="37">
        <v>0.33</v>
      </c>
      <c r="DA27" s="255">
        <f t="shared" si="27"/>
        <v>0.4681681149139918</v>
      </c>
      <c r="DB27" s="21" t="s">
        <v>42</v>
      </c>
      <c r="DC27" s="23" t="s">
        <v>1599</v>
      </c>
      <c r="DD27" s="17">
        <v>0.63</v>
      </c>
      <c r="DE27" s="199">
        <f t="shared" si="28"/>
        <v>0.89377549210852969</v>
      </c>
      <c r="DF27" s="17" t="s">
        <v>46</v>
      </c>
      <c r="DG27" s="20" t="s">
        <v>1600</v>
      </c>
      <c r="DH27" s="37">
        <v>1.04</v>
      </c>
      <c r="DI27" s="607">
        <f t="shared" si="29"/>
        <v>1.4754389076077317</v>
      </c>
      <c r="DJ27" s="21" t="s">
        <v>46</v>
      </c>
      <c r="DK27" s="28"/>
      <c r="DL27" s="17">
        <v>0.14000000000000001</v>
      </c>
      <c r="DM27" s="586">
        <f t="shared" si="30"/>
        <v>0.19861677602411773</v>
      </c>
      <c r="DN27" s="17" t="s">
        <v>48</v>
      </c>
      <c r="DO27" s="51" t="s">
        <v>1601</v>
      </c>
      <c r="DP27" s="21">
        <v>0.72</v>
      </c>
      <c r="DQ27" s="533">
        <f t="shared" si="31"/>
        <v>1.0214577052668909</v>
      </c>
      <c r="DR27" s="53" t="s">
        <v>46</v>
      </c>
      <c r="DS27" s="54" t="s">
        <v>1602</v>
      </c>
      <c r="DT27" s="53">
        <v>0.73</v>
      </c>
      <c r="DU27" s="601">
        <f t="shared" si="32"/>
        <v>1.0356446178400422</v>
      </c>
      <c r="DV27" s="56" t="s">
        <v>70</v>
      </c>
      <c r="DW27" s="57" t="s">
        <v>1603</v>
      </c>
      <c r="DX27" s="53">
        <v>0.38</v>
      </c>
      <c r="DY27" s="189">
        <f t="shared" si="33"/>
        <v>0.53910267777974807</v>
      </c>
      <c r="DZ27" s="53" t="s">
        <v>42</v>
      </c>
      <c r="EA27" s="54" t="s">
        <v>1603</v>
      </c>
      <c r="EB27" s="56">
        <v>0.56000000000000005</v>
      </c>
      <c r="EC27" s="31">
        <f t="shared" si="34"/>
        <v>0.79446710409647092</v>
      </c>
      <c r="ED27" s="56" t="s">
        <v>70</v>
      </c>
      <c r="EE27" s="57" t="s">
        <v>1604</v>
      </c>
      <c r="EF27" s="53">
        <v>0.44</v>
      </c>
      <c r="EG27" s="26">
        <f t="shared" si="35"/>
        <v>0.62422415321865565</v>
      </c>
      <c r="EH27" s="53" t="s">
        <v>48</v>
      </c>
      <c r="EI27" s="57" t="s">
        <v>1475</v>
      </c>
      <c r="EJ27" s="53">
        <v>1.01</v>
      </c>
      <c r="EK27" s="286">
        <f t="shared" si="36"/>
        <v>1.4328781698882778</v>
      </c>
      <c r="EL27" s="56" t="s">
        <v>46</v>
      </c>
      <c r="EM27" s="57" t="s">
        <v>1539</v>
      </c>
      <c r="EN27" s="53">
        <v>0.95</v>
      </c>
      <c r="EO27" s="392">
        <f t="shared" si="37"/>
        <v>1.3477566944493702</v>
      </c>
      <c r="EP27" s="53" t="s">
        <v>46</v>
      </c>
      <c r="EQ27" s="23" t="s">
        <v>1605</v>
      </c>
      <c r="ER27" s="53">
        <v>0.42</v>
      </c>
      <c r="ES27" s="494">
        <f t="shared" si="38"/>
        <v>0.59585032807235316</v>
      </c>
      <c r="ET27" s="53" t="s">
        <v>179</v>
      </c>
      <c r="EU27" s="20" t="s">
        <v>1606</v>
      </c>
      <c r="EV27" s="53">
        <v>0.95</v>
      </c>
      <c r="EW27" s="392">
        <f t="shared" si="39"/>
        <v>1.3477566944493702</v>
      </c>
      <c r="EX27" s="21" t="s">
        <v>48</v>
      </c>
      <c r="EY27" s="57" t="s">
        <v>1607</v>
      </c>
      <c r="EZ27" s="53">
        <v>0.78</v>
      </c>
      <c r="FA27" s="474">
        <f t="shared" si="40"/>
        <v>1.1065791807057987</v>
      </c>
      <c r="FB27" s="40"/>
      <c r="FC27" s="40"/>
      <c r="FD27" s="53">
        <v>1.23</v>
      </c>
      <c r="FE27" s="522">
        <f t="shared" si="41"/>
        <v>1.7449902464976055</v>
      </c>
      <c r="FF27" s="21" t="s">
        <v>48</v>
      </c>
      <c r="FG27" s="64"/>
      <c r="FH27" s="17">
        <v>0.91</v>
      </c>
      <c r="FI27" s="124">
        <f t="shared" si="42"/>
        <v>1.2910090441567652</v>
      </c>
      <c r="FJ27" s="17" t="s">
        <v>70</v>
      </c>
      <c r="FK27" s="51" t="s">
        <v>1608</v>
      </c>
      <c r="FL27" s="17">
        <v>0.79</v>
      </c>
      <c r="FM27" s="475">
        <f t="shared" si="43"/>
        <v>1.12076609327895</v>
      </c>
      <c r="FN27" s="21" t="s">
        <v>70</v>
      </c>
      <c r="FO27" s="51" t="s">
        <v>1609</v>
      </c>
      <c r="FP27" s="17">
        <v>0.56999999999999995</v>
      </c>
      <c r="FQ27" s="159">
        <f t="shared" si="44"/>
        <v>0.808654016669622</v>
      </c>
      <c r="FR27" s="17" t="s">
        <v>42</v>
      </c>
      <c r="FS27" s="51" t="s">
        <v>1610</v>
      </c>
      <c r="FT27" s="17">
        <v>0.86</v>
      </c>
      <c r="FU27" s="107">
        <f t="shared" si="45"/>
        <v>1.2200744812910087</v>
      </c>
      <c r="FV27" s="17" t="s">
        <v>66</v>
      </c>
      <c r="FW27" s="51" t="s">
        <v>1546</v>
      </c>
      <c r="FX27" s="17">
        <v>1.1499999999999999</v>
      </c>
      <c r="FY27" s="345">
        <f t="shared" si="46"/>
        <v>1.6314949459123953</v>
      </c>
      <c r="FZ27" s="17" t="s">
        <v>48</v>
      </c>
      <c r="GA27" s="51" t="s">
        <v>1611</v>
      </c>
      <c r="GB27" s="53">
        <v>0.45</v>
      </c>
      <c r="GC27" s="349">
        <f t="shared" si="47"/>
        <v>0.63841106579180695</v>
      </c>
      <c r="GD27" s="21" t="s">
        <v>46</v>
      </c>
      <c r="GE27" s="63"/>
      <c r="GF27" s="17">
        <v>0.64</v>
      </c>
      <c r="GG27" s="492">
        <f t="shared" si="48"/>
        <v>0.90796240468168099</v>
      </c>
      <c r="GH27" s="17" t="s">
        <v>46</v>
      </c>
      <c r="GI27" s="51" t="s">
        <v>1612</v>
      </c>
      <c r="GJ27" s="17">
        <v>0.88</v>
      </c>
      <c r="GK27" s="47">
        <f t="shared" si="49"/>
        <v>1.2484483064373113</v>
      </c>
      <c r="GL27" s="17" t="s">
        <v>48</v>
      </c>
      <c r="GM27" s="67" t="s">
        <v>1613</v>
      </c>
      <c r="GN27" s="17">
        <v>0.45</v>
      </c>
      <c r="GO27" s="349">
        <f t="shared" si="50"/>
        <v>0.63841106579180695</v>
      </c>
      <c r="GP27" s="17" t="s">
        <v>42</v>
      </c>
      <c r="GQ27" s="51" t="s">
        <v>1614</v>
      </c>
      <c r="GR27" s="17">
        <v>0.52</v>
      </c>
      <c r="GS27" s="425">
        <f t="shared" si="51"/>
        <v>0.73771945380386583</v>
      </c>
      <c r="GT27" s="17" t="s">
        <v>48</v>
      </c>
      <c r="GU27" s="51" t="s">
        <v>1615</v>
      </c>
      <c r="GV27" s="17">
        <v>1.04</v>
      </c>
      <c r="GW27" s="607">
        <f t="shared" si="52"/>
        <v>1.4754389076077317</v>
      </c>
      <c r="GX27" s="17" t="s">
        <v>42</v>
      </c>
      <c r="GY27" s="67" t="s">
        <v>1616</v>
      </c>
      <c r="GZ27" s="17">
        <v>0.47</v>
      </c>
      <c r="HA27" s="411">
        <f t="shared" si="53"/>
        <v>0.66678489093810944</v>
      </c>
      <c r="HB27" s="17" t="s">
        <v>46</v>
      </c>
      <c r="HC27" s="20" t="s">
        <v>1617</v>
      </c>
      <c r="HD27" s="17">
        <v>0.67</v>
      </c>
      <c r="HE27" s="37">
        <f t="shared" si="54"/>
        <v>0.95052314240113478</v>
      </c>
      <c r="HF27" s="17" t="s">
        <v>42</v>
      </c>
      <c r="HG27" s="20" t="s">
        <v>1618</v>
      </c>
      <c r="HH27" s="17">
        <v>0.91</v>
      </c>
      <c r="HI27" s="124">
        <f t="shared" si="55"/>
        <v>1.2910090441567652</v>
      </c>
      <c r="HJ27" s="17" t="s">
        <v>66</v>
      </c>
      <c r="HK27" s="20" t="s">
        <v>1619</v>
      </c>
      <c r="HL27" s="17">
        <v>1.01</v>
      </c>
      <c r="HM27" s="286">
        <f t="shared" si="56"/>
        <v>1.4328781698882778</v>
      </c>
      <c r="HN27" s="17" t="s">
        <v>1620</v>
      </c>
      <c r="HO27" s="20" t="s">
        <v>1621</v>
      </c>
      <c r="HP27" s="17">
        <v>0.47</v>
      </c>
      <c r="HQ27" s="411">
        <f t="shared" si="57"/>
        <v>0.66678489093810944</v>
      </c>
      <c r="HR27" s="17" t="s">
        <v>48</v>
      </c>
      <c r="HS27" s="73" t="s">
        <v>1622</v>
      </c>
      <c r="HT27" s="17">
        <v>1.1100000000000001</v>
      </c>
      <c r="HU27" s="437">
        <f t="shared" si="58"/>
        <v>1.5747472956197905</v>
      </c>
      <c r="HV27" s="17" t="s">
        <v>42</v>
      </c>
      <c r="HW27" s="75" t="s">
        <v>1623</v>
      </c>
      <c r="HX27" s="17">
        <v>0.64</v>
      </c>
      <c r="HY27" s="492">
        <f t="shared" si="59"/>
        <v>0.90796240468168099</v>
      </c>
      <c r="HZ27" s="21" t="s">
        <v>42</v>
      </c>
      <c r="IA27" s="75" t="s">
        <v>1624</v>
      </c>
      <c r="IB27" s="17">
        <v>0.76</v>
      </c>
      <c r="IC27" s="176">
        <f t="shared" si="60"/>
        <v>1.0782053555594961</v>
      </c>
      <c r="ID27" s="17" t="s">
        <v>46</v>
      </c>
      <c r="IE27" s="51" t="s">
        <v>1625</v>
      </c>
      <c r="IF27" s="17">
        <v>0.54</v>
      </c>
      <c r="IG27" s="202">
        <f t="shared" si="61"/>
        <v>0.76609327895016832</v>
      </c>
      <c r="IH27" s="17" t="s">
        <v>42</v>
      </c>
      <c r="II27" s="67" t="s">
        <v>1626</v>
      </c>
      <c r="IJ27" s="17">
        <v>0.77</v>
      </c>
      <c r="IK27" s="505">
        <f t="shared" si="62"/>
        <v>1.0923922681326474</v>
      </c>
      <c r="IL27" s="17" t="s">
        <v>179</v>
      </c>
      <c r="IM27" s="51" t="s">
        <v>1627</v>
      </c>
      <c r="IN27" s="17">
        <v>0.56000000000000005</v>
      </c>
      <c r="IO27" s="31">
        <f t="shared" si="63"/>
        <v>0.79446710409647092</v>
      </c>
      <c r="IP27" s="17" t="s">
        <v>48</v>
      </c>
      <c r="IQ27" s="51" t="s">
        <v>1628</v>
      </c>
      <c r="IR27" s="17">
        <v>0.7</v>
      </c>
      <c r="IS27" s="251">
        <f t="shared" si="64"/>
        <v>0.99308388012058846</v>
      </c>
      <c r="IT27" s="17" t="s">
        <v>46</v>
      </c>
      <c r="IU27" s="75" t="s">
        <v>1629</v>
      </c>
      <c r="IV27" s="17">
        <v>0.13</v>
      </c>
      <c r="IW27" s="498">
        <f t="shared" si="65"/>
        <v>0.18442986345096646</v>
      </c>
      <c r="IX27" s="17" t="s">
        <v>48</v>
      </c>
      <c r="IY27" s="51" t="s">
        <v>1630</v>
      </c>
      <c r="IZ27" s="17">
        <v>0.44</v>
      </c>
      <c r="JA27" s="26">
        <f t="shared" si="66"/>
        <v>0.62422415321865565</v>
      </c>
      <c r="JB27" s="17" t="s">
        <v>66</v>
      </c>
      <c r="JC27" s="51" t="s">
        <v>1631</v>
      </c>
      <c r="JD27" s="17">
        <v>0.87</v>
      </c>
      <c r="JE27" s="466">
        <f t="shared" si="67"/>
        <v>1.23426139386416</v>
      </c>
      <c r="JF27" s="17" t="s">
        <v>46</v>
      </c>
      <c r="JG27" s="51" t="s">
        <v>1632</v>
      </c>
      <c r="JH27" s="17">
        <v>0.74</v>
      </c>
      <c r="JI27" s="153">
        <f t="shared" si="68"/>
        <v>1.0498315304131935</v>
      </c>
      <c r="JJ27" s="17" t="s">
        <v>42</v>
      </c>
      <c r="JK27" s="51" t="s">
        <v>1633</v>
      </c>
      <c r="JL27" s="21">
        <v>0.32</v>
      </c>
      <c r="JM27" s="290">
        <f t="shared" si="69"/>
        <v>0.4539812023408405</v>
      </c>
      <c r="JN27" s="21" t="s">
        <v>48</v>
      </c>
      <c r="JO27" s="75" t="s">
        <v>1634</v>
      </c>
      <c r="JP27" s="21">
        <v>0.61</v>
      </c>
      <c r="JQ27" s="461">
        <f t="shared" si="70"/>
        <v>0.8654016669622272</v>
      </c>
      <c r="JR27" s="21" t="s">
        <v>66</v>
      </c>
      <c r="JS27" s="51" t="s">
        <v>1635</v>
      </c>
      <c r="JT27" s="21">
        <v>0.51</v>
      </c>
      <c r="JU27" s="149">
        <f t="shared" si="71"/>
        <v>0.72353254123071453</v>
      </c>
      <c r="JV27" s="21" t="s">
        <v>46</v>
      </c>
      <c r="JW27" s="75" t="s">
        <v>1636</v>
      </c>
      <c r="JX27" s="17">
        <v>0.75</v>
      </c>
      <c r="JY27" s="334">
        <f t="shared" si="72"/>
        <v>1.0640184429863448</v>
      </c>
      <c r="JZ27" s="51" t="s">
        <v>42</v>
      </c>
      <c r="KA27" s="51" t="s">
        <v>1637</v>
      </c>
      <c r="KB27" s="21">
        <v>1.24</v>
      </c>
      <c r="KC27" s="608">
        <f t="shared" si="73"/>
        <v>1.7591771590707568</v>
      </c>
      <c r="KD27" s="75" t="s">
        <v>48</v>
      </c>
      <c r="KE27" s="75" t="s">
        <v>1638</v>
      </c>
      <c r="KF27" s="17">
        <v>0.51</v>
      </c>
      <c r="KG27" s="149">
        <f t="shared" si="74"/>
        <v>0.72353254123071453</v>
      </c>
      <c r="KH27" s="51" t="s">
        <v>1022</v>
      </c>
      <c r="KI27" s="51" t="s">
        <v>1639</v>
      </c>
      <c r="KJ27" s="21">
        <v>0.79</v>
      </c>
      <c r="KK27" s="475">
        <f t="shared" si="75"/>
        <v>1.12076609327895</v>
      </c>
      <c r="KL27" s="75" t="s">
        <v>42</v>
      </c>
      <c r="KM27" s="75" t="s">
        <v>1574</v>
      </c>
      <c r="KN27" s="17">
        <v>0.6</v>
      </c>
      <c r="KO27" s="127">
        <f t="shared" si="76"/>
        <v>0.8512147543890759</v>
      </c>
      <c r="KP27" s="51" t="s">
        <v>46</v>
      </c>
      <c r="KQ27" s="51" t="s">
        <v>1640</v>
      </c>
      <c r="KR27" s="21">
        <v>0.86</v>
      </c>
      <c r="KS27" s="107">
        <f t="shared" si="77"/>
        <v>1.2200744812910087</v>
      </c>
      <c r="KT27" s="75" t="s">
        <v>108</v>
      </c>
      <c r="KU27" s="63"/>
      <c r="KV27" s="82">
        <v>0.74</v>
      </c>
      <c r="KW27" s="153">
        <f t="shared" si="78"/>
        <v>1.0498315304131935</v>
      </c>
      <c r="KX27" s="51" t="s">
        <v>42</v>
      </c>
      <c r="KY27" s="51" t="s">
        <v>1641</v>
      </c>
      <c r="KZ27" s="83">
        <v>0.25</v>
      </c>
      <c r="LA27" s="593">
        <f t="shared" si="79"/>
        <v>0.35467281432878162</v>
      </c>
      <c r="LB27" s="75" t="s">
        <v>70</v>
      </c>
      <c r="LC27" s="75" t="s">
        <v>1642</v>
      </c>
      <c r="LD27" s="82">
        <v>0.56000000000000005</v>
      </c>
      <c r="LE27" s="31">
        <f t="shared" si="80"/>
        <v>0.79446710409647092</v>
      </c>
      <c r="LF27" s="51" t="s">
        <v>1312</v>
      </c>
      <c r="LG27" s="51" t="s">
        <v>1643</v>
      </c>
      <c r="LH27" s="83">
        <v>0.53</v>
      </c>
      <c r="LI27" s="84"/>
      <c r="LJ27" s="85"/>
      <c r="LK27" s="85"/>
      <c r="LL27" s="86">
        <f t="shared" si="81"/>
        <v>0.70506329113924071</v>
      </c>
      <c r="LM27" s="86">
        <f t="shared" si="82"/>
        <v>0.97863554757630122</v>
      </c>
      <c r="LN27" s="86">
        <f t="shared" si="90"/>
        <v>1.0903352091825551</v>
      </c>
      <c r="LO27" s="86">
        <f t="shared" si="94"/>
        <v>0.94830246894594949</v>
      </c>
      <c r="LP27" s="86">
        <f t="shared" si="95"/>
        <v>-8.0576730092692173E-2</v>
      </c>
      <c r="LQ27" s="87">
        <f t="shared" si="96"/>
        <v>0</v>
      </c>
      <c r="LR27" s="86">
        <f t="shared" si="97"/>
        <v>0.95073807685184908</v>
      </c>
      <c r="LS27" s="84">
        <v>1</v>
      </c>
      <c r="LT27" s="87">
        <f t="shared" si="100"/>
        <v>1</v>
      </c>
      <c r="LU27" s="87">
        <f t="shared" si="92"/>
        <v>1</v>
      </c>
      <c r="LV27" s="86">
        <f t="shared" si="98"/>
        <v>0.92</v>
      </c>
      <c r="LW27" s="89" t="s">
        <v>3810</v>
      </c>
      <c r="LX27" s="5" t="str">
        <f t="shared" si="87"/>
        <v/>
      </c>
      <c r="LY27" s="5" t="str">
        <f t="shared" si="88"/>
        <v/>
      </c>
      <c r="LZ27" s="5"/>
      <c r="MA27" s="67" t="str">
        <f t="shared" si="99"/>
        <v>PALMEIRAS</v>
      </c>
      <c r="MB27" s="89" t="s">
        <v>3808</v>
      </c>
    </row>
    <row r="28" spans="1:340" x14ac:dyDescent="0.2">
      <c r="A28" s="16">
        <v>0.76736111111111116</v>
      </c>
      <c r="B28" s="609">
        <f t="shared" si="0"/>
        <v>0.73287500000000017</v>
      </c>
      <c r="C28" s="610">
        <f t="shared" si="1"/>
        <v>-5.8502473136619715E-2</v>
      </c>
      <c r="D28" s="17">
        <v>0.69</v>
      </c>
      <c r="E28" s="121">
        <f t="shared" si="2"/>
        <v>0.94149752686338029</v>
      </c>
      <c r="F28" s="17" t="s">
        <v>48</v>
      </c>
      <c r="G28" s="20" t="s">
        <v>1644</v>
      </c>
      <c r="H28" s="21">
        <v>0.81</v>
      </c>
      <c r="I28" s="49">
        <f t="shared" si="3"/>
        <v>1.1052362271874465</v>
      </c>
      <c r="J28" s="21" t="s">
        <v>46</v>
      </c>
      <c r="K28" s="23" t="s">
        <v>1645</v>
      </c>
      <c r="L28" s="17">
        <v>0.89</v>
      </c>
      <c r="M28" s="361">
        <f t="shared" si="4"/>
        <v>1.2143953607368239</v>
      </c>
      <c r="N28" s="17" t="s">
        <v>42</v>
      </c>
      <c r="O28" s="20" t="s">
        <v>1646</v>
      </c>
      <c r="P28" s="21">
        <v>0.92</v>
      </c>
      <c r="Q28" s="310">
        <f t="shared" si="5"/>
        <v>1.2553300358178405</v>
      </c>
      <c r="R28" s="21" t="s">
        <v>108</v>
      </c>
      <c r="S28" s="23" t="s">
        <v>1647</v>
      </c>
      <c r="T28" s="17">
        <v>0.54</v>
      </c>
      <c r="U28" s="92">
        <f t="shared" si="6"/>
        <v>0.73682415145829772</v>
      </c>
      <c r="V28" s="17" t="s">
        <v>70</v>
      </c>
      <c r="W28" s="5"/>
      <c r="X28" s="21">
        <v>0.98</v>
      </c>
      <c r="Y28" s="292">
        <f t="shared" si="7"/>
        <v>1.3371993859798734</v>
      </c>
      <c r="Z28" s="21" t="s">
        <v>49</v>
      </c>
      <c r="AA28" s="28"/>
      <c r="AB28" s="17">
        <v>0.88</v>
      </c>
      <c r="AC28" s="218">
        <f t="shared" si="8"/>
        <v>1.2007504690431516</v>
      </c>
      <c r="AD28" s="17" t="s">
        <v>108</v>
      </c>
      <c r="AE28" s="20" t="s">
        <v>1648</v>
      </c>
      <c r="AF28" s="21">
        <v>0.84</v>
      </c>
      <c r="AG28" s="131">
        <f t="shared" si="9"/>
        <v>1.146170902268463</v>
      </c>
      <c r="AH28" s="21" t="s">
        <v>46</v>
      </c>
      <c r="AI28" s="23" t="s">
        <v>1649</v>
      </c>
      <c r="AJ28" s="17">
        <v>1.07</v>
      </c>
      <c r="AK28" s="611">
        <f t="shared" si="10"/>
        <v>1.4600034112229232</v>
      </c>
      <c r="AL28" s="17" t="s">
        <v>70</v>
      </c>
      <c r="AM28" s="20" t="s">
        <v>1650</v>
      </c>
      <c r="AN28" s="21">
        <v>1.1399999999999999</v>
      </c>
      <c r="AO28" s="431">
        <f t="shared" si="11"/>
        <v>1.5555176530786281</v>
      </c>
      <c r="AP28" s="21" t="s">
        <v>108</v>
      </c>
      <c r="AQ28" s="23" t="s">
        <v>1651</v>
      </c>
      <c r="AR28" s="17">
        <v>0.7</v>
      </c>
      <c r="AS28" s="194">
        <f t="shared" si="12"/>
        <v>0.9551424185570524</v>
      </c>
      <c r="AT28" s="17" t="s">
        <v>1022</v>
      </c>
      <c r="AU28" s="20" t="s">
        <v>1652</v>
      </c>
      <c r="AV28" s="21">
        <v>0.9</v>
      </c>
      <c r="AW28" s="434">
        <f t="shared" si="13"/>
        <v>1.2280402524304961</v>
      </c>
      <c r="AX28" s="21" t="s">
        <v>1653</v>
      </c>
      <c r="AY28" s="23" t="s">
        <v>1588</v>
      </c>
      <c r="AZ28" s="17">
        <v>1.01</v>
      </c>
      <c r="BA28" s="152">
        <f t="shared" si="14"/>
        <v>1.3781340610608901</v>
      </c>
      <c r="BB28" s="17" t="s">
        <v>856</v>
      </c>
      <c r="BC28" s="20" t="s">
        <v>1654</v>
      </c>
      <c r="BD28" s="17">
        <v>1.03</v>
      </c>
      <c r="BE28" s="105">
        <f t="shared" si="15"/>
        <v>1.4054238444482343</v>
      </c>
      <c r="BF28" s="17" t="s">
        <v>48</v>
      </c>
      <c r="BG28" s="20" t="s">
        <v>1655</v>
      </c>
      <c r="BH28" s="37">
        <v>1.36</v>
      </c>
      <c r="BI28" s="460">
        <f t="shared" si="16"/>
        <v>1.8557052703394163</v>
      </c>
      <c r="BJ28" s="37" t="s">
        <v>108</v>
      </c>
      <c r="BK28" s="38" t="s">
        <v>1656</v>
      </c>
      <c r="BL28" s="17">
        <v>0.76</v>
      </c>
      <c r="BM28" s="206">
        <f t="shared" si="17"/>
        <v>1.0370117687190856</v>
      </c>
      <c r="BN28" s="17" t="s">
        <v>70</v>
      </c>
      <c r="BO28" s="40"/>
      <c r="BP28" s="17">
        <v>0.64</v>
      </c>
      <c r="BQ28" s="115">
        <f t="shared" si="18"/>
        <v>0.87327306839501939</v>
      </c>
      <c r="BR28" s="17" t="s">
        <v>42</v>
      </c>
      <c r="BS28" s="41"/>
      <c r="BT28" s="37">
        <v>0.69</v>
      </c>
      <c r="BU28" s="121">
        <f t="shared" si="19"/>
        <v>0.94149752686338029</v>
      </c>
      <c r="BV28" s="46" t="s">
        <v>66</v>
      </c>
      <c r="BW28" s="23" t="s">
        <v>1657</v>
      </c>
      <c r="BX28" s="17">
        <v>0.52</v>
      </c>
      <c r="BY28" s="353">
        <f t="shared" si="20"/>
        <v>0.70953436807095327</v>
      </c>
      <c r="BZ28" s="17" t="s">
        <v>70</v>
      </c>
      <c r="CA28" s="20" t="s">
        <v>1658</v>
      </c>
      <c r="CB28" s="37">
        <v>0.75</v>
      </c>
      <c r="CC28" s="368">
        <f t="shared" si="21"/>
        <v>1.0233668770254134</v>
      </c>
      <c r="CD28" s="46" t="s">
        <v>70</v>
      </c>
      <c r="CE28" s="23" t="s">
        <v>1659</v>
      </c>
      <c r="CF28" s="17">
        <v>0.32</v>
      </c>
      <c r="CG28" s="99">
        <f t="shared" si="22"/>
        <v>0.4366365341975097</v>
      </c>
      <c r="CH28" s="17" t="s">
        <v>42</v>
      </c>
      <c r="CI28" s="20" t="s">
        <v>1660</v>
      </c>
      <c r="CJ28" s="37">
        <v>0.12</v>
      </c>
      <c r="CK28" s="612">
        <f t="shared" si="23"/>
        <v>0.16373870032406612</v>
      </c>
      <c r="CL28" s="46" t="s">
        <v>42</v>
      </c>
      <c r="CM28" s="23" t="s">
        <v>1661</v>
      </c>
      <c r="CN28" s="17">
        <v>0.71</v>
      </c>
      <c r="CO28" s="409">
        <f t="shared" si="24"/>
        <v>0.96878731025072462</v>
      </c>
      <c r="CP28" s="17" t="s">
        <v>70</v>
      </c>
      <c r="CQ28" s="20" t="s">
        <v>1662</v>
      </c>
      <c r="CR28" s="37">
        <v>0.64</v>
      </c>
      <c r="CS28" s="115">
        <f t="shared" si="25"/>
        <v>0.87327306839501939</v>
      </c>
      <c r="CT28" s="21" t="s">
        <v>46</v>
      </c>
      <c r="CU28" s="23" t="s">
        <v>1663</v>
      </c>
      <c r="CV28" s="17">
        <v>0.51</v>
      </c>
      <c r="CW28" s="69">
        <f t="shared" si="26"/>
        <v>0.69588947637728116</v>
      </c>
      <c r="CX28" s="17" t="s">
        <v>42</v>
      </c>
      <c r="CY28" s="20" t="s">
        <v>1664</v>
      </c>
      <c r="CZ28" s="37">
        <v>0.39</v>
      </c>
      <c r="DA28" s="380">
        <f t="shared" si="27"/>
        <v>0.53215077605321492</v>
      </c>
      <c r="DB28" s="21" t="s">
        <v>108</v>
      </c>
      <c r="DC28" s="23" t="s">
        <v>1665</v>
      </c>
      <c r="DD28" s="17">
        <v>0.56999999999999995</v>
      </c>
      <c r="DE28" s="344">
        <f t="shared" si="28"/>
        <v>0.77775882653931405</v>
      </c>
      <c r="DF28" s="17" t="s">
        <v>46</v>
      </c>
      <c r="DG28" s="20" t="s">
        <v>1666</v>
      </c>
      <c r="DH28" s="37">
        <v>0.99</v>
      </c>
      <c r="DI28" s="613">
        <f t="shared" si="29"/>
        <v>1.3508442776735456</v>
      </c>
      <c r="DJ28" s="21" t="s">
        <v>46</v>
      </c>
      <c r="DK28" s="28"/>
      <c r="DL28" s="17">
        <v>0.21</v>
      </c>
      <c r="DM28" s="450">
        <f t="shared" si="30"/>
        <v>0.28654272556711574</v>
      </c>
      <c r="DN28" s="17" t="s">
        <v>46</v>
      </c>
      <c r="DO28" s="51" t="s">
        <v>1667</v>
      </c>
      <c r="DP28" s="21">
        <v>0.72</v>
      </c>
      <c r="DQ28" s="284">
        <f t="shared" si="31"/>
        <v>0.98243220194439684</v>
      </c>
      <c r="DR28" s="53" t="s">
        <v>48</v>
      </c>
      <c r="DS28" s="54" t="s">
        <v>1668</v>
      </c>
      <c r="DT28" s="53">
        <v>0.66</v>
      </c>
      <c r="DU28" s="478">
        <f t="shared" si="32"/>
        <v>0.90056285178236384</v>
      </c>
      <c r="DV28" s="56" t="s">
        <v>70</v>
      </c>
      <c r="DW28" s="57" t="s">
        <v>1669</v>
      </c>
      <c r="DX28" s="53">
        <v>0.31</v>
      </c>
      <c r="DY28" s="396">
        <f t="shared" si="33"/>
        <v>0.42299164250383753</v>
      </c>
      <c r="DZ28" s="53" t="s">
        <v>179</v>
      </c>
      <c r="EA28" s="54" t="s">
        <v>1669</v>
      </c>
      <c r="EB28" s="56">
        <v>0.63</v>
      </c>
      <c r="EC28" s="324">
        <f t="shared" si="34"/>
        <v>0.85962817670134728</v>
      </c>
      <c r="ED28" s="56" t="s">
        <v>46</v>
      </c>
      <c r="EE28" s="57" t="s">
        <v>1670</v>
      </c>
      <c r="EF28" s="53">
        <v>0.56999999999999995</v>
      </c>
      <c r="EG28" s="344">
        <f t="shared" si="35"/>
        <v>0.77775882653931405</v>
      </c>
      <c r="EH28" s="53" t="s">
        <v>42</v>
      </c>
      <c r="EI28" s="614"/>
      <c r="EJ28" s="53">
        <v>0.94</v>
      </c>
      <c r="EK28" s="280">
        <f t="shared" si="36"/>
        <v>1.2826198192051848</v>
      </c>
      <c r="EL28" s="56" t="s">
        <v>285</v>
      </c>
      <c r="EM28" s="57" t="s">
        <v>1671</v>
      </c>
      <c r="EN28" s="53">
        <v>0.95</v>
      </c>
      <c r="EO28" s="339">
        <f t="shared" si="37"/>
        <v>1.296264710898857</v>
      </c>
      <c r="EP28" s="53" t="s">
        <v>46</v>
      </c>
      <c r="EQ28" s="23" t="s">
        <v>1672</v>
      </c>
      <c r="ER28" s="53">
        <v>0.47</v>
      </c>
      <c r="ES28" s="289">
        <f t="shared" si="38"/>
        <v>0.64130990960259238</v>
      </c>
      <c r="ET28" s="53" t="s">
        <v>179</v>
      </c>
      <c r="EU28" s="20" t="s">
        <v>1673</v>
      </c>
      <c r="EV28" s="53">
        <v>1.07</v>
      </c>
      <c r="EW28" s="611">
        <f t="shared" si="39"/>
        <v>1.4600034112229232</v>
      </c>
      <c r="EX28" s="21" t="s">
        <v>48</v>
      </c>
      <c r="EY28" s="57" t="s">
        <v>1674</v>
      </c>
      <c r="EZ28" s="53">
        <v>0.78</v>
      </c>
      <c r="FA28" s="334">
        <f t="shared" si="40"/>
        <v>1.0643015521064298</v>
      </c>
      <c r="FB28" s="40"/>
      <c r="FC28" s="40"/>
      <c r="FD28" s="53">
        <v>1.1100000000000001</v>
      </c>
      <c r="FE28" s="60">
        <f t="shared" si="41"/>
        <v>1.5145829779976119</v>
      </c>
      <c r="FF28" s="21" t="s">
        <v>48</v>
      </c>
      <c r="FG28" s="64"/>
      <c r="FH28" s="17">
        <v>0.97</v>
      </c>
      <c r="FI28" s="615">
        <f t="shared" si="42"/>
        <v>1.3235544942862012</v>
      </c>
      <c r="FJ28" s="17" t="s">
        <v>70</v>
      </c>
      <c r="FK28" s="51" t="s">
        <v>1675</v>
      </c>
      <c r="FL28" s="17">
        <v>0.85</v>
      </c>
      <c r="FM28" s="139">
        <f t="shared" si="43"/>
        <v>1.1598157939621352</v>
      </c>
      <c r="FN28" s="21" t="s">
        <v>70</v>
      </c>
      <c r="FO28" s="51" t="s">
        <v>1676</v>
      </c>
      <c r="FP28" s="17">
        <v>0.64</v>
      </c>
      <c r="FQ28" s="115">
        <f t="shared" si="44"/>
        <v>0.87327306839501939</v>
      </c>
      <c r="FR28" s="17" t="s">
        <v>42</v>
      </c>
      <c r="FS28" s="51" t="s">
        <v>1677</v>
      </c>
      <c r="FT28" s="17">
        <v>0.98</v>
      </c>
      <c r="FU28" s="292">
        <f t="shared" si="45"/>
        <v>1.3371993859798734</v>
      </c>
      <c r="FV28" s="17" t="s">
        <v>66</v>
      </c>
      <c r="FW28" s="51" t="s">
        <v>1678</v>
      </c>
      <c r="FX28" s="17">
        <v>1.1499999999999999</v>
      </c>
      <c r="FY28" s="616">
        <f t="shared" si="46"/>
        <v>1.5691625447723003</v>
      </c>
      <c r="FZ28" s="17" t="s">
        <v>48</v>
      </c>
      <c r="GA28" s="51" t="s">
        <v>1679</v>
      </c>
      <c r="GB28" s="53">
        <v>0.45</v>
      </c>
      <c r="GC28" s="157">
        <f t="shared" si="47"/>
        <v>0.61402012621524804</v>
      </c>
      <c r="GD28" s="21" t="s">
        <v>46</v>
      </c>
      <c r="GE28" s="63"/>
      <c r="GF28" s="17">
        <v>0.7</v>
      </c>
      <c r="GG28" s="194">
        <f t="shared" si="48"/>
        <v>0.9551424185570524</v>
      </c>
      <c r="GH28" s="17" t="s">
        <v>46</v>
      </c>
      <c r="GI28" s="51" t="s">
        <v>1680</v>
      </c>
      <c r="GJ28" s="17">
        <v>0.94</v>
      </c>
      <c r="GK28" s="280">
        <f t="shared" si="49"/>
        <v>1.2826198192051848</v>
      </c>
      <c r="GL28" s="17" t="s">
        <v>66</v>
      </c>
      <c r="GM28" s="274"/>
      <c r="GN28" s="17">
        <v>0.45</v>
      </c>
      <c r="GO28" s="157">
        <f t="shared" si="50"/>
        <v>0.61402012621524804</v>
      </c>
      <c r="GP28" s="17" t="s">
        <v>42</v>
      </c>
      <c r="GQ28" s="51" t="s">
        <v>1681</v>
      </c>
      <c r="GR28" s="17">
        <v>0.64</v>
      </c>
      <c r="GS28" s="115">
        <f t="shared" si="51"/>
        <v>0.87327306839501939</v>
      </c>
      <c r="GT28" s="17" t="s">
        <v>48</v>
      </c>
      <c r="GU28" s="51" t="s">
        <v>1682</v>
      </c>
      <c r="GV28" s="17">
        <v>0.97</v>
      </c>
      <c r="GW28" s="615">
        <f t="shared" si="52"/>
        <v>1.3235544942862012</v>
      </c>
      <c r="GX28" s="17" t="s">
        <v>42</v>
      </c>
      <c r="GY28" s="67" t="s">
        <v>1683</v>
      </c>
      <c r="GZ28" s="17">
        <v>0.52</v>
      </c>
      <c r="HA28" s="353">
        <f t="shared" si="53"/>
        <v>0.70953436807095327</v>
      </c>
      <c r="HB28" s="17" t="s">
        <v>46</v>
      </c>
      <c r="HC28" s="20" t="s">
        <v>1684</v>
      </c>
      <c r="HD28" s="17">
        <v>0.67</v>
      </c>
      <c r="HE28" s="227">
        <f t="shared" si="54"/>
        <v>0.91420774347603606</v>
      </c>
      <c r="HF28" s="17" t="s">
        <v>42</v>
      </c>
      <c r="HG28" s="20" t="s">
        <v>1685</v>
      </c>
      <c r="HH28" s="17">
        <v>0.97</v>
      </c>
      <c r="HI28" s="615">
        <f t="shared" si="55"/>
        <v>1.3235544942862012</v>
      </c>
      <c r="HJ28" s="17" t="s">
        <v>66</v>
      </c>
      <c r="HK28" s="20" t="s">
        <v>1686</v>
      </c>
      <c r="HL28" s="17">
        <v>0.94</v>
      </c>
      <c r="HM28" s="280">
        <f t="shared" si="56"/>
        <v>1.2826198192051848</v>
      </c>
      <c r="HN28" s="17" t="s">
        <v>70</v>
      </c>
      <c r="HO28" s="20" t="s">
        <v>1687</v>
      </c>
      <c r="HP28" s="17">
        <v>0.54</v>
      </c>
      <c r="HQ28" s="92">
        <f t="shared" si="57"/>
        <v>0.73682415145829772</v>
      </c>
      <c r="HR28" s="17" t="s">
        <v>48</v>
      </c>
      <c r="HS28" s="73" t="s">
        <v>1688</v>
      </c>
      <c r="HT28" s="17">
        <v>1.24</v>
      </c>
      <c r="HU28" s="617">
        <f t="shared" si="58"/>
        <v>1.6919665700153501</v>
      </c>
      <c r="HV28" s="17" t="s">
        <v>42</v>
      </c>
      <c r="HW28" s="75" t="s">
        <v>1689</v>
      </c>
      <c r="HX28" s="17">
        <v>0.71</v>
      </c>
      <c r="HY28" s="409">
        <f t="shared" si="59"/>
        <v>0.96878731025072462</v>
      </c>
      <c r="HZ28" s="21" t="s">
        <v>42</v>
      </c>
      <c r="IA28" s="75" t="s">
        <v>1690</v>
      </c>
      <c r="IB28" s="17">
        <v>0.76</v>
      </c>
      <c r="IC28" s="206">
        <f t="shared" si="60"/>
        <v>1.0370117687190856</v>
      </c>
      <c r="ID28" s="17" t="s">
        <v>1022</v>
      </c>
      <c r="IE28" s="51" t="s">
        <v>1691</v>
      </c>
      <c r="IF28" s="17">
        <v>0.6</v>
      </c>
      <c r="IG28" s="62">
        <f t="shared" si="61"/>
        <v>0.81869350162033072</v>
      </c>
      <c r="IH28" s="17" t="s">
        <v>42</v>
      </c>
      <c r="II28" s="67" t="s">
        <v>1692</v>
      </c>
      <c r="IJ28" s="17">
        <v>0.83</v>
      </c>
      <c r="IK28" s="258">
        <f t="shared" si="62"/>
        <v>1.1325260105747907</v>
      </c>
      <c r="IL28" s="17" t="s">
        <v>179</v>
      </c>
      <c r="IM28" s="51" t="s">
        <v>1693</v>
      </c>
      <c r="IN28" s="17">
        <v>0.72</v>
      </c>
      <c r="IO28" s="284">
        <f t="shared" si="63"/>
        <v>0.98243220194439684</v>
      </c>
      <c r="IP28" s="17" t="s">
        <v>48</v>
      </c>
      <c r="IQ28" s="51" t="s">
        <v>1694</v>
      </c>
      <c r="IR28" s="17">
        <v>0.7</v>
      </c>
      <c r="IS28" s="194">
        <f t="shared" si="64"/>
        <v>0.9551424185570524</v>
      </c>
      <c r="IT28" s="17" t="s">
        <v>46</v>
      </c>
      <c r="IU28" s="75" t="s">
        <v>1695</v>
      </c>
      <c r="IV28" s="17">
        <v>0.2</v>
      </c>
      <c r="IW28" s="462">
        <f t="shared" si="65"/>
        <v>0.27289783387344357</v>
      </c>
      <c r="IX28" s="17" t="s">
        <v>48</v>
      </c>
      <c r="IY28" s="51" t="s">
        <v>1696</v>
      </c>
      <c r="IZ28" s="17">
        <v>0.43</v>
      </c>
      <c r="JA28" s="277">
        <f t="shared" si="66"/>
        <v>0.58673034282790371</v>
      </c>
      <c r="JB28" s="17" t="s">
        <v>1697</v>
      </c>
      <c r="JC28" s="51" t="s">
        <v>1698</v>
      </c>
      <c r="JD28" s="17">
        <v>0.87</v>
      </c>
      <c r="JE28" s="403">
        <f t="shared" si="67"/>
        <v>1.1871055773494794</v>
      </c>
      <c r="JF28" s="17" t="s">
        <v>46</v>
      </c>
      <c r="JG28" s="51" t="s">
        <v>1699</v>
      </c>
      <c r="JH28" s="17">
        <v>0.86</v>
      </c>
      <c r="JI28" s="560">
        <f t="shared" si="68"/>
        <v>1.1734606856558074</v>
      </c>
      <c r="JJ28" s="17" t="s">
        <v>48</v>
      </c>
      <c r="JK28" s="51" t="s">
        <v>1700</v>
      </c>
      <c r="JL28" s="21">
        <v>0.32</v>
      </c>
      <c r="JM28" s="99">
        <f t="shared" si="69"/>
        <v>0.4366365341975097</v>
      </c>
      <c r="JN28" s="21" t="s">
        <v>48</v>
      </c>
      <c r="JO28" s="75" t="s">
        <v>1701</v>
      </c>
      <c r="JP28" s="21">
        <v>0.54</v>
      </c>
      <c r="JQ28" s="92">
        <f t="shared" si="70"/>
        <v>0.73682415145829772</v>
      </c>
      <c r="JR28" s="21" t="s">
        <v>66</v>
      </c>
      <c r="JS28" s="51" t="s">
        <v>1702</v>
      </c>
      <c r="JT28" s="21">
        <v>0.52</v>
      </c>
      <c r="JU28" s="353">
        <f t="shared" si="71"/>
        <v>0.70953436807095327</v>
      </c>
      <c r="JV28" s="21" t="s">
        <v>46</v>
      </c>
      <c r="JW28" s="75" t="s">
        <v>1703</v>
      </c>
      <c r="JX28" s="17">
        <v>0.86</v>
      </c>
      <c r="JY28" s="560">
        <f t="shared" si="72"/>
        <v>1.1734606856558074</v>
      </c>
      <c r="JZ28" s="51" t="s">
        <v>42</v>
      </c>
      <c r="KA28" s="51" t="s">
        <v>1704</v>
      </c>
      <c r="KB28" s="21">
        <v>1.38</v>
      </c>
      <c r="KC28" s="321">
        <f t="shared" si="73"/>
        <v>1.8829950537267606</v>
      </c>
      <c r="KD28" s="75" t="s">
        <v>108</v>
      </c>
      <c r="KE28" s="75" t="s">
        <v>1705</v>
      </c>
      <c r="KF28" s="17">
        <v>0.57999999999999996</v>
      </c>
      <c r="KG28" s="545">
        <f t="shared" si="74"/>
        <v>0.79140371823298628</v>
      </c>
      <c r="KH28" s="51" t="s">
        <v>1022</v>
      </c>
      <c r="KI28" s="51" t="s">
        <v>1706</v>
      </c>
      <c r="KJ28" s="21">
        <v>0.74</v>
      </c>
      <c r="KK28" s="618">
        <f t="shared" si="75"/>
        <v>1.0097219853317412</v>
      </c>
      <c r="KL28" s="75" t="s">
        <v>42</v>
      </c>
      <c r="KM28" s="75" t="s">
        <v>1707</v>
      </c>
      <c r="KN28" s="17">
        <v>0.66</v>
      </c>
      <c r="KO28" s="478">
        <f t="shared" si="76"/>
        <v>0.90056285178236384</v>
      </c>
      <c r="KP28" s="51" t="s">
        <v>46</v>
      </c>
      <c r="KQ28" s="51" t="s">
        <v>1708</v>
      </c>
      <c r="KR28" s="21">
        <v>0.86</v>
      </c>
      <c r="KS28" s="560">
        <f t="shared" si="77"/>
        <v>1.1734606856558074</v>
      </c>
      <c r="KT28" s="75" t="s">
        <v>108</v>
      </c>
      <c r="KU28" s="63"/>
      <c r="KV28" s="82">
        <v>0.74</v>
      </c>
      <c r="KW28" s="618">
        <f t="shared" si="78"/>
        <v>1.0097219853317412</v>
      </c>
      <c r="KX28" s="51" t="s">
        <v>42</v>
      </c>
      <c r="KY28" s="51" t="s">
        <v>1709</v>
      </c>
      <c r="KZ28" s="83">
        <v>0.25</v>
      </c>
      <c r="LA28" s="301">
        <f t="shared" si="79"/>
        <v>0.34112229234180447</v>
      </c>
      <c r="LB28" s="75" t="s">
        <v>70</v>
      </c>
      <c r="LC28" s="75" t="s">
        <v>1710</v>
      </c>
      <c r="LD28" s="82">
        <v>0.56000000000000005</v>
      </c>
      <c r="LE28" s="356">
        <f t="shared" si="80"/>
        <v>0.76411393484564205</v>
      </c>
      <c r="LF28" s="51" t="s">
        <v>48</v>
      </c>
      <c r="LG28" s="51" t="s">
        <v>1711</v>
      </c>
      <c r="LH28" s="83">
        <v>0.53</v>
      </c>
      <c r="LI28" s="84"/>
      <c r="LJ28" s="85"/>
      <c r="LK28" s="85"/>
      <c r="LL28" s="86">
        <f t="shared" si="81"/>
        <v>0.73341772151898754</v>
      </c>
      <c r="LM28" s="86">
        <f t="shared" si="82"/>
        <v>0.94080082844321677</v>
      </c>
      <c r="LN28" s="86">
        <f t="shared" si="90"/>
        <v>1.085867222718305</v>
      </c>
      <c r="LO28" s="86">
        <f t="shared" si="94"/>
        <v>0.96429580310503105</v>
      </c>
      <c r="LP28" s="86">
        <f t="shared" si="95"/>
        <v>-7.7934125295558432E-2</v>
      </c>
      <c r="LQ28" s="87">
        <f t="shared" si="96"/>
        <v>0</v>
      </c>
      <c r="LR28" s="86">
        <f t="shared" si="97"/>
        <v>0.97978791712760627</v>
      </c>
      <c r="LS28" s="84">
        <v>1</v>
      </c>
      <c r="LT28" s="87">
        <f t="shared" si="100"/>
        <v>0</v>
      </c>
      <c r="LU28" s="87">
        <f t="shared" si="92"/>
        <v>2</v>
      </c>
      <c r="LV28" s="86">
        <f t="shared" si="98"/>
        <v>0.96</v>
      </c>
      <c r="LW28" s="89" t="s">
        <v>3811</v>
      </c>
      <c r="LX28" s="5" t="str">
        <f t="shared" si="87"/>
        <v/>
      </c>
      <c r="LY28" s="5" t="str">
        <f t="shared" si="88"/>
        <v/>
      </c>
      <c r="LZ28" s="5"/>
      <c r="MA28" s="67" t="str">
        <f t="shared" si="99"/>
        <v>PALMEIRAS</v>
      </c>
      <c r="MB28" s="89" t="s">
        <v>3808</v>
      </c>
    </row>
    <row r="29" spans="1:340" x14ac:dyDescent="0.2">
      <c r="A29" s="16">
        <v>0.7680555555555556</v>
      </c>
      <c r="B29" s="619">
        <f t="shared" si="0"/>
        <v>0.73612500000000014</v>
      </c>
      <c r="C29" s="620">
        <f t="shared" si="1"/>
        <v>-0.15775174053319763</v>
      </c>
      <c r="D29" s="17">
        <v>0.62</v>
      </c>
      <c r="E29" s="78">
        <f t="shared" si="2"/>
        <v>0.84224825946680237</v>
      </c>
      <c r="F29" s="17" t="s">
        <v>48</v>
      </c>
      <c r="G29" s="20" t="s">
        <v>1712</v>
      </c>
      <c r="H29" s="21">
        <v>0.86</v>
      </c>
      <c r="I29" s="337">
        <f t="shared" si="3"/>
        <v>1.1682798437765323</v>
      </c>
      <c r="J29" s="21" t="s">
        <v>46</v>
      </c>
      <c r="K29" s="23" t="s">
        <v>1713</v>
      </c>
      <c r="L29" s="17">
        <v>0.95</v>
      </c>
      <c r="M29" s="124">
        <f t="shared" si="4"/>
        <v>1.290541687892681</v>
      </c>
      <c r="N29" s="17" t="s">
        <v>42</v>
      </c>
      <c r="O29" s="20" t="s">
        <v>1714</v>
      </c>
      <c r="P29" s="21">
        <v>0.92</v>
      </c>
      <c r="Q29" s="47">
        <f t="shared" si="5"/>
        <v>1.2497877398539647</v>
      </c>
      <c r="R29" s="21" t="s">
        <v>66</v>
      </c>
      <c r="S29" s="23" t="s">
        <v>1715</v>
      </c>
      <c r="T29" s="17">
        <v>0.54</v>
      </c>
      <c r="U29" s="92">
        <f t="shared" si="6"/>
        <v>0.73357106469689237</v>
      </c>
      <c r="V29" s="17" t="s">
        <v>70</v>
      </c>
      <c r="W29" s="5"/>
      <c r="X29" s="21">
        <v>0.91</v>
      </c>
      <c r="Y29" s="621">
        <f t="shared" si="7"/>
        <v>1.2362030905077261</v>
      </c>
      <c r="Z29" s="21" t="s">
        <v>49</v>
      </c>
      <c r="AA29" s="28"/>
      <c r="AB29" s="17">
        <v>0.81</v>
      </c>
      <c r="AC29" s="183">
        <f t="shared" si="8"/>
        <v>1.1003565970453386</v>
      </c>
      <c r="AD29" s="17" t="s">
        <v>1620</v>
      </c>
      <c r="AE29" s="20" t="s">
        <v>1716</v>
      </c>
      <c r="AF29" s="21">
        <v>0.91</v>
      </c>
      <c r="AG29" s="621">
        <f t="shared" si="9"/>
        <v>1.2362030905077261</v>
      </c>
      <c r="AH29" s="21" t="s">
        <v>46</v>
      </c>
      <c r="AI29" s="23" t="s">
        <v>1717</v>
      </c>
      <c r="AJ29" s="17">
        <v>1.1399999999999999</v>
      </c>
      <c r="AK29" s="495">
        <f t="shared" si="10"/>
        <v>1.548650025471217</v>
      </c>
      <c r="AL29" s="17" t="s">
        <v>70</v>
      </c>
      <c r="AM29" s="20" t="s">
        <v>1718</v>
      </c>
      <c r="AN29" s="21">
        <v>1.1299999999999999</v>
      </c>
      <c r="AO29" s="209">
        <f t="shared" si="11"/>
        <v>1.5350653761249784</v>
      </c>
      <c r="AP29" s="21" t="s">
        <v>108</v>
      </c>
      <c r="AQ29" s="23" t="s">
        <v>1719</v>
      </c>
      <c r="AR29" s="17">
        <v>0.84</v>
      </c>
      <c r="AS29" s="490">
        <f t="shared" si="12"/>
        <v>1.1411105450840549</v>
      </c>
      <c r="AT29" s="17" t="s">
        <v>42</v>
      </c>
      <c r="AU29" s="20" t="s">
        <v>1720</v>
      </c>
      <c r="AV29" s="21">
        <v>0.83</v>
      </c>
      <c r="AW29" s="367">
        <f t="shared" si="13"/>
        <v>1.127525895737816</v>
      </c>
      <c r="AX29" s="21" t="s">
        <v>108</v>
      </c>
      <c r="AY29" s="23" t="s">
        <v>1721</v>
      </c>
      <c r="AZ29" s="17">
        <v>1.01</v>
      </c>
      <c r="BA29" s="622">
        <f t="shared" si="14"/>
        <v>1.3720495839701135</v>
      </c>
      <c r="BB29" s="17" t="s">
        <v>70</v>
      </c>
      <c r="BC29" s="20" t="s">
        <v>1722</v>
      </c>
      <c r="BD29" s="17">
        <v>1.03</v>
      </c>
      <c r="BE29" s="140">
        <f t="shared" si="15"/>
        <v>1.3992188826625911</v>
      </c>
      <c r="BF29" s="17" t="s">
        <v>48</v>
      </c>
      <c r="BG29" s="20" t="s">
        <v>1723</v>
      </c>
      <c r="BH29" s="37">
        <v>1.3</v>
      </c>
      <c r="BI29" s="623">
        <f t="shared" si="16"/>
        <v>1.7660044150110372</v>
      </c>
      <c r="BJ29" s="37" t="s">
        <v>48</v>
      </c>
      <c r="BK29" s="38" t="s">
        <v>1724</v>
      </c>
      <c r="BL29" s="17">
        <v>0.69</v>
      </c>
      <c r="BM29" s="155">
        <f t="shared" si="17"/>
        <v>0.93734080489047356</v>
      </c>
      <c r="BN29" s="17" t="s">
        <v>70</v>
      </c>
      <c r="BO29" s="40"/>
      <c r="BP29" s="17">
        <v>0.71</v>
      </c>
      <c r="BQ29" s="55">
        <f t="shared" si="18"/>
        <v>0.96451010358295108</v>
      </c>
      <c r="BR29" s="17" t="s">
        <v>48</v>
      </c>
      <c r="BS29" s="41"/>
      <c r="BT29" s="37">
        <v>0.62</v>
      </c>
      <c r="BU29" s="78">
        <f t="shared" si="19"/>
        <v>0.84224825946680237</v>
      </c>
      <c r="BV29" s="46" t="s">
        <v>356</v>
      </c>
      <c r="BW29" s="23" t="s">
        <v>1725</v>
      </c>
      <c r="BX29" s="17">
        <v>0.52</v>
      </c>
      <c r="BY29" s="353">
        <f t="shared" si="20"/>
        <v>0.70640176600441495</v>
      </c>
      <c r="BZ29" s="17" t="s">
        <v>70</v>
      </c>
      <c r="CA29" s="20" t="s">
        <v>1726</v>
      </c>
      <c r="CB29" s="37">
        <v>0.75</v>
      </c>
      <c r="CC29" s="401">
        <f t="shared" si="21"/>
        <v>1.0188487009679061</v>
      </c>
      <c r="CD29" s="46" t="s">
        <v>70</v>
      </c>
      <c r="CE29" s="23" t="s">
        <v>1727</v>
      </c>
      <c r="CF29" s="17">
        <v>0.39</v>
      </c>
      <c r="CG29" s="380">
        <f t="shared" si="22"/>
        <v>0.52980132450331119</v>
      </c>
      <c r="CH29" s="17" t="s">
        <v>48</v>
      </c>
      <c r="CI29" s="20" t="s">
        <v>1728</v>
      </c>
      <c r="CJ29" s="37">
        <v>0.18</v>
      </c>
      <c r="CK29" s="238">
        <f t="shared" si="23"/>
        <v>0.24452368823229745</v>
      </c>
      <c r="CL29" s="46" t="s">
        <v>42</v>
      </c>
      <c r="CM29" s="23" t="s">
        <v>1729</v>
      </c>
      <c r="CN29" s="17">
        <v>0.71</v>
      </c>
      <c r="CO29" s="55">
        <f t="shared" si="24"/>
        <v>0.96451010358295108</v>
      </c>
      <c r="CP29" s="17" t="s">
        <v>66</v>
      </c>
      <c r="CQ29" s="20" t="s">
        <v>1730</v>
      </c>
      <c r="CR29" s="37">
        <v>0.69</v>
      </c>
      <c r="CS29" s="155">
        <f t="shared" si="25"/>
        <v>0.93734080489047356</v>
      </c>
      <c r="CT29" s="21" t="s">
        <v>70</v>
      </c>
      <c r="CU29" s="23" t="s">
        <v>1731</v>
      </c>
      <c r="CV29" s="17">
        <v>0.56999999999999995</v>
      </c>
      <c r="CW29" s="217">
        <f t="shared" si="26"/>
        <v>0.7743250127356085</v>
      </c>
      <c r="CX29" s="17" t="s">
        <v>42</v>
      </c>
      <c r="CY29" s="20" t="s">
        <v>1732</v>
      </c>
      <c r="CZ29" s="37">
        <v>0.33</v>
      </c>
      <c r="DA29" s="624">
        <f t="shared" si="27"/>
        <v>0.44829342842587871</v>
      </c>
      <c r="DB29" s="21" t="s">
        <v>70</v>
      </c>
      <c r="DC29" s="23" t="s">
        <v>1733</v>
      </c>
      <c r="DD29" s="17">
        <v>0.56999999999999995</v>
      </c>
      <c r="DE29" s="217">
        <f t="shared" si="28"/>
        <v>0.7743250127356085</v>
      </c>
      <c r="DF29" s="17" t="s">
        <v>108</v>
      </c>
      <c r="DG29" s="20" t="s">
        <v>1734</v>
      </c>
      <c r="DH29" s="37">
        <v>0.92</v>
      </c>
      <c r="DI29" s="47">
        <f t="shared" si="29"/>
        <v>1.2497877398539647</v>
      </c>
      <c r="DJ29" s="21" t="s">
        <v>46</v>
      </c>
      <c r="DK29" s="28"/>
      <c r="DL29" s="17">
        <v>0.26</v>
      </c>
      <c r="DM29" s="593">
        <f t="shared" si="30"/>
        <v>0.35320088300220748</v>
      </c>
      <c r="DN29" s="17" t="s">
        <v>48</v>
      </c>
      <c r="DO29" s="51" t="s">
        <v>1735</v>
      </c>
      <c r="DP29" s="21">
        <v>0.78</v>
      </c>
      <c r="DQ29" s="482">
        <f t="shared" si="31"/>
        <v>1.0596026490066224</v>
      </c>
      <c r="DR29" s="53" t="s">
        <v>48</v>
      </c>
      <c r="DS29" s="54" t="s">
        <v>1736</v>
      </c>
      <c r="DT29" s="53">
        <v>0.54</v>
      </c>
      <c r="DU29" s="92">
        <f t="shared" si="32"/>
        <v>0.73357106469689237</v>
      </c>
      <c r="DV29" s="56" t="s">
        <v>70</v>
      </c>
      <c r="DW29" s="57" t="s">
        <v>1737</v>
      </c>
      <c r="DX29" s="53">
        <v>0.31</v>
      </c>
      <c r="DY29" s="396">
        <f t="shared" si="33"/>
        <v>0.42112412973340119</v>
      </c>
      <c r="DZ29" s="53" t="s">
        <v>179</v>
      </c>
      <c r="EA29" s="54" t="s">
        <v>1737</v>
      </c>
      <c r="EB29" s="56">
        <v>0.63</v>
      </c>
      <c r="EC29" s="272">
        <f t="shared" si="34"/>
        <v>0.85583290881304108</v>
      </c>
      <c r="ED29" s="56" t="s">
        <v>46</v>
      </c>
      <c r="EE29" s="57" t="s">
        <v>1670</v>
      </c>
      <c r="EF29" s="53">
        <v>0.51</v>
      </c>
      <c r="EG29" s="354">
        <f t="shared" si="35"/>
        <v>0.69281711665817614</v>
      </c>
      <c r="EH29" s="53" t="s">
        <v>42</v>
      </c>
      <c r="EI29" s="614"/>
      <c r="EJ29" s="53">
        <v>1</v>
      </c>
      <c r="EK29" s="427">
        <f t="shared" si="36"/>
        <v>1.3584649346238749</v>
      </c>
      <c r="EL29" s="56" t="s">
        <v>285</v>
      </c>
      <c r="EM29" s="57" t="s">
        <v>1738</v>
      </c>
      <c r="EN29" s="53">
        <v>0.95</v>
      </c>
      <c r="EO29" s="124">
        <f t="shared" si="37"/>
        <v>1.290541687892681</v>
      </c>
      <c r="EP29" s="53" t="s">
        <v>46</v>
      </c>
      <c r="EQ29" s="23" t="s">
        <v>1739</v>
      </c>
      <c r="ER29" s="53">
        <v>0.62</v>
      </c>
      <c r="ES29" s="78">
        <f t="shared" si="38"/>
        <v>0.84224825946680237</v>
      </c>
      <c r="ET29" s="53" t="s">
        <v>179</v>
      </c>
      <c r="EU29" s="20" t="s">
        <v>1740</v>
      </c>
      <c r="EV29" s="53">
        <v>1.07</v>
      </c>
      <c r="EW29" s="453">
        <f t="shared" si="39"/>
        <v>1.4535574800475461</v>
      </c>
      <c r="EX29" s="21" t="s">
        <v>48</v>
      </c>
      <c r="EY29" s="57" t="s">
        <v>1741</v>
      </c>
      <c r="EZ29" s="53">
        <v>0.78</v>
      </c>
      <c r="FA29" s="482">
        <f t="shared" si="40"/>
        <v>1.0596026490066224</v>
      </c>
      <c r="FB29" s="40"/>
      <c r="FC29" s="40"/>
      <c r="FD29" s="53">
        <v>1.04</v>
      </c>
      <c r="FE29" s="281">
        <f t="shared" si="41"/>
        <v>1.4128035320088299</v>
      </c>
      <c r="FF29" s="21" t="s">
        <v>48</v>
      </c>
      <c r="FG29" s="64"/>
      <c r="FH29" s="17">
        <v>0.97</v>
      </c>
      <c r="FI29" s="531">
        <f t="shared" si="42"/>
        <v>1.3177109865851584</v>
      </c>
      <c r="FJ29" s="17" t="s">
        <v>70</v>
      </c>
      <c r="FK29" s="51" t="s">
        <v>1742</v>
      </c>
      <c r="FL29" s="17">
        <v>0.85</v>
      </c>
      <c r="FM29" s="402">
        <f t="shared" si="43"/>
        <v>1.1546951944302934</v>
      </c>
      <c r="FN29" s="21" t="s">
        <v>42</v>
      </c>
      <c r="FO29" s="51" t="s">
        <v>1743</v>
      </c>
      <c r="FP29" s="17">
        <v>0.56999999999999995</v>
      </c>
      <c r="FQ29" s="217">
        <f t="shared" si="44"/>
        <v>0.7743250127356085</v>
      </c>
      <c r="FR29" s="17" t="s">
        <v>42</v>
      </c>
      <c r="FS29" s="51" t="s">
        <v>1677</v>
      </c>
      <c r="FT29" s="17">
        <v>0.98</v>
      </c>
      <c r="FU29" s="488">
        <f t="shared" si="45"/>
        <v>1.3312956359313972</v>
      </c>
      <c r="FV29" s="17" t="s">
        <v>66</v>
      </c>
      <c r="FW29" s="51" t="s">
        <v>1744</v>
      </c>
      <c r="FX29" s="17">
        <v>1.29</v>
      </c>
      <c r="FY29" s="346">
        <f t="shared" si="46"/>
        <v>1.7524197656647984</v>
      </c>
      <c r="FZ29" s="17" t="s">
        <v>66</v>
      </c>
      <c r="GA29" s="51" t="s">
        <v>1745</v>
      </c>
      <c r="GB29" s="53">
        <v>0.51</v>
      </c>
      <c r="GC29" s="354">
        <f t="shared" si="47"/>
        <v>0.69281711665817614</v>
      </c>
      <c r="GD29" s="21" t="s">
        <v>46</v>
      </c>
      <c r="GE29" s="63"/>
      <c r="GF29" s="17">
        <v>0.7</v>
      </c>
      <c r="GG29" s="37">
        <f t="shared" si="48"/>
        <v>0.95092545423671226</v>
      </c>
      <c r="GH29" s="17" t="s">
        <v>46</v>
      </c>
      <c r="GI29" s="51" t="s">
        <v>1746</v>
      </c>
      <c r="GJ29" s="17">
        <v>0.88</v>
      </c>
      <c r="GK29" s="363">
        <f t="shared" si="49"/>
        <v>1.1954491424690099</v>
      </c>
      <c r="GL29" s="17" t="s">
        <v>856</v>
      </c>
      <c r="GM29" s="67" t="s">
        <v>1747</v>
      </c>
      <c r="GN29" s="17">
        <v>0.45</v>
      </c>
      <c r="GO29" s="313">
        <f t="shared" si="50"/>
        <v>0.61130922058074366</v>
      </c>
      <c r="GP29" s="17" t="s">
        <v>42</v>
      </c>
      <c r="GQ29" s="51" t="s">
        <v>1748</v>
      </c>
      <c r="GR29" s="17">
        <v>0.77</v>
      </c>
      <c r="GS29" s="395">
        <f t="shared" si="51"/>
        <v>1.0460179996603836</v>
      </c>
      <c r="GT29" s="17" t="s">
        <v>70</v>
      </c>
      <c r="GU29" s="51" t="s">
        <v>1749</v>
      </c>
      <c r="GV29" s="17">
        <v>1.03</v>
      </c>
      <c r="GW29" s="140">
        <f t="shared" si="52"/>
        <v>1.3992188826625911</v>
      </c>
      <c r="GX29" s="17" t="s">
        <v>42</v>
      </c>
      <c r="GY29" s="67" t="s">
        <v>1750</v>
      </c>
      <c r="GZ29" s="17">
        <v>0.52</v>
      </c>
      <c r="HA29" s="353">
        <f t="shared" si="53"/>
        <v>0.70640176600441495</v>
      </c>
      <c r="HB29" s="17" t="s">
        <v>46</v>
      </c>
      <c r="HC29" s="20" t="s">
        <v>1751</v>
      </c>
      <c r="HD29" s="17">
        <v>0.67</v>
      </c>
      <c r="HE29" s="80">
        <f t="shared" si="54"/>
        <v>0.91017150619799614</v>
      </c>
      <c r="HF29" s="17" t="s">
        <v>42</v>
      </c>
      <c r="HG29" s="20" t="s">
        <v>1752</v>
      </c>
      <c r="HH29" s="17">
        <v>1.04</v>
      </c>
      <c r="HI29" s="281">
        <f t="shared" si="55"/>
        <v>1.4128035320088299</v>
      </c>
      <c r="HJ29" s="17" t="s">
        <v>48</v>
      </c>
      <c r="HK29" s="20" t="s">
        <v>1753</v>
      </c>
      <c r="HL29" s="17">
        <v>0.94</v>
      </c>
      <c r="HM29" s="605">
        <f t="shared" si="56"/>
        <v>1.2769570385464422</v>
      </c>
      <c r="HN29" s="17" t="s">
        <v>70</v>
      </c>
      <c r="HO29" s="20" t="s">
        <v>1754</v>
      </c>
      <c r="HP29" s="17">
        <v>0.54</v>
      </c>
      <c r="HQ29" s="92">
        <f t="shared" si="57"/>
        <v>0.73357106469689237</v>
      </c>
      <c r="HR29" s="17" t="s">
        <v>48</v>
      </c>
      <c r="HS29" s="73" t="s">
        <v>1755</v>
      </c>
      <c r="HT29" s="17">
        <v>0.99</v>
      </c>
      <c r="HU29" s="430">
        <f t="shared" si="58"/>
        <v>1.344880285277636</v>
      </c>
      <c r="HV29" s="17" t="s">
        <v>42</v>
      </c>
      <c r="HW29" s="75" t="s">
        <v>1756</v>
      </c>
      <c r="HX29" s="17">
        <v>0.78</v>
      </c>
      <c r="HY29" s="482">
        <f t="shared" si="59"/>
        <v>1.0596026490066224</v>
      </c>
      <c r="HZ29" s="21" t="s">
        <v>42</v>
      </c>
      <c r="IA29" s="75" t="s">
        <v>1757</v>
      </c>
      <c r="IB29" s="17">
        <v>0.76</v>
      </c>
      <c r="IC29" s="94">
        <f t="shared" si="60"/>
        <v>1.0324333503141447</v>
      </c>
      <c r="ID29" s="17" t="s">
        <v>48</v>
      </c>
      <c r="IE29" s="51" t="s">
        <v>1758</v>
      </c>
      <c r="IF29" s="17">
        <v>0.61</v>
      </c>
      <c r="IG29" s="137">
        <f t="shared" si="61"/>
        <v>0.82866361012056355</v>
      </c>
      <c r="IH29" s="17" t="s">
        <v>42</v>
      </c>
      <c r="II29" s="67" t="s">
        <v>1759</v>
      </c>
      <c r="IJ29" s="17">
        <v>0.89</v>
      </c>
      <c r="IK29" s="625">
        <f t="shared" si="62"/>
        <v>1.2090337918152485</v>
      </c>
      <c r="IL29" s="17" t="s">
        <v>179</v>
      </c>
      <c r="IM29" s="51" t="s">
        <v>1693</v>
      </c>
      <c r="IN29" s="164">
        <v>0.67</v>
      </c>
      <c r="IO29" s="80">
        <f t="shared" si="63"/>
        <v>0.91017150619799614</v>
      </c>
      <c r="IP29" s="17" t="s">
        <v>70</v>
      </c>
      <c r="IQ29" s="51" t="s">
        <v>1760</v>
      </c>
      <c r="IR29" s="17">
        <v>0.76</v>
      </c>
      <c r="IS29" s="94">
        <f t="shared" si="64"/>
        <v>1.0324333503141447</v>
      </c>
      <c r="IT29" s="17" t="s">
        <v>46</v>
      </c>
      <c r="IU29" s="75" t="s">
        <v>1761</v>
      </c>
      <c r="IV29" s="17">
        <v>0.2</v>
      </c>
      <c r="IW29" s="462">
        <f t="shared" si="65"/>
        <v>0.27169298692477495</v>
      </c>
      <c r="IX29" s="17" t="s">
        <v>48</v>
      </c>
      <c r="IY29" s="51" t="s">
        <v>1762</v>
      </c>
      <c r="IZ29" s="17">
        <v>0.5</v>
      </c>
      <c r="JA29" s="312">
        <f t="shared" si="66"/>
        <v>0.67923246731193743</v>
      </c>
      <c r="JB29" s="17" t="s">
        <v>1697</v>
      </c>
      <c r="JC29" s="51" t="s">
        <v>1763</v>
      </c>
      <c r="JD29" s="17">
        <v>0.93</v>
      </c>
      <c r="JE29" s="95">
        <f t="shared" si="67"/>
        <v>1.2633723892002036</v>
      </c>
      <c r="JF29" s="17" t="s">
        <v>46</v>
      </c>
      <c r="JG29" s="51" t="s">
        <v>1764</v>
      </c>
      <c r="JH29" s="17">
        <v>0.78</v>
      </c>
      <c r="JI29" s="482">
        <f t="shared" si="68"/>
        <v>1.0596026490066224</v>
      </c>
      <c r="JJ29" s="17" t="s">
        <v>48</v>
      </c>
      <c r="JK29" s="51" t="s">
        <v>1765</v>
      </c>
      <c r="JL29" s="21">
        <v>0.32</v>
      </c>
      <c r="JM29" s="299">
        <f t="shared" si="69"/>
        <v>0.43470877907963995</v>
      </c>
      <c r="JN29" s="21" t="s">
        <v>48</v>
      </c>
      <c r="JO29" s="75" t="s">
        <v>1766</v>
      </c>
      <c r="JP29" s="21">
        <v>0.48</v>
      </c>
      <c r="JQ29" s="515">
        <f t="shared" si="70"/>
        <v>0.6520631686194599</v>
      </c>
      <c r="JR29" s="21" t="s">
        <v>66</v>
      </c>
      <c r="JS29" s="51" t="s">
        <v>1767</v>
      </c>
      <c r="JT29" s="21">
        <v>0.52</v>
      </c>
      <c r="JU29" s="353">
        <f t="shared" si="71"/>
        <v>0.70640176600441495</v>
      </c>
      <c r="JV29" s="21" t="s">
        <v>46</v>
      </c>
      <c r="JW29" s="75" t="s">
        <v>1768</v>
      </c>
      <c r="JX29" s="17">
        <v>0.79</v>
      </c>
      <c r="JY29" s="265">
        <f t="shared" si="72"/>
        <v>1.0731872983528612</v>
      </c>
      <c r="JZ29" s="51" t="s">
        <v>42</v>
      </c>
      <c r="KA29" s="51" t="s">
        <v>1769</v>
      </c>
      <c r="KB29" s="21">
        <v>1.35</v>
      </c>
      <c r="KC29" s="626">
        <f t="shared" si="73"/>
        <v>1.8339276617422311</v>
      </c>
      <c r="KD29" s="75" t="s">
        <v>48</v>
      </c>
      <c r="KE29" s="75" t="s">
        <v>1770</v>
      </c>
      <c r="KF29" s="17">
        <v>0.57999999999999996</v>
      </c>
      <c r="KG29" s="174">
        <f t="shared" si="74"/>
        <v>0.78790966208184732</v>
      </c>
      <c r="KH29" s="51" t="s">
        <v>1022</v>
      </c>
      <c r="KI29" s="51" t="s">
        <v>1706</v>
      </c>
      <c r="KJ29" s="21">
        <v>0.68</v>
      </c>
      <c r="KK29" s="297">
        <f t="shared" si="75"/>
        <v>0.92375615554423496</v>
      </c>
      <c r="KL29" s="75" t="s">
        <v>42</v>
      </c>
      <c r="KM29" s="75" t="s">
        <v>1771</v>
      </c>
      <c r="KN29" s="17">
        <v>0.66</v>
      </c>
      <c r="KO29" s="108">
        <f t="shared" si="76"/>
        <v>0.89658685685175743</v>
      </c>
      <c r="KP29" s="51" t="s">
        <v>46</v>
      </c>
      <c r="KQ29" s="51" t="s">
        <v>1772</v>
      </c>
      <c r="KR29" s="21">
        <v>0.86</v>
      </c>
      <c r="KS29" s="337">
        <f t="shared" si="77"/>
        <v>1.1682798437765323</v>
      </c>
      <c r="KT29" s="75" t="s">
        <v>108</v>
      </c>
      <c r="KU29" s="63"/>
      <c r="KV29" s="82">
        <v>0.74</v>
      </c>
      <c r="KW29" s="606">
        <f t="shared" si="78"/>
        <v>1.0052640516216673</v>
      </c>
      <c r="KX29" s="51" t="s">
        <v>110</v>
      </c>
      <c r="KY29" s="51" t="s">
        <v>1773</v>
      </c>
      <c r="KZ29" s="83">
        <v>0.25</v>
      </c>
      <c r="LA29" s="301">
        <f t="shared" si="79"/>
        <v>0.33961623365596871</v>
      </c>
      <c r="LB29" s="75" t="s">
        <v>70</v>
      </c>
      <c r="LC29" s="75" t="s">
        <v>1710</v>
      </c>
      <c r="LD29" s="82">
        <v>0.61</v>
      </c>
      <c r="LE29" s="137">
        <f t="shared" si="80"/>
        <v>0.82866361012056355</v>
      </c>
      <c r="LF29" s="51" t="s">
        <v>48</v>
      </c>
      <c r="LG29" s="51" t="s">
        <v>1774</v>
      </c>
      <c r="LH29" s="83">
        <v>0.53</v>
      </c>
      <c r="LI29" s="84"/>
      <c r="LJ29" s="85"/>
      <c r="LK29" s="85"/>
      <c r="LL29" s="86">
        <f t="shared" si="81"/>
        <v>0.737594936708861</v>
      </c>
      <c r="LM29" s="86">
        <f t="shared" si="82"/>
        <v>0.84056976145529405</v>
      </c>
      <c r="LN29" s="86">
        <f t="shared" si="90"/>
        <v>1.080287746015417</v>
      </c>
      <c r="LO29" s="86">
        <f t="shared" si="94"/>
        <v>0.93976714165617103</v>
      </c>
      <c r="LP29" s="86">
        <f t="shared" si="95"/>
        <v>6.1920512634855207E-2</v>
      </c>
      <c r="LQ29" s="87">
        <f t="shared" si="96"/>
        <v>0</v>
      </c>
      <c r="LR29" s="86">
        <f t="shared" si="97"/>
        <v>0.97736607678065779</v>
      </c>
      <c r="LS29" s="84">
        <v>1</v>
      </c>
      <c r="LT29" s="87">
        <f t="shared" si="100"/>
        <v>0</v>
      </c>
      <c r="LU29" s="87">
        <f t="shared" si="92"/>
        <v>3</v>
      </c>
      <c r="LV29" s="86">
        <f t="shared" si="98"/>
        <v>0.96</v>
      </c>
      <c r="LW29" s="89" t="s">
        <v>3812</v>
      </c>
      <c r="LX29" s="5" t="str">
        <f t="shared" si="87"/>
        <v/>
      </c>
      <c r="LY29" s="5" t="str">
        <f t="shared" si="88"/>
        <v/>
      </c>
      <c r="LZ29" s="5"/>
      <c r="MA29" s="67" t="str">
        <f t="shared" si="99"/>
        <v>PALMEIRAS</v>
      </c>
      <c r="MB29" s="89" t="s">
        <v>3808</v>
      </c>
    </row>
    <row r="30" spans="1:340" x14ac:dyDescent="0.2">
      <c r="A30" s="16">
        <v>0.76875000000000004</v>
      </c>
      <c r="B30" s="627">
        <f t="shared" si="0"/>
        <v>0.75087500000000029</v>
      </c>
      <c r="C30" s="628">
        <f t="shared" si="1"/>
        <v>-0.17429665390377924</v>
      </c>
      <c r="D30" s="17">
        <v>0.62</v>
      </c>
      <c r="E30" s="629">
        <f t="shared" si="2"/>
        <v>0.82570334609622076</v>
      </c>
      <c r="F30" s="17" t="s">
        <v>48</v>
      </c>
      <c r="G30" s="20" t="s">
        <v>1775</v>
      </c>
      <c r="H30" s="21">
        <v>0.81</v>
      </c>
      <c r="I30" s="176">
        <f t="shared" si="3"/>
        <v>1.0787414682869982</v>
      </c>
      <c r="J30" s="21" t="s">
        <v>46</v>
      </c>
      <c r="K30" s="23" t="s">
        <v>1776</v>
      </c>
      <c r="L30" s="17">
        <v>0.95</v>
      </c>
      <c r="M30" s="95">
        <f t="shared" si="4"/>
        <v>1.2651906109538866</v>
      </c>
      <c r="N30" s="17" t="s">
        <v>42</v>
      </c>
      <c r="O30" s="20" t="s">
        <v>1777</v>
      </c>
      <c r="P30" s="21">
        <v>1</v>
      </c>
      <c r="Q30" s="630">
        <f t="shared" si="5"/>
        <v>1.3317795904777754</v>
      </c>
      <c r="R30" s="21" t="s">
        <v>70</v>
      </c>
      <c r="S30" s="23" t="s">
        <v>1778</v>
      </c>
      <c r="T30" s="17">
        <v>0.6</v>
      </c>
      <c r="U30" s="491">
        <f t="shared" si="6"/>
        <v>0.79906775428666521</v>
      </c>
      <c r="V30" s="17" t="s">
        <v>70</v>
      </c>
      <c r="W30" s="5"/>
      <c r="X30" s="21">
        <v>0.91</v>
      </c>
      <c r="Y30" s="631">
        <f t="shared" si="7"/>
        <v>1.2119194273347758</v>
      </c>
      <c r="Z30" s="21" t="s">
        <v>49</v>
      </c>
      <c r="AA30" s="28"/>
      <c r="AB30" s="17">
        <v>0.89</v>
      </c>
      <c r="AC30" s="326">
        <f t="shared" si="8"/>
        <v>1.1852838355252202</v>
      </c>
      <c r="AD30" s="17" t="s">
        <v>46</v>
      </c>
      <c r="AE30" s="20" t="s">
        <v>1779</v>
      </c>
      <c r="AF30" s="21">
        <v>0.91</v>
      </c>
      <c r="AG30" s="631">
        <f t="shared" si="9"/>
        <v>1.2119194273347758</v>
      </c>
      <c r="AH30" s="21" t="s">
        <v>108</v>
      </c>
      <c r="AI30" s="23" t="s">
        <v>1780</v>
      </c>
      <c r="AJ30" s="17">
        <v>1.0900000000000001</v>
      </c>
      <c r="AK30" s="177">
        <f t="shared" si="10"/>
        <v>1.4516397536207752</v>
      </c>
      <c r="AL30" s="17" t="s">
        <v>70</v>
      </c>
      <c r="AM30" s="20" t="s">
        <v>1781</v>
      </c>
      <c r="AN30" s="21">
        <v>1.07</v>
      </c>
      <c r="AO30" s="112">
        <f t="shared" si="11"/>
        <v>1.4250041618112197</v>
      </c>
      <c r="AP30" s="21" t="s">
        <v>42</v>
      </c>
      <c r="AQ30" s="23" t="s">
        <v>1782</v>
      </c>
      <c r="AR30" s="17">
        <v>0.9</v>
      </c>
      <c r="AS30" s="386">
        <f t="shared" si="12"/>
        <v>1.1986016314299979</v>
      </c>
      <c r="AT30" s="17" t="s">
        <v>42</v>
      </c>
      <c r="AU30" s="20" t="s">
        <v>1783</v>
      </c>
      <c r="AV30" s="21">
        <v>0.78</v>
      </c>
      <c r="AW30" s="206">
        <f t="shared" si="13"/>
        <v>1.0387880805726648</v>
      </c>
      <c r="AX30" s="21" t="s">
        <v>70</v>
      </c>
      <c r="AY30" s="23" t="s">
        <v>1784</v>
      </c>
      <c r="AZ30" s="17">
        <v>1</v>
      </c>
      <c r="BA30" s="630">
        <f t="shared" si="14"/>
        <v>1.3317795904777754</v>
      </c>
      <c r="BB30" s="17" t="s">
        <v>70</v>
      </c>
      <c r="BC30" s="20" t="s">
        <v>1785</v>
      </c>
      <c r="BD30" s="17">
        <v>1.23</v>
      </c>
      <c r="BE30" s="190">
        <f t="shared" si="15"/>
        <v>1.6380888962876636</v>
      </c>
      <c r="BF30" s="17" t="s">
        <v>48</v>
      </c>
      <c r="BG30" s="20" t="s">
        <v>1786</v>
      </c>
      <c r="BH30" s="37">
        <v>1.37</v>
      </c>
      <c r="BI30" s="632">
        <f t="shared" si="16"/>
        <v>1.8245380389545525</v>
      </c>
      <c r="BJ30" s="37" t="s">
        <v>48</v>
      </c>
      <c r="BK30" s="38" t="s">
        <v>1787</v>
      </c>
      <c r="BL30" s="17">
        <v>0.69</v>
      </c>
      <c r="BM30" s="110">
        <f t="shared" si="17"/>
        <v>0.91892791742966495</v>
      </c>
      <c r="BN30" s="17" t="s">
        <v>70</v>
      </c>
      <c r="BO30" s="40"/>
      <c r="BP30" s="17">
        <v>0.71</v>
      </c>
      <c r="BQ30" s="530">
        <f t="shared" si="18"/>
        <v>0.9455635092392205</v>
      </c>
      <c r="BR30" s="17" t="s">
        <v>48</v>
      </c>
      <c r="BS30" s="41"/>
      <c r="BT30" s="37">
        <v>0.62</v>
      </c>
      <c r="BU30" s="629">
        <f t="shared" si="19"/>
        <v>0.82570334609622076</v>
      </c>
      <c r="BV30" s="46" t="s">
        <v>356</v>
      </c>
      <c r="BW30" s="23" t="s">
        <v>1788</v>
      </c>
      <c r="BX30" s="17">
        <v>0.52</v>
      </c>
      <c r="BY30" s="354">
        <f t="shared" si="20"/>
        <v>0.69252538704844324</v>
      </c>
      <c r="BZ30" s="17" t="s">
        <v>70</v>
      </c>
      <c r="CA30" s="20" t="s">
        <v>1789</v>
      </c>
      <c r="CB30" s="37">
        <v>0.75</v>
      </c>
      <c r="CC30" s="231">
        <f t="shared" si="21"/>
        <v>0.9988346928583316</v>
      </c>
      <c r="CD30" s="46" t="s">
        <v>70</v>
      </c>
      <c r="CE30" s="23" t="s">
        <v>1790</v>
      </c>
      <c r="CF30" s="17">
        <v>0.39</v>
      </c>
      <c r="CG30" s="208">
        <f t="shared" si="22"/>
        <v>0.5193940402863324</v>
      </c>
      <c r="CH30" s="17" t="s">
        <v>48</v>
      </c>
      <c r="CI30" s="20" t="s">
        <v>1791</v>
      </c>
      <c r="CJ30" s="37">
        <v>0.12</v>
      </c>
      <c r="CK30" s="633">
        <f t="shared" si="23"/>
        <v>0.15981355085733304</v>
      </c>
      <c r="CL30" s="46" t="s">
        <v>42</v>
      </c>
      <c r="CM30" s="23" t="s">
        <v>1792</v>
      </c>
      <c r="CN30" s="17">
        <v>0.77</v>
      </c>
      <c r="CO30" s="634">
        <f t="shared" si="24"/>
        <v>1.0254702846678871</v>
      </c>
      <c r="CP30" s="17" t="s">
        <v>66</v>
      </c>
      <c r="CQ30" s="20" t="s">
        <v>1793</v>
      </c>
      <c r="CR30" s="37">
        <v>0.69</v>
      </c>
      <c r="CS30" s="110">
        <f t="shared" si="25"/>
        <v>0.91892791742966495</v>
      </c>
      <c r="CT30" s="21" t="s">
        <v>70</v>
      </c>
      <c r="CU30" s="23" t="s">
        <v>1794</v>
      </c>
      <c r="CV30" s="17">
        <v>0.69</v>
      </c>
      <c r="CW30" s="110">
        <f t="shared" si="26"/>
        <v>0.91892791742966495</v>
      </c>
      <c r="CX30" s="17" t="s">
        <v>42</v>
      </c>
      <c r="CY30" s="20" t="s">
        <v>1795</v>
      </c>
      <c r="CZ30" s="37">
        <v>0.32</v>
      </c>
      <c r="DA30" s="237">
        <f t="shared" si="27"/>
        <v>0.42616946895288815</v>
      </c>
      <c r="DB30" s="21" t="s">
        <v>70</v>
      </c>
      <c r="DC30" s="23" t="s">
        <v>1796</v>
      </c>
      <c r="DD30" s="17">
        <v>0.56000000000000005</v>
      </c>
      <c r="DE30" s="541">
        <f t="shared" si="28"/>
        <v>0.74579657066755434</v>
      </c>
      <c r="DF30" s="17" t="s">
        <v>108</v>
      </c>
      <c r="DG30" s="20" t="s">
        <v>1797</v>
      </c>
      <c r="DH30" s="37">
        <v>0.92</v>
      </c>
      <c r="DI30" s="48">
        <f t="shared" si="29"/>
        <v>1.2252372232395534</v>
      </c>
      <c r="DJ30" s="21" t="s">
        <v>46</v>
      </c>
      <c r="DK30" s="28"/>
      <c r="DL30" s="17">
        <v>0.26</v>
      </c>
      <c r="DM30" s="518">
        <f t="shared" si="30"/>
        <v>0.34626269352422162</v>
      </c>
      <c r="DN30" s="17" t="s">
        <v>42</v>
      </c>
      <c r="DO30" s="51" t="s">
        <v>1798</v>
      </c>
      <c r="DP30" s="21">
        <v>0.78</v>
      </c>
      <c r="DQ30" s="206">
        <f t="shared" si="31"/>
        <v>1.0387880805726648</v>
      </c>
      <c r="DR30" s="53" t="s">
        <v>108</v>
      </c>
      <c r="DS30" s="54" t="s">
        <v>1799</v>
      </c>
      <c r="DT30" s="53">
        <v>0.61</v>
      </c>
      <c r="DU30" s="223">
        <f t="shared" si="32"/>
        <v>0.81238555019144298</v>
      </c>
      <c r="DV30" s="56" t="s">
        <v>70</v>
      </c>
      <c r="DW30" s="57" t="s">
        <v>1800</v>
      </c>
      <c r="DX30" s="53">
        <v>0.37</v>
      </c>
      <c r="DY30" s="304">
        <f t="shared" si="33"/>
        <v>0.49275844847677691</v>
      </c>
      <c r="DZ30" s="53" t="s">
        <v>179</v>
      </c>
      <c r="EA30" s="54" t="s">
        <v>1800</v>
      </c>
      <c r="EB30" s="56">
        <v>0.63</v>
      </c>
      <c r="EC30" s="415">
        <f t="shared" si="34"/>
        <v>0.83902114200099853</v>
      </c>
      <c r="ED30" s="56" t="s">
        <v>46</v>
      </c>
      <c r="EE30" s="57" t="s">
        <v>1801</v>
      </c>
      <c r="EF30" s="53">
        <v>0.5</v>
      </c>
      <c r="EG30" s="178">
        <f t="shared" si="35"/>
        <v>0.66588979523888769</v>
      </c>
      <c r="EH30" s="53" t="s">
        <v>285</v>
      </c>
      <c r="EI30" s="57" t="s">
        <v>1802</v>
      </c>
      <c r="EJ30" s="53">
        <v>1</v>
      </c>
      <c r="EK30" s="630">
        <f t="shared" si="36"/>
        <v>1.3317795904777754</v>
      </c>
      <c r="EL30" s="56" t="s">
        <v>285</v>
      </c>
      <c r="EM30" s="57" t="s">
        <v>1803</v>
      </c>
      <c r="EN30" s="53">
        <v>1.01</v>
      </c>
      <c r="EO30" s="430">
        <f t="shared" si="37"/>
        <v>1.3450973863825533</v>
      </c>
      <c r="EP30" s="53" t="s">
        <v>46</v>
      </c>
      <c r="EQ30" s="23" t="s">
        <v>1804</v>
      </c>
      <c r="ER30" s="53">
        <v>0.61</v>
      </c>
      <c r="ES30" s="223">
        <f t="shared" si="38"/>
        <v>0.81238555019144298</v>
      </c>
      <c r="ET30" s="53" t="s">
        <v>179</v>
      </c>
      <c r="EU30" s="20" t="s">
        <v>1805</v>
      </c>
      <c r="EV30" s="53">
        <v>1.07</v>
      </c>
      <c r="EW30" s="112">
        <f t="shared" si="39"/>
        <v>1.4250041618112197</v>
      </c>
      <c r="EX30" s="21" t="s">
        <v>48</v>
      </c>
      <c r="EY30" s="57" t="s">
        <v>1806</v>
      </c>
      <c r="EZ30" s="53">
        <v>0.85</v>
      </c>
      <c r="FA30" s="258">
        <f t="shared" si="40"/>
        <v>1.1320126519061091</v>
      </c>
      <c r="FB30" s="40"/>
      <c r="FC30" s="40"/>
      <c r="FD30" s="53">
        <v>1.17</v>
      </c>
      <c r="FE30" s="253">
        <f t="shared" si="41"/>
        <v>1.5581821208589972</v>
      </c>
      <c r="FF30" s="21" t="s">
        <v>48</v>
      </c>
      <c r="FG30" s="64"/>
      <c r="FH30" s="17">
        <v>1.17</v>
      </c>
      <c r="FI30" s="253">
        <f t="shared" si="42"/>
        <v>1.5581821208589972</v>
      </c>
      <c r="FJ30" s="17" t="s">
        <v>70</v>
      </c>
      <c r="FK30" s="51" t="s">
        <v>1807</v>
      </c>
      <c r="FL30" s="17">
        <v>0.78</v>
      </c>
      <c r="FM30" s="206">
        <f t="shared" si="43"/>
        <v>1.0387880805726648</v>
      </c>
      <c r="FN30" s="21" t="s">
        <v>42</v>
      </c>
      <c r="FO30" s="51" t="s">
        <v>1808</v>
      </c>
      <c r="FP30" s="17">
        <v>0.56999999999999995</v>
      </c>
      <c r="FQ30" s="96">
        <f t="shared" si="44"/>
        <v>0.75911436657233189</v>
      </c>
      <c r="FR30" s="17" t="s">
        <v>42</v>
      </c>
      <c r="FS30" s="51" t="s">
        <v>1809</v>
      </c>
      <c r="FT30" s="17">
        <v>0.85</v>
      </c>
      <c r="FU30" s="258">
        <f t="shared" si="45"/>
        <v>1.1320126519061091</v>
      </c>
      <c r="FV30" s="17" t="s">
        <v>70</v>
      </c>
      <c r="FW30" s="51" t="s">
        <v>1810</v>
      </c>
      <c r="FX30" s="17">
        <v>1.22</v>
      </c>
      <c r="FY30" s="221">
        <f t="shared" si="46"/>
        <v>1.624771100382886</v>
      </c>
      <c r="FZ30" s="17" t="s">
        <v>70</v>
      </c>
      <c r="GA30" s="51" t="s">
        <v>1811</v>
      </c>
      <c r="GB30" s="53">
        <v>0.57999999999999996</v>
      </c>
      <c r="GC30" s="19">
        <f t="shared" si="47"/>
        <v>0.77243216247710966</v>
      </c>
      <c r="GD30" s="21" t="s">
        <v>46</v>
      </c>
      <c r="GE30" s="63"/>
      <c r="GF30" s="17">
        <v>0.7</v>
      </c>
      <c r="GG30" s="191">
        <f t="shared" si="48"/>
        <v>0.93224571333444273</v>
      </c>
      <c r="GH30" s="17" t="s">
        <v>66</v>
      </c>
      <c r="GI30" s="51" t="s">
        <v>1812</v>
      </c>
      <c r="GJ30" s="17">
        <v>0.88</v>
      </c>
      <c r="GK30" s="271">
        <f t="shared" si="49"/>
        <v>1.1719660396204423</v>
      </c>
      <c r="GL30" s="17" t="s">
        <v>856</v>
      </c>
      <c r="GM30" s="67" t="s">
        <v>1813</v>
      </c>
      <c r="GN30" s="17">
        <v>0.45</v>
      </c>
      <c r="GO30" s="100">
        <f t="shared" si="50"/>
        <v>0.59930081571499894</v>
      </c>
      <c r="GP30" s="17" t="s">
        <v>42</v>
      </c>
      <c r="GQ30" s="51" t="s">
        <v>1814</v>
      </c>
      <c r="GR30" s="17">
        <v>0.77</v>
      </c>
      <c r="GS30" s="634">
        <f t="shared" si="51"/>
        <v>1.0254702846678871</v>
      </c>
      <c r="GT30" s="17" t="s">
        <v>70</v>
      </c>
      <c r="GU30" s="51" t="s">
        <v>1815</v>
      </c>
      <c r="GV30" s="17">
        <v>1.03</v>
      </c>
      <c r="GW30" s="635">
        <f t="shared" si="52"/>
        <v>1.3717329781921086</v>
      </c>
      <c r="GX30" s="17" t="s">
        <v>42</v>
      </c>
      <c r="GY30" s="67" t="s">
        <v>1816</v>
      </c>
      <c r="GZ30" s="17">
        <v>0.52</v>
      </c>
      <c r="HA30" s="354">
        <f t="shared" si="53"/>
        <v>0.69252538704844324</v>
      </c>
      <c r="HB30" s="17" t="s">
        <v>46</v>
      </c>
      <c r="HC30" s="20" t="s">
        <v>1817</v>
      </c>
      <c r="HD30" s="17">
        <v>0.74</v>
      </c>
      <c r="HE30" s="61">
        <f t="shared" si="54"/>
        <v>0.98551689695355382</v>
      </c>
      <c r="HF30" s="17" t="s">
        <v>42</v>
      </c>
      <c r="HG30" s="20" t="s">
        <v>1818</v>
      </c>
      <c r="HH30" s="17">
        <v>0.97</v>
      </c>
      <c r="HI30" s="599">
        <f t="shared" si="55"/>
        <v>1.2918262027634422</v>
      </c>
      <c r="HJ30" s="17" t="s">
        <v>48</v>
      </c>
      <c r="HK30" s="20" t="s">
        <v>1819</v>
      </c>
      <c r="HL30" s="17">
        <v>0.99</v>
      </c>
      <c r="HM30" s="531">
        <f t="shared" si="56"/>
        <v>1.3184617945729977</v>
      </c>
      <c r="HN30" s="17" t="s">
        <v>46</v>
      </c>
      <c r="HO30" s="20" t="s">
        <v>1820</v>
      </c>
      <c r="HP30" s="17">
        <v>0.48</v>
      </c>
      <c r="HQ30" s="289">
        <f t="shared" si="57"/>
        <v>0.63925420342933215</v>
      </c>
      <c r="HR30" s="17" t="s">
        <v>42</v>
      </c>
      <c r="HS30" s="73" t="s">
        <v>1821</v>
      </c>
      <c r="HT30" s="17">
        <v>0.99</v>
      </c>
      <c r="HU30" s="531">
        <f t="shared" si="58"/>
        <v>1.3184617945729977</v>
      </c>
      <c r="HV30" s="17" t="s">
        <v>42</v>
      </c>
      <c r="HW30" s="75" t="s">
        <v>1822</v>
      </c>
      <c r="HX30" s="17">
        <v>0.84</v>
      </c>
      <c r="HY30" s="213">
        <f t="shared" si="59"/>
        <v>1.1186948560013312</v>
      </c>
      <c r="HZ30" s="21" t="s">
        <v>70</v>
      </c>
      <c r="IA30" s="75" t="s">
        <v>1823</v>
      </c>
      <c r="IB30" s="17">
        <v>0.76</v>
      </c>
      <c r="IC30" s="111">
        <f t="shared" si="60"/>
        <v>1.0121524887631093</v>
      </c>
      <c r="ID30" s="17" t="s">
        <v>285</v>
      </c>
      <c r="IE30" s="51" t="s">
        <v>1824</v>
      </c>
      <c r="IF30" s="17">
        <v>0.63</v>
      </c>
      <c r="IG30" s="415">
        <f t="shared" si="61"/>
        <v>0.83902114200099853</v>
      </c>
      <c r="IH30" s="17" t="s">
        <v>42</v>
      </c>
      <c r="II30" s="67" t="s">
        <v>1825</v>
      </c>
      <c r="IJ30" s="17">
        <v>1.04</v>
      </c>
      <c r="IK30" s="252">
        <f t="shared" si="62"/>
        <v>1.3850507740968865</v>
      </c>
      <c r="IL30" s="17" t="s">
        <v>179</v>
      </c>
      <c r="IM30" s="51" t="s">
        <v>1826</v>
      </c>
      <c r="IN30" s="236">
        <v>0.67</v>
      </c>
      <c r="IO30" s="199">
        <f t="shared" si="63"/>
        <v>0.89229232562010963</v>
      </c>
      <c r="IP30" s="17" t="s">
        <v>70</v>
      </c>
      <c r="IQ30" s="51" t="s">
        <v>1827</v>
      </c>
      <c r="IR30" s="17">
        <v>0.76</v>
      </c>
      <c r="IS30" s="111">
        <f t="shared" si="64"/>
        <v>1.0121524887631093</v>
      </c>
      <c r="IT30" s="17" t="s">
        <v>70</v>
      </c>
      <c r="IU30" s="75" t="s">
        <v>1828</v>
      </c>
      <c r="IV30" s="17">
        <v>0.2</v>
      </c>
      <c r="IW30" s="233">
        <f t="shared" si="65"/>
        <v>0.26635591809555509</v>
      </c>
      <c r="IX30" s="17" t="s">
        <v>48</v>
      </c>
      <c r="IY30" s="51" t="s">
        <v>1829</v>
      </c>
      <c r="IZ30" s="17">
        <v>0.62</v>
      </c>
      <c r="JA30" s="629">
        <f t="shared" si="66"/>
        <v>0.82570334609622076</v>
      </c>
      <c r="JB30" s="17" t="s">
        <v>1697</v>
      </c>
      <c r="JC30" s="51" t="s">
        <v>1830</v>
      </c>
      <c r="JD30" s="17">
        <v>0.98</v>
      </c>
      <c r="JE30" s="529">
        <f t="shared" si="67"/>
        <v>1.3051439986682198</v>
      </c>
      <c r="JF30" s="17" t="s">
        <v>46</v>
      </c>
      <c r="JG30" s="51" t="s">
        <v>1831</v>
      </c>
      <c r="JH30" s="17">
        <v>0.78</v>
      </c>
      <c r="JI30" s="206">
        <f t="shared" si="68"/>
        <v>1.0387880805726648</v>
      </c>
      <c r="JJ30" s="17" t="s">
        <v>48</v>
      </c>
      <c r="JK30" s="51" t="s">
        <v>1832</v>
      </c>
      <c r="JL30" s="21">
        <v>0.32</v>
      </c>
      <c r="JM30" s="237">
        <f t="shared" si="69"/>
        <v>0.42616946895288815</v>
      </c>
      <c r="JN30" s="21" t="s">
        <v>48</v>
      </c>
      <c r="JO30" s="75" t="s">
        <v>1833</v>
      </c>
      <c r="JP30" s="21">
        <v>0.47</v>
      </c>
      <c r="JQ30" s="26">
        <f t="shared" si="70"/>
        <v>0.62593640752455437</v>
      </c>
      <c r="JR30" s="21" t="s">
        <v>66</v>
      </c>
      <c r="JS30" s="51" t="s">
        <v>1834</v>
      </c>
      <c r="JT30" s="21">
        <v>0.51</v>
      </c>
      <c r="JU30" s="312">
        <f t="shared" si="71"/>
        <v>0.67920759114366547</v>
      </c>
      <c r="JV30" s="21" t="s">
        <v>46</v>
      </c>
      <c r="JW30" s="75" t="s">
        <v>1835</v>
      </c>
      <c r="JX30" s="17">
        <v>0.79</v>
      </c>
      <c r="JY30" s="535">
        <f t="shared" si="72"/>
        <v>1.0521058764774427</v>
      </c>
      <c r="JZ30" s="51" t="s">
        <v>42</v>
      </c>
      <c r="KA30" s="51" t="s">
        <v>1836</v>
      </c>
      <c r="KB30" s="21">
        <v>1.41</v>
      </c>
      <c r="KC30" s="506">
        <f t="shared" si="73"/>
        <v>1.8778092225736631</v>
      </c>
      <c r="KD30" s="75" t="s">
        <v>48</v>
      </c>
      <c r="KE30" s="75" t="s">
        <v>1837</v>
      </c>
      <c r="KF30" s="17">
        <v>0.52</v>
      </c>
      <c r="KG30" s="354">
        <f t="shared" si="74"/>
        <v>0.69252538704844324</v>
      </c>
      <c r="KH30" s="51" t="s">
        <v>1022</v>
      </c>
      <c r="KI30" s="51" t="s">
        <v>1838</v>
      </c>
      <c r="KJ30" s="21">
        <v>0.68</v>
      </c>
      <c r="KK30" s="300">
        <f t="shared" si="75"/>
        <v>0.90561012152488729</v>
      </c>
      <c r="KL30" s="75" t="s">
        <v>42</v>
      </c>
      <c r="KM30" s="75" t="s">
        <v>1839</v>
      </c>
      <c r="KN30" s="17">
        <v>0.66</v>
      </c>
      <c r="KO30" s="510">
        <f t="shared" si="76"/>
        <v>0.87897452971533185</v>
      </c>
      <c r="KP30" s="51" t="s">
        <v>46</v>
      </c>
      <c r="KQ30" s="51" t="s">
        <v>1840</v>
      </c>
      <c r="KR30" s="21">
        <v>0.79</v>
      </c>
      <c r="KS30" s="535">
        <f t="shared" si="77"/>
        <v>1.0521058764774427</v>
      </c>
      <c r="KT30" s="75" t="s">
        <v>48</v>
      </c>
      <c r="KU30" s="75" t="s">
        <v>1841</v>
      </c>
      <c r="KV30" s="82">
        <v>0.81</v>
      </c>
      <c r="KW30" s="176">
        <f t="shared" si="78"/>
        <v>1.0787414682869982</v>
      </c>
      <c r="KX30" s="51" t="s">
        <v>46</v>
      </c>
      <c r="KY30" s="51" t="s">
        <v>1842</v>
      </c>
      <c r="KZ30" s="83">
        <v>0.33</v>
      </c>
      <c r="LA30" s="352">
        <f t="shared" si="79"/>
        <v>0.43948726485766593</v>
      </c>
      <c r="LB30" s="75" t="s">
        <v>70</v>
      </c>
      <c r="LC30" s="75" t="s">
        <v>1843</v>
      </c>
      <c r="LD30" s="82">
        <v>0.61</v>
      </c>
      <c r="LE30" s="223">
        <f t="shared" si="80"/>
        <v>0.81238555019144298</v>
      </c>
      <c r="LF30" s="51" t="s">
        <v>48</v>
      </c>
      <c r="LG30" s="51" t="s">
        <v>1844</v>
      </c>
      <c r="LH30" s="83">
        <v>0.46</v>
      </c>
      <c r="LI30" s="84"/>
      <c r="LJ30" s="85"/>
      <c r="LK30" s="85"/>
      <c r="LL30" s="86">
        <f t="shared" si="81"/>
        <v>0.75253164556962049</v>
      </c>
      <c r="LM30" s="86">
        <f t="shared" si="82"/>
        <v>0.82388561816652628</v>
      </c>
      <c r="LN30" s="86">
        <f t="shared" si="90"/>
        <v>1.0714093021428199</v>
      </c>
      <c r="LO30" s="86">
        <f t="shared" si="94"/>
        <v>0.89825223877587235</v>
      </c>
      <c r="LP30" s="86">
        <f t="shared" si="95"/>
        <v>-0.13806578612100717</v>
      </c>
      <c r="LQ30" s="87">
        <f t="shared" si="96"/>
        <v>0</v>
      </c>
      <c r="LR30" s="86">
        <f t="shared" si="97"/>
        <v>0.90063728806699517</v>
      </c>
      <c r="LS30" s="84">
        <v>1</v>
      </c>
      <c r="LT30" s="87">
        <f t="shared" si="100"/>
        <v>0</v>
      </c>
      <c r="LU30" s="87">
        <f t="shared" si="92"/>
        <v>4</v>
      </c>
      <c r="LV30" s="84">
        <f t="shared" si="98"/>
        <v>1</v>
      </c>
      <c r="LW30" s="581" t="s">
        <v>3813</v>
      </c>
      <c r="LX30" s="89" t="str">
        <f t="shared" si="87"/>
        <v/>
      </c>
      <c r="LY30" s="581" t="str">
        <f t="shared" si="88"/>
        <v/>
      </c>
      <c r="LZ30" s="5"/>
      <c r="MA30" s="67" t="str">
        <f t="shared" si="99"/>
        <v>PALMEIRAS</v>
      </c>
      <c r="MB30" s="89" t="s">
        <v>3808</v>
      </c>
    </row>
    <row r="31" spans="1:340" x14ac:dyDescent="0.2">
      <c r="A31" s="16">
        <v>0.76944444444444449</v>
      </c>
      <c r="B31" s="636">
        <f t="shared" si="0"/>
        <v>0.77237500000000014</v>
      </c>
      <c r="C31" s="595">
        <f t="shared" si="1"/>
        <v>-0.11959864055672453</v>
      </c>
      <c r="D31" s="17">
        <v>0.68</v>
      </c>
      <c r="E31" s="510">
        <f t="shared" si="2"/>
        <v>0.88040135944327547</v>
      </c>
      <c r="F31" s="17" t="s">
        <v>48</v>
      </c>
      <c r="G31" s="20" t="s">
        <v>1845</v>
      </c>
      <c r="H31" s="21">
        <v>0.93</v>
      </c>
      <c r="I31" s="330">
        <f t="shared" si="3"/>
        <v>1.2040783298268327</v>
      </c>
      <c r="J31" s="21" t="s">
        <v>48</v>
      </c>
      <c r="K31" s="23" t="s">
        <v>1846</v>
      </c>
      <c r="L31" s="17">
        <v>1</v>
      </c>
      <c r="M31" s="339">
        <f t="shared" si="4"/>
        <v>1.2947078815342286</v>
      </c>
      <c r="N31" s="17" t="s">
        <v>1022</v>
      </c>
      <c r="O31" s="20" t="s">
        <v>1847</v>
      </c>
      <c r="P31" s="21">
        <v>1</v>
      </c>
      <c r="Q31" s="339">
        <f t="shared" si="5"/>
        <v>1.2947078815342286</v>
      </c>
      <c r="R31" s="21" t="s">
        <v>70</v>
      </c>
      <c r="S31" s="23" t="s">
        <v>1848</v>
      </c>
      <c r="T31" s="17">
        <v>0.66</v>
      </c>
      <c r="U31" s="127">
        <f t="shared" si="6"/>
        <v>0.85450720181259088</v>
      </c>
      <c r="V31" s="17" t="s">
        <v>1849</v>
      </c>
      <c r="W31" s="5"/>
      <c r="X31" s="21">
        <v>0.97</v>
      </c>
      <c r="Y31" s="589">
        <f t="shared" si="7"/>
        <v>1.2558666450882017</v>
      </c>
      <c r="Z31" s="21" t="s">
        <v>42</v>
      </c>
      <c r="AA31" s="28"/>
      <c r="AB31" s="17">
        <v>1.01</v>
      </c>
      <c r="AC31" s="315">
        <f t="shared" si="8"/>
        <v>1.3076549603495708</v>
      </c>
      <c r="AD31" s="17" t="s">
        <v>46</v>
      </c>
      <c r="AE31" s="20" t="s">
        <v>1850</v>
      </c>
      <c r="AF31" s="21">
        <v>0.84</v>
      </c>
      <c r="AG31" s="414">
        <f t="shared" si="9"/>
        <v>1.0875546204887521</v>
      </c>
      <c r="AH31" s="21" t="s">
        <v>46</v>
      </c>
      <c r="AI31" s="23" t="s">
        <v>1851</v>
      </c>
      <c r="AJ31" s="17">
        <v>1.1499999999999999</v>
      </c>
      <c r="AK31" s="169">
        <f t="shared" si="10"/>
        <v>1.4889140637643627</v>
      </c>
      <c r="AL31" s="17" t="s">
        <v>42</v>
      </c>
      <c r="AM31" s="20" t="s">
        <v>1852</v>
      </c>
      <c r="AN31" s="21">
        <v>1.07</v>
      </c>
      <c r="AO31" s="252">
        <f t="shared" si="11"/>
        <v>1.3853374332416246</v>
      </c>
      <c r="AP31" s="21" t="s">
        <v>48</v>
      </c>
      <c r="AQ31" s="23" t="s">
        <v>1853</v>
      </c>
      <c r="AR31" s="17">
        <v>0.97</v>
      </c>
      <c r="AS31" s="589">
        <f t="shared" si="12"/>
        <v>1.2558666450882017</v>
      </c>
      <c r="AT31" s="17" t="s">
        <v>42</v>
      </c>
      <c r="AU31" s="20" t="s">
        <v>1854</v>
      </c>
      <c r="AV31" s="21">
        <v>0.91</v>
      </c>
      <c r="AW31" s="25">
        <f t="shared" si="13"/>
        <v>1.1781841721961481</v>
      </c>
      <c r="AX31" s="21" t="s">
        <v>70</v>
      </c>
      <c r="AY31" s="23" t="s">
        <v>1855</v>
      </c>
      <c r="AZ31" s="17">
        <v>1</v>
      </c>
      <c r="BA31" s="339">
        <f t="shared" si="14"/>
        <v>1.2947078815342286</v>
      </c>
      <c r="BB31" s="17" t="s">
        <v>70</v>
      </c>
      <c r="BC31" s="20" t="s">
        <v>1856</v>
      </c>
      <c r="BD31" s="17">
        <v>1.3</v>
      </c>
      <c r="BE31" s="355">
        <f t="shared" si="15"/>
        <v>1.6831202459944972</v>
      </c>
      <c r="BF31" s="17" t="s">
        <v>108</v>
      </c>
      <c r="BG31" s="20" t="s">
        <v>1857</v>
      </c>
      <c r="BH31" s="37">
        <v>1.37</v>
      </c>
      <c r="BI31" s="637">
        <f t="shared" si="16"/>
        <v>1.7737497977018932</v>
      </c>
      <c r="BJ31" s="37" t="s">
        <v>48</v>
      </c>
      <c r="BK31" s="38" t="s">
        <v>1858</v>
      </c>
      <c r="BL31" s="17">
        <v>0.69</v>
      </c>
      <c r="BM31" s="199">
        <f t="shared" si="17"/>
        <v>0.89334843825861765</v>
      </c>
      <c r="BN31" s="17" t="s">
        <v>70</v>
      </c>
      <c r="BO31" s="40"/>
      <c r="BP31" s="17">
        <v>0.71</v>
      </c>
      <c r="BQ31" s="110">
        <f t="shared" si="18"/>
        <v>0.91924259588930224</v>
      </c>
      <c r="BR31" s="17" t="s">
        <v>48</v>
      </c>
      <c r="BS31" s="41"/>
      <c r="BT31" s="37">
        <v>0.62</v>
      </c>
      <c r="BU31" s="268">
        <f t="shared" si="19"/>
        <v>0.8027188865512217</v>
      </c>
      <c r="BV31" s="46" t="s">
        <v>356</v>
      </c>
      <c r="BW31" s="23" t="s">
        <v>1859</v>
      </c>
      <c r="BX31" s="17">
        <v>0.57999999999999996</v>
      </c>
      <c r="BY31" s="242">
        <f t="shared" si="20"/>
        <v>0.75093057128985252</v>
      </c>
      <c r="BZ31" s="17" t="s">
        <v>356</v>
      </c>
      <c r="CA31" s="20" t="s">
        <v>1860</v>
      </c>
      <c r="CB31" s="37">
        <v>0.75</v>
      </c>
      <c r="CC31" s="409">
        <f t="shared" si="21"/>
        <v>0.97103091115067142</v>
      </c>
      <c r="CD31" s="46" t="s">
        <v>108</v>
      </c>
      <c r="CE31" s="23" t="s">
        <v>1861</v>
      </c>
      <c r="CF31" s="17">
        <v>0.39</v>
      </c>
      <c r="CG31" s="68">
        <f t="shared" si="22"/>
        <v>0.50493607379834915</v>
      </c>
      <c r="CH31" s="17" t="s">
        <v>48</v>
      </c>
      <c r="CI31" s="20" t="s">
        <v>1862</v>
      </c>
      <c r="CJ31" s="37">
        <v>0.12</v>
      </c>
      <c r="CK31" s="638">
        <f t="shared" si="23"/>
        <v>0.15536494578410742</v>
      </c>
      <c r="CL31" s="46" t="s">
        <v>42</v>
      </c>
      <c r="CM31" s="23" t="s">
        <v>1863</v>
      </c>
      <c r="CN31" s="17">
        <v>0.78</v>
      </c>
      <c r="CO31" s="618">
        <f t="shared" si="24"/>
        <v>1.0098721475966983</v>
      </c>
      <c r="CP31" s="17" t="s">
        <v>46</v>
      </c>
      <c r="CQ31" s="20" t="s">
        <v>1864</v>
      </c>
      <c r="CR31" s="37">
        <v>0.69</v>
      </c>
      <c r="CS31" s="199">
        <f t="shared" si="25"/>
        <v>0.89334843825861765</v>
      </c>
      <c r="CT31" s="21" t="s">
        <v>70</v>
      </c>
      <c r="CU31" s="23" t="s">
        <v>1865</v>
      </c>
      <c r="CV31" s="17">
        <v>0.69</v>
      </c>
      <c r="CW31" s="199">
        <f t="shared" si="26"/>
        <v>0.89334843825861765</v>
      </c>
      <c r="CX31" s="17" t="s">
        <v>42</v>
      </c>
      <c r="CY31" s="20" t="s">
        <v>1664</v>
      </c>
      <c r="CZ31" s="37">
        <v>0.45</v>
      </c>
      <c r="DA31" s="184">
        <f t="shared" si="27"/>
        <v>0.58261854669040292</v>
      </c>
      <c r="DB31" s="21" t="s">
        <v>70</v>
      </c>
      <c r="DC31" s="23" t="s">
        <v>1866</v>
      </c>
      <c r="DD31" s="17">
        <v>0.49</v>
      </c>
      <c r="DE31" s="382">
        <f t="shared" si="28"/>
        <v>0.63440686195177198</v>
      </c>
      <c r="DF31" s="17" t="s">
        <v>46</v>
      </c>
      <c r="DG31" s="20" t="s">
        <v>1867</v>
      </c>
      <c r="DH31" s="37">
        <v>0.86</v>
      </c>
      <c r="DI31" s="263">
        <f t="shared" si="29"/>
        <v>1.1134487781194367</v>
      </c>
      <c r="DJ31" s="21" t="s">
        <v>42</v>
      </c>
      <c r="DK31" s="28"/>
      <c r="DL31" s="17">
        <v>0.26</v>
      </c>
      <c r="DM31" s="70">
        <f t="shared" si="30"/>
        <v>0.33662404919889943</v>
      </c>
      <c r="DN31" s="17" t="s">
        <v>42</v>
      </c>
      <c r="DO31" s="51" t="s">
        <v>1798</v>
      </c>
      <c r="DP31" s="21">
        <v>0.84</v>
      </c>
      <c r="DQ31" s="414">
        <f t="shared" si="31"/>
        <v>1.0875546204887521</v>
      </c>
      <c r="DR31" s="53" t="s">
        <v>48</v>
      </c>
      <c r="DS31" s="54" t="s">
        <v>1868</v>
      </c>
      <c r="DT31" s="53">
        <v>0.61</v>
      </c>
      <c r="DU31" s="545">
        <f t="shared" si="32"/>
        <v>0.78977180773587941</v>
      </c>
      <c r="DV31" s="56" t="s">
        <v>42</v>
      </c>
      <c r="DW31" s="57" t="s">
        <v>1800</v>
      </c>
      <c r="DX31" s="53">
        <v>0.44</v>
      </c>
      <c r="DY31" s="165">
        <f t="shared" si="33"/>
        <v>0.56967146787506062</v>
      </c>
      <c r="DZ31" s="53" t="s">
        <v>179</v>
      </c>
      <c r="EA31" s="54" t="s">
        <v>1800</v>
      </c>
      <c r="EB31" s="56">
        <v>0.56999999999999995</v>
      </c>
      <c r="EC31" s="425">
        <f t="shared" si="34"/>
        <v>0.73798349247451023</v>
      </c>
      <c r="ED31" s="56" t="s">
        <v>46</v>
      </c>
      <c r="EE31" s="57" t="s">
        <v>1869</v>
      </c>
      <c r="EF31" s="53">
        <v>0.5</v>
      </c>
      <c r="EG31" s="240">
        <f t="shared" si="35"/>
        <v>0.64735394076711428</v>
      </c>
      <c r="EH31" s="53" t="s">
        <v>285</v>
      </c>
      <c r="EI31" s="57" t="s">
        <v>1870</v>
      </c>
      <c r="EJ31" s="53">
        <v>1.07</v>
      </c>
      <c r="EK31" s="252">
        <f t="shared" si="36"/>
        <v>1.3853374332416246</v>
      </c>
      <c r="EL31" s="56" t="s">
        <v>285</v>
      </c>
      <c r="EM31" s="57" t="s">
        <v>1871</v>
      </c>
      <c r="EN31" s="53">
        <v>1.01</v>
      </c>
      <c r="EO31" s="315">
        <f t="shared" si="37"/>
        <v>1.3076549603495708</v>
      </c>
      <c r="EP31" s="53" t="s">
        <v>179</v>
      </c>
      <c r="EQ31" s="23" t="s">
        <v>1872</v>
      </c>
      <c r="ER31" s="53">
        <v>0.68</v>
      </c>
      <c r="ES31" s="510">
        <f t="shared" si="38"/>
        <v>0.88040135944327547</v>
      </c>
      <c r="ET31" s="53" t="s">
        <v>48</v>
      </c>
      <c r="EU31" s="20" t="s">
        <v>1873</v>
      </c>
      <c r="EV31" s="53">
        <v>1.1399999999999999</v>
      </c>
      <c r="EW31" s="607">
        <f t="shared" si="39"/>
        <v>1.4759669849490205</v>
      </c>
      <c r="EX31" s="21" t="s">
        <v>48</v>
      </c>
      <c r="EY31" s="57" t="s">
        <v>1874</v>
      </c>
      <c r="EZ31" s="53">
        <v>0.9</v>
      </c>
      <c r="FA31" s="311">
        <f t="shared" si="40"/>
        <v>1.1652370933808058</v>
      </c>
      <c r="FB31" s="40"/>
      <c r="FC31" s="40"/>
      <c r="FD31" s="53">
        <v>1.1000000000000001</v>
      </c>
      <c r="FE31" s="257">
        <f t="shared" si="41"/>
        <v>1.4241786696876515</v>
      </c>
      <c r="FF31" s="21" t="s">
        <v>42</v>
      </c>
      <c r="FG31" s="64"/>
      <c r="FH31" s="17">
        <v>1.17</v>
      </c>
      <c r="FI31" s="60">
        <f t="shared" si="42"/>
        <v>1.5148082213950473</v>
      </c>
      <c r="FJ31" s="17" t="s">
        <v>70</v>
      </c>
      <c r="FK31" s="51" t="s">
        <v>1875</v>
      </c>
      <c r="FL31" s="17">
        <v>0.78</v>
      </c>
      <c r="FM31" s="618">
        <f t="shared" si="43"/>
        <v>1.0098721475966983</v>
      </c>
      <c r="FN31" s="21" t="s">
        <v>42</v>
      </c>
      <c r="FO31" s="51" t="s">
        <v>1876</v>
      </c>
      <c r="FP31" s="17">
        <v>0.64</v>
      </c>
      <c r="FQ31" s="137">
        <f t="shared" si="44"/>
        <v>0.82861304418190629</v>
      </c>
      <c r="FR31" s="17" t="s">
        <v>42</v>
      </c>
      <c r="FS31" s="51" t="s">
        <v>1877</v>
      </c>
      <c r="FT31" s="17">
        <v>0.9</v>
      </c>
      <c r="FU31" s="311">
        <f t="shared" si="45"/>
        <v>1.1652370933808058</v>
      </c>
      <c r="FV31" s="17" t="s">
        <v>70</v>
      </c>
      <c r="FW31" s="51" t="s">
        <v>1878</v>
      </c>
      <c r="FX31" s="17">
        <v>1.1499999999999999</v>
      </c>
      <c r="FY31" s="169">
        <f t="shared" si="46"/>
        <v>1.4889140637643627</v>
      </c>
      <c r="FZ31" s="17" t="s">
        <v>70</v>
      </c>
      <c r="GA31" s="51" t="s">
        <v>1879</v>
      </c>
      <c r="GB31" s="53">
        <v>0.57999999999999996</v>
      </c>
      <c r="GC31" s="242">
        <f t="shared" si="47"/>
        <v>0.75093057128985252</v>
      </c>
      <c r="GD31" s="21" t="s">
        <v>70</v>
      </c>
      <c r="GE31" s="63"/>
      <c r="GF31" s="17">
        <v>0.7</v>
      </c>
      <c r="GG31" s="492">
        <f t="shared" si="48"/>
        <v>0.90629551707395994</v>
      </c>
      <c r="GH31" s="17" t="s">
        <v>70</v>
      </c>
      <c r="GI31" s="51" t="s">
        <v>1880</v>
      </c>
      <c r="GJ31" s="17">
        <v>1</v>
      </c>
      <c r="GK31" s="339">
        <f t="shared" si="49"/>
        <v>1.2947078815342286</v>
      </c>
      <c r="GL31" s="17" t="s">
        <v>856</v>
      </c>
      <c r="GM31" s="67" t="s">
        <v>1881</v>
      </c>
      <c r="GN31" s="17">
        <v>0.52</v>
      </c>
      <c r="GO31" s="66">
        <f t="shared" si="50"/>
        <v>0.67324809839779887</v>
      </c>
      <c r="GP31" s="17" t="s">
        <v>42</v>
      </c>
      <c r="GQ31" s="51" t="s">
        <v>1882</v>
      </c>
      <c r="GR31" s="17">
        <v>0.77</v>
      </c>
      <c r="GS31" s="231">
        <f t="shared" si="51"/>
        <v>0.99692506878135601</v>
      </c>
      <c r="GT31" s="17" t="s">
        <v>70</v>
      </c>
      <c r="GU31" s="51" t="s">
        <v>1883</v>
      </c>
      <c r="GV31" s="17">
        <v>1.03</v>
      </c>
      <c r="GW31" s="98">
        <f t="shared" si="52"/>
        <v>1.3335491179802554</v>
      </c>
      <c r="GX31" s="17" t="s">
        <v>42</v>
      </c>
      <c r="GY31" s="67" t="s">
        <v>1884</v>
      </c>
      <c r="GZ31" s="17">
        <v>0.52</v>
      </c>
      <c r="HA31" s="66">
        <f t="shared" si="53"/>
        <v>0.67324809839779887</v>
      </c>
      <c r="HB31" s="17" t="s">
        <v>46</v>
      </c>
      <c r="HC31" s="20" t="s">
        <v>1885</v>
      </c>
      <c r="HD31" s="17">
        <v>0.74</v>
      </c>
      <c r="HE31" s="446">
        <f t="shared" si="54"/>
        <v>0.95808383233532912</v>
      </c>
      <c r="HF31" s="17" t="s">
        <v>48</v>
      </c>
      <c r="HG31" s="20" t="s">
        <v>1886</v>
      </c>
      <c r="HH31" s="17">
        <v>0.91</v>
      </c>
      <c r="HI31" s="25">
        <f t="shared" si="55"/>
        <v>1.1781841721961481</v>
      </c>
      <c r="HJ31" s="17" t="s">
        <v>48</v>
      </c>
      <c r="HK31" s="20" t="s">
        <v>1887</v>
      </c>
      <c r="HL31" s="17">
        <v>0.85</v>
      </c>
      <c r="HM31" s="183">
        <f t="shared" si="56"/>
        <v>1.1005016993040944</v>
      </c>
      <c r="HN31" s="17" t="s">
        <v>46</v>
      </c>
      <c r="HO31" s="20" t="s">
        <v>1888</v>
      </c>
      <c r="HP31" s="17">
        <v>0.55000000000000004</v>
      </c>
      <c r="HQ31" s="129">
        <f t="shared" si="57"/>
        <v>0.71208933484382575</v>
      </c>
      <c r="HR31" s="17" t="s">
        <v>42</v>
      </c>
      <c r="HS31" s="73" t="s">
        <v>1889</v>
      </c>
      <c r="HT31" s="17">
        <v>0.99</v>
      </c>
      <c r="HU31" s="280">
        <f t="shared" si="58"/>
        <v>1.2817608027188863</v>
      </c>
      <c r="HV31" s="17" t="s">
        <v>70</v>
      </c>
      <c r="HW31" s="75" t="s">
        <v>1822</v>
      </c>
      <c r="HX31" s="17">
        <v>0.84</v>
      </c>
      <c r="HY31" s="414">
        <f t="shared" si="59"/>
        <v>1.0875546204887521</v>
      </c>
      <c r="HZ31" s="21" t="s">
        <v>70</v>
      </c>
      <c r="IA31" s="75" t="s">
        <v>1890</v>
      </c>
      <c r="IB31" s="17">
        <v>0.7</v>
      </c>
      <c r="IC31" s="492">
        <f t="shared" si="60"/>
        <v>0.90629551707395994</v>
      </c>
      <c r="ID31" s="17" t="s">
        <v>1022</v>
      </c>
      <c r="IE31" s="51" t="s">
        <v>1891</v>
      </c>
      <c r="IF31" s="17">
        <v>0.76</v>
      </c>
      <c r="IG31" s="284">
        <f t="shared" si="61"/>
        <v>0.98397798996601371</v>
      </c>
      <c r="IH31" s="17" t="s">
        <v>42</v>
      </c>
      <c r="II31" s="67" t="s">
        <v>1892</v>
      </c>
      <c r="IJ31" s="17">
        <v>1.04</v>
      </c>
      <c r="IK31" s="36">
        <f t="shared" si="62"/>
        <v>1.3464961967955977</v>
      </c>
      <c r="IL31" s="17" t="s">
        <v>179</v>
      </c>
      <c r="IM31" s="51" t="s">
        <v>1893</v>
      </c>
      <c r="IN31" s="17">
        <v>0.74</v>
      </c>
      <c r="IO31" s="446">
        <f t="shared" si="63"/>
        <v>0.95808383233532912</v>
      </c>
      <c r="IP31" s="17" t="s">
        <v>70</v>
      </c>
      <c r="IQ31" s="51" t="s">
        <v>1827</v>
      </c>
      <c r="IR31" s="17">
        <v>0.82</v>
      </c>
      <c r="IS31" s="570">
        <f t="shared" si="64"/>
        <v>1.0616604628580675</v>
      </c>
      <c r="IT31" s="17" t="s">
        <v>70</v>
      </c>
      <c r="IU31" s="75" t="s">
        <v>1894</v>
      </c>
      <c r="IV31" s="17">
        <v>0.19</v>
      </c>
      <c r="IW31" s="238">
        <f t="shared" si="65"/>
        <v>0.24599449749150343</v>
      </c>
      <c r="IX31" s="17" t="s">
        <v>46</v>
      </c>
      <c r="IY31" s="51" t="s">
        <v>1895</v>
      </c>
      <c r="IZ31" s="17">
        <v>0.81</v>
      </c>
      <c r="JA31" s="153">
        <f t="shared" si="66"/>
        <v>1.0487133840427252</v>
      </c>
      <c r="JB31" s="17" t="s">
        <v>48</v>
      </c>
      <c r="JC31" s="51" t="s">
        <v>1896</v>
      </c>
      <c r="JD31" s="17">
        <v>0.98</v>
      </c>
      <c r="JE31" s="261">
        <f t="shared" si="67"/>
        <v>1.268813723903544</v>
      </c>
      <c r="JF31" s="17" t="s">
        <v>46</v>
      </c>
      <c r="JG31" s="51" t="s">
        <v>1897</v>
      </c>
      <c r="JH31" s="17">
        <v>0.84</v>
      </c>
      <c r="JI31" s="414">
        <f t="shared" si="68"/>
        <v>1.0875546204887521</v>
      </c>
      <c r="JJ31" s="17" t="s">
        <v>48</v>
      </c>
      <c r="JK31" s="51" t="s">
        <v>1898</v>
      </c>
      <c r="JL31" s="21">
        <v>0.4</v>
      </c>
      <c r="JM31" s="208">
        <f t="shared" si="69"/>
        <v>0.51788315261369144</v>
      </c>
      <c r="JN31" s="21" t="s">
        <v>48</v>
      </c>
      <c r="JO31" s="75" t="s">
        <v>1899</v>
      </c>
      <c r="JP31" s="21">
        <v>0.47</v>
      </c>
      <c r="JQ31" s="313">
        <f t="shared" si="70"/>
        <v>0.60851270432108739</v>
      </c>
      <c r="JR31" s="21" t="s">
        <v>66</v>
      </c>
      <c r="JS31" s="51" t="s">
        <v>1900</v>
      </c>
      <c r="JT31" s="21">
        <v>0.51</v>
      </c>
      <c r="JU31" s="639">
        <f t="shared" si="71"/>
        <v>0.66030101958245657</v>
      </c>
      <c r="JV31" s="21" t="s">
        <v>464</v>
      </c>
      <c r="JW31" s="75" t="s">
        <v>1901</v>
      </c>
      <c r="JX31" s="17">
        <v>0.79</v>
      </c>
      <c r="JY31" s="368">
        <f t="shared" si="72"/>
        <v>1.0228192264120406</v>
      </c>
      <c r="JZ31" s="51" t="s">
        <v>42</v>
      </c>
      <c r="KA31" s="51" t="s">
        <v>1902</v>
      </c>
      <c r="KB31" s="21">
        <v>1.38</v>
      </c>
      <c r="KC31" s="429">
        <f t="shared" si="73"/>
        <v>1.7866968765172353</v>
      </c>
      <c r="KD31" s="75" t="s">
        <v>48</v>
      </c>
      <c r="KE31" s="75" t="s">
        <v>1903</v>
      </c>
      <c r="KF31" s="17">
        <v>0.6</v>
      </c>
      <c r="KG31" s="344">
        <f t="shared" si="74"/>
        <v>0.77682472892053711</v>
      </c>
      <c r="KH31" s="51" t="s">
        <v>1022</v>
      </c>
      <c r="KI31" s="51" t="s">
        <v>1904</v>
      </c>
      <c r="KJ31" s="21">
        <v>0.68</v>
      </c>
      <c r="KK31" s="510">
        <f t="shared" si="75"/>
        <v>0.88040135944327547</v>
      </c>
      <c r="KL31" s="75" t="s">
        <v>108</v>
      </c>
      <c r="KM31" s="75" t="s">
        <v>1905</v>
      </c>
      <c r="KN31" s="17">
        <v>0.73</v>
      </c>
      <c r="KO31" s="530">
        <f t="shared" si="76"/>
        <v>0.94513675351998683</v>
      </c>
      <c r="KP31" s="51" t="s">
        <v>46</v>
      </c>
      <c r="KQ31" s="51" t="s">
        <v>1840</v>
      </c>
      <c r="KR31" s="21">
        <v>0.79</v>
      </c>
      <c r="KS31" s="368">
        <f t="shared" si="77"/>
        <v>1.0228192264120406</v>
      </c>
      <c r="KT31" s="75" t="s">
        <v>48</v>
      </c>
      <c r="KU31" s="75" t="s">
        <v>1906</v>
      </c>
      <c r="KV31" s="82">
        <v>0.81</v>
      </c>
      <c r="KW31" s="153">
        <f t="shared" si="78"/>
        <v>1.0487133840427252</v>
      </c>
      <c r="KX31" s="51" t="s">
        <v>464</v>
      </c>
      <c r="KY31" s="51" t="s">
        <v>1907</v>
      </c>
      <c r="KZ31" s="83">
        <v>0.33</v>
      </c>
      <c r="LA31" s="237">
        <f t="shared" si="79"/>
        <v>0.42725360090629544</v>
      </c>
      <c r="LB31" s="75" t="s">
        <v>70</v>
      </c>
      <c r="LC31" s="75" t="s">
        <v>1908</v>
      </c>
      <c r="LD31" s="82">
        <v>0.61</v>
      </c>
      <c r="LE31" s="545">
        <f t="shared" si="80"/>
        <v>0.78977180773587941</v>
      </c>
      <c r="LF31" s="51" t="s">
        <v>48</v>
      </c>
      <c r="LG31" s="51" t="s">
        <v>1909</v>
      </c>
      <c r="LH31" s="83">
        <v>0.37</v>
      </c>
      <c r="LI31" s="84"/>
      <c r="LJ31" s="85"/>
      <c r="LK31" s="85"/>
      <c r="LL31" s="86">
        <f t="shared" si="81"/>
        <v>0.77354430379746852</v>
      </c>
      <c r="LM31" s="86">
        <f t="shared" si="82"/>
        <v>0.87907052855506451</v>
      </c>
      <c r="LN31" s="86">
        <f t="shared" si="90"/>
        <v>1.0625691705722378</v>
      </c>
      <c r="LO31" s="86">
        <f t="shared" si="94"/>
        <v>0.85227390320849472</v>
      </c>
      <c r="LP31" s="86">
        <f t="shared" si="95"/>
        <v>-0.1169152102766905</v>
      </c>
      <c r="LQ31" s="87">
        <f t="shared" si="96"/>
        <v>1</v>
      </c>
      <c r="LR31" s="86">
        <f t="shared" si="97"/>
        <v>0.83348531092033362</v>
      </c>
      <c r="LS31" s="84">
        <v>1</v>
      </c>
      <c r="LT31" s="87">
        <f t="shared" si="100"/>
        <v>0</v>
      </c>
      <c r="LU31" s="87">
        <f t="shared" si="92"/>
        <v>5</v>
      </c>
      <c r="LV31" s="84">
        <f t="shared" si="98"/>
        <v>1</v>
      </c>
      <c r="LW31" s="581" t="s">
        <v>3815</v>
      </c>
      <c r="LX31" s="89" t="str">
        <f t="shared" si="87"/>
        <v>—</v>
      </c>
      <c r="LY31" s="89" t="str">
        <f t="shared" si="88"/>
        <v>Queda moderada — considerar inédito</v>
      </c>
      <c r="LZ31" s="5"/>
      <c r="MA31" s="67" t="str">
        <f t="shared" si="99"/>
        <v>PALMEIRAS</v>
      </c>
      <c r="MB31" s="89" t="s">
        <v>3808</v>
      </c>
    </row>
    <row r="32" spans="1:340" x14ac:dyDescent="0.2">
      <c r="A32" s="16">
        <v>0.77013888888888893</v>
      </c>
      <c r="B32" s="640">
        <f t="shared" si="0"/>
        <v>0.7759967842323654</v>
      </c>
      <c r="C32" s="641">
        <f t="shared" si="1"/>
        <v>-0.12370770882424165</v>
      </c>
      <c r="D32" s="17">
        <v>0.68</v>
      </c>
      <c r="E32" s="145">
        <f t="shared" si="2"/>
        <v>0.87629229117575835</v>
      </c>
      <c r="F32" s="17" t="s">
        <v>48</v>
      </c>
      <c r="G32" s="20" t="s">
        <v>1910</v>
      </c>
      <c r="H32" s="21">
        <v>0.93</v>
      </c>
      <c r="I32" s="386">
        <f t="shared" si="3"/>
        <v>1.1984585746962577</v>
      </c>
      <c r="J32" s="21" t="s">
        <v>48</v>
      </c>
      <c r="K32" s="23" t="s">
        <v>1911</v>
      </c>
      <c r="L32" s="17">
        <v>1.07</v>
      </c>
      <c r="M32" s="152">
        <f t="shared" si="4"/>
        <v>1.3788716934677374</v>
      </c>
      <c r="N32" s="17" t="s">
        <v>356</v>
      </c>
      <c r="O32" s="20" t="s">
        <v>1912</v>
      </c>
      <c r="P32" s="21">
        <v>1</v>
      </c>
      <c r="Q32" s="124">
        <f t="shared" si="5"/>
        <v>1.2886651340819975</v>
      </c>
      <c r="R32" s="21" t="s">
        <v>70</v>
      </c>
      <c r="S32" s="23" t="s">
        <v>1913</v>
      </c>
      <c r="T32" s="17">
        <v>0.73</v>
      </c>
      <c r="U32" s="155">
        <f t="shared" si="6"/>
        <v>0.94072554787985807</v>
      </c>
      <c r="V32" s="17" t="s">
        <v>1849</v>
      </c>
      <c r="W32" s="5"/>
      <c r="X32" s="21">
        <v>0.97</v>
      </c>
      <c r="Y32" s="47">
        <f t="shared" si="7"/>
        <v>1.2500051800595375</v>
      </c>
      <c r="Z32" s="21" t="s">
        <v>42</v>
      </c>
      <c r="AA32" s="28"/>
      <c r="AB32" s="17">
        <v>1.01</v>
      </c>
      <c r="AC32" s="529">
        <f t="shared" si="8"/>
        <v>1.3015517854228174</v>
      </c>
      <c r="AD32" s="17" t="s">
        <v>46</v>
      </c>
      <c r="AE32" s="20" t="s">
        <v>1914</v>
      </c>
      <c r="AF32" s="21">
        <v>0.76</v>
      </c>
      <c r="AG32" s="389">
        <f t="shared" si="9"/>
        <v>0.9793855019023181</v>
      </c>
      <c r="AH32" s="21" t="s">
        <v>46</v>
      </c>
      <c r="AI32" s="23" t="s">
        <v>1915</v>
      </c>
      <c r="AJ32" s="17">
        <v>1.1499999999999999</v>
      </c>
      <c r="AK32" s="642">
        <f t="shared" si="10"/>
        <v>1.4819649041942971</v>
      </c>
      <c r="AL32" s="17" t="s">
        <v>42</v>
      </c>
      <c r="AM32" s="20" t="s">
        <v>1916</v>
      </c>
      <c r="AN32" s="21">
        <v>1.07</v>
      </c>
      <c r="AO32" s="152">
        <f t="shared" si="11"/>
        <v>1.3788716934677374</v>
      </c>
      <c r="AP32" s="21" t="s">
        <v>42</v>
      </c>
      <c r="AQ32" s="23" t="s">
        <v>1917</v>
      </c>
      <c r="AR32" s="17">
        <v>0.96</v>
      </c>
      <c r="AS32" s="621">
        <f t="shared" si="12"/>
        <v>1.2371185287187174</v>
      </c>
      <c r="AT32" s="17" t="s">
        <v>42</v>
      </c>
      <c r="AU32" s="20" t="s">
        <v>1918</v>
      </c>
      <c r="AV32" s="21">
        <v>1.04</v>
      </c>
      <c r="AW32" s="292">
        <f t="shared" si="13"/>
        <v>1.3402117394452775</v>
      </c>
      <c r="AX32" s="21" t="s">
        <v>70</v>
      </c>
      <c r="AY32" s="23" t="s">
        <v>1919</v>
      </c>
      <c r="AZ32" s="17">
        <v>1.07</v>
      </c>
      <c r="BA32" s="152">
        <f t="shared" si="14"/>
        <v>1.3788716934677374</v>
      </c>
      <c r="BB32" s="17" t="s">
        <v>66</v>
      </c>
      <c r="BC32" s="20" t="s">
        <v>1920</v>
      </c>
      <c r="BD32" s="17">
        <v>0.98</v>
      </c>
      <c r="BE32" s="95">
        <f t="shared" si="15"/>
        <v>1.2628918314003574</v>
      </c>
      <c r="BF32" s="17" t="s">
        <v>48</v>
      </c>
      <c r="BG32" s="20" t="s">
        <v>1921</v>
      </c>
      <c r="BH32" s="37">
        <v>1.31</v>
      </c>
      <c r="BI32" s="394">
        <f t="shared" si="16"/>
        <v>1.6881513256474168</v>
      </c>
      <c r="BJ32" s="37" t="s">
        <v>48</v>
      </c>
      <c r="BK32" s="38" t="s">
        <v>1922</v>
      </c>
      <c r="BL32" s="17">
        <v>0.69</v>
      </c>
      <c r="BM32" s="366">
        <f t="shared" si="17"/>
        <v>0.88917894251657814</v>
      </c>
      <c r="BN32" s="17" t="s">
        <v>70</v>
      </c>
      <c r="BO32" s="40"/>
      <c r="BP32" s="17">
        <v>0.71</v>
      </c>
      <c r="BQ32" s="227">
        <f t="shared" si="18"/>
        <v>0.91495224519821816</v>
      </c>
      <c r="BR32" s="17" t="s">
        <v>48</v>
      </c>
      <c r="BS32" s="41"/>
      <c r="BT32" s="37">
        <v>0.69</v>
      </c>
      <c r="BU32" s="366">
        <f t="shared" si="19"/>
        <v>0.88917894251657814</v>
      </c>
      <c r="BV32" s="46" t="s">
        <v>356</v>
      </c>
      <c r="BW32" s="23" t="s">
        <v>1923</v>
      </c>
      <c r="BX32" s="17">
        <v>0.51</v>
      </c>
      <c r="BY32" s="163">
        <f t="shared" si="20"/>
        <v>0.65721921838181874</v>
      </c>
      <c r="BZ32" s="17" t="s">
        <v>356</v>
      </c>
      <c r="CA32" s="20" t="s">
        <v>1924</v>
      </c>
      <c r="CB32" s="37">
        <v>0.71</v>
      </c>
      <c r="CC32" s="227">
        <f t="shared" si="21"/>
        <v>0.91495224519821816</v>
      </c>
      <c r="CD32" s="46" t="s">
        <v>70</v>
      </c>
      <c r="CE32" s="23" t="s">
        <v>1925</v>
      </c>
      <c r="CF32" s="17">
        <v>0.45</v>
      </c>
      <c r="CG32" s="72">
        <f t="shared" si="22"/>
        <v>0.5798993103368989</v>
      </c>
      <c r="CH32" s="17" t="s">
        <v>48</v>
      </c>
      <c r="CI32" s="20" t="s">
        <v>1926</v>
      </c>
      <c r="CJ32" s="37">
        <v>0.12</v>
      </c>
      <c r="CK32" s="638">
        <f t="shared" si="23"/>
        <v>0.15463981608983968</v>
      </c>
      <c r="CL32" s="46" t="s">
        <v>42</v>
      </c>
      <c r="CM32" s="23" t="s">
        <v>1927</v>
      </c>
      <c r="CN32" s="17">
        <v>0.78</v>
      </c>
      <c r="CO32" s="606">
        <f t="shared" si="24"/>
        <v>1.0051588045839581</v>
      </c>
      <c r="CP32" s="17" t="s">
        <v>46</v>
      </c>
      <c r="CQ32" s="20" t="s">
        <v>1928</v>
      </c>
      <c r="CR32" s="37">
        <v>0.64</v>
      </c>
      <c r="CS32" s="629">
        <f t="shared" si="25"/>
        <v>0.82474568581247842</v>
      </c>
      <c r="CT32" s="21" t="s">
        <v>70</v>
      </c>
      <c r="CU32" s="23" t="s">
        <v>1929</v>
      </c>
      <c r="CV32" s="17">
        <v>0.74</v>
      </c>
      <c r="CW32" s="194">
        <f t="shared" si="26"/>
        <v>0.95361219922067808</v>
      </c>
      <c r="CX32" s="17" t="s">
        <v>42</v>
      </c>
      <c r="CY32" s="20" t="s">
        <v>1732</v>
      </c>
      <c r="CZ32" s="37">
        <v>0.45</v>
      </c>
      <c r="DA32" s="72">
        <f t="shared" si="27"/>
        <v>0.5798993103368989</v>
      </c>
      <c r="DB32" s="21" t="s">
        <v>70</v>
      </c>
      <c r="DC32" s="23" t="s">
        <v>1930</v>
      </c>
      <c r="DD32" s="17">
        <v>0.55000000000000004</v>
      </c>
      <c r="DE32" s="353">
        <f t="shared" si="28"/>
        <v>0.70876582374509867</v>
      </c>
      <c r="DF32" s="17" t="s">
        <v>46</v>
      </c>
      <c r="DG32" s="20" t="s">
        <v>1931</v>
      </c>
      <c r="DH32" s="37">
        <v>0.86</v>
      </c>
      <c r="DI32" s="474">
        <f t="shared" si="29"/>
        <v>1.1082520153105178</v>
      </c>
      <c r="DJ32" s="21" t="s">
        <v>42</v>
      </c>
      <c r="DK32" s="28"/>
      <c r="DL32" s="17">
        <v>0.26</v>
      </c>
      <c r="DM32" s="70">
        <f t="shared" si="30"/>
        <v>0.33505293486131937</v>
      </c>
      <c r="DN32" s="17" t="s">
        <v>42</v>
      </c>
      <c r="DO32" s="51" t="s">
        <v>1932</v>
      </c>
      <c r="DP32" s="21">
        <v>0.84</v>
      </c>
      <c r="DQ32" s="27">
        <f t="shared" si="31"/>
        <v>1.0824787126288777</v>
      </c>
      <c r="DR32" s="53" t="s">
        <v>48</v>
      </c>
      <c r="DS32" s="54" t="s">
        <v>1933</v>
      </c>
      <c r="DT32" s="53">
        <v>0.55000000000000004</v>
      </c>
      <c r="DU32" s="353">
        <f t="shared" si="32"/>
        <v>0.70876582374509867</v>
      </c>
      <c r="DV32" s="56" t="s">
        <v>42</v>
      </c>
      <c r="DW32" s="57" t="s">
        <v>1934</v>
      </c>
      <c r="DX32" s="53">
        <v>0.44</v>
      </c>
      <c r="DY32" s="269">
        <f t="shared" si="33"/>
        <v>0.56701265899607889</v>
      </c>
      <c r="DZ32" s="53" t="s">
        <v>179</v>
      </c>
      <c r="EA32" s="54" t="s">
        <v>1934</v>
      </c>
      <c r="EB32" s="56">
        <v>0.56999999999999995</v>
      </c>
      <c r="EC32" s="92">
        <f t="shared" si="34"/>
        <v>0.73453912642673846</v>
      </c>
      <c r="ED32" s="56" t="s">
        <v>46</v>
      </c>
      <c r="EE32" s="57" t="s">
        <v>1935</v>
      </c>
      <c r="EF32" s="53">
        <v>0.56999999999999995</v>
      </c>
      <c r="EG32" s="92">
        <f t="shared" si="35"/>
        <v>0.73453912642673846</v>
      </c>
      <c r="EH32" s="53" t="s">
        <v>1022</v>
      </c>
      <c r="EI32" s="57" t="s">
        <v>1936</v>
      </c>
      <c r="EJ32" s="53">
        <v>1.1399999999999999</v>
      </c>
      <c r="EK32" s="103">
        <f t="shared" si="36"/>
        <v>1.4690782528534769</v>
      </c>
      <c r="EL32" s="56" t="s">
        <v>285</v>
      </c>
      <c r="EM32" s="57" t="s">
        <v>1937</v>
      </c>
      <c r="EN32" s="53">
        <v>0.95</v>
      </c>
      <c r="EO32" s="48">
        <f t="shared" si="37"/>
        <v>1.2242318773778975</v>
      </c>
      <c r="EP32" s="53" t="s">
        <v>179</v>
      </c>
      <c r="EQ32" s="23" t="s">
        <v>1938</v>
      </c>
      <c r="ER32" s="53">
        <v>0.68</v>
      </c>
      <c r="ES32" s="145">
        <f t="shared" si="38"/>
        <v>0.87629229117575835</v>
      </c>
      <c r="ET32" s="53" t="s">
        <v>48</v>
      </c>
      <c r="EU32" s="20" t="s">
        <v>1939</v>
      </c>
      <c r="EV32" s="53">
        <v>1.1399999999999999</v>
      </c>
      <c r="EW32" s="103">
        <f t="shared" si="39"/>
        <v>1.4690782528534769</v>
      </c>
      <c r="EX32" s="21" t="s">
        <v>48</v>
      </c>
      <c r="EY32" s="57" t="s">
        <v>1940</v>
      </c>
      <c r="EZ32" s="53">
        <v>0.9</v>
      </c>
      <c r="FA32" s="139">
        <f t="shared" si="40"/>
        <v>1.1597986206737978</v>
      </c>
      <c r="FB32" s="40"/>
      <c r="FC32" s="40"/>
      <c r="FD32" s="53">
        <f t="shared" ref="FD32:FD33" si="101">(FH32+FL32+FP32+FT32+FX32+GB32+GF32+GJ32+GN32+GR32+GV32+GZ32+HD32+HH32+HL32+HP32+HT32+HX32+IB32+IF32+IJ32+IN32+IR32+IV32+IZ32+JD32+JH32+JL32+JP32+JT32+JX32+KB32+KF32+KJ32+KN32+KR32+KV32+KZ32+LD32+LH32)/40*(AVERAGE(FD29:FD31)/AVERAGE(B29:B31))</f>
        <v>1.1097427385892109</v>
      </c>
      <c r="FE32" s="643">
        <f t="shared" si="41"/>
        <v>1.4300867750205886</v>
      </c>
      <c r="FF32" s="21" t="s">
        <v>42</v>
      </c>
      <c r="FG32" s="64"/>
      <c r="FH32" s="17">
        <v>1.17</v>
      </c>
      <c r="FI32" s="644">
        <f t="shared" si="42"/>
        <v>1.5077382068759368</v>
      </c>
      <c r="FJ32" s="17" t="s">
        <v>70</v>
      </c>
      <c r="FK32" s="51" t="s">
        <v>1941</v>
      </c>
      <c r="FL32" s="17">
        <v>0.7</v>
      </c>
      <c r="FM32" s="300">
        <f t="shared" si="43"/>
        <v>0.90206559385739815</v>
      </c>
      <c r="FN32" s="21" t="s">
        <v>42</v>
      </c>
      <c r="FO32" s="51" t="s">
        <v>1942</v>
      </c>
      <c r="FP32" s="17">
        <v>0.56999999999999995</v>
      </c>
      <c r="FQ32" s="92">
        <f t="shared" si="44"/>
        <v>0.73453912642673846</v>
      </c>
      <c r="FR32" s="17" t="s">
        <v>42</v>
      </c>
      <c r="FS32" s="51" t="s">
        <v>1943</v>
      </c>
      <c r="FT32" s="17">
        <v>0.9</v>
      </c>
      <c r="FU32" s="139">
        <f t="shared" si="45"/>
        <v>1.1597986206737978</v>
      </c>
      <c r="FV32" s="17" t="s">
        <v>70</v>
      </c>
      <c r="FW32" s="51" t="s">
        <v>1944</v>
      </c>
      <c r="FX32" s="17">
        <v>1.1499999999999999</v>
      </c>
      <c r="FY32" s="642">
        <f t="shared" si="46"/>
        <v>1.4819649041942971</v>
      </c>
      <c r="FZ32" s="17" t="s">
        <v>70</v>
      </c>
      <c r="GA32" s="51" t="s">
        <v>1879</v>
      </c>
      <c r="GB32" s="53">
        <v>0.57999999999999996</v>
      </c>
      <c r="GC32" s="541">
        <f t="shared" si="47"/>
        <v>0.74742577776755847</v>
      </c>
      <c r="GD32" s="21" t="s">
        <v>70</v>
      </c>
      <c r="GE32" s="63"/>
      <c r="GF32" s="17">
        <v>0.77</v>
      </c>
      <c r="GG32" s="251">
        <f t="shared" si="48"/>
        <v>0.99227215324313811</v>
      </c>
      <c r="GH32" s="17" t="s">
        <v>70</v>
      </c>
      <c r="GI32" s="51" t="s">
        <v>1945</v>
      </c>
      <c r="GJ32" s="17">
        <v>1.06</v>
      </c>
      <c r="GK32" s="645">
        <f t="shared" si="49"/>
        <v>1.3659850421269173</v>
      </c>
      <c r="GL32" s="17" t="s">
        <v>70</v>
      </c>
      <c r="GM32" s="67" t="s">
        <v>1946</v>
      </c>
      <c r="GN32" s="17">
        <v>0.52</v>
      </c>
      <c r="GO32" s="411">
        <f t="shared" si="50"/>
        <v>0.67010586972263875</v>
      </c>
      <c r="GP32" s="17" t="s">
        <v>179</v>
      </c>
      <c r="GQ32" s="51" t="s">
        <v>1947</v>
      </c>
      <c r="GR32" s="17">
        <v>0.77</v>
      </c>
      <c r="GS32" s="251">
        <f t="shared" si="51"/>
        <v>0.99227215324313811</v>
      </c>
      <c r="GT32" s="17" t="s">
        <v>70</v>
      </c>
      <c r="GU32" s="51" t="s">
        <v>1948</v>
      </c>
      <c r="GV32" s="17">
        <v>1.1000000000000001</v>
      </c>
      <c r="GW32" s="52">
        <f t="shared" si="52"/>
        <v>1.4175316474901973</v>
      </c>
      <c r="GX32" s="17" t="s">
        <v>42</v>
      </c>
      <c r="GY32" s="67" t="s">
        <v>1949</v>
      </c>
      <c r="GZ32" s="17">
        <v>0.52</v>
      </c>
      <c r="HA32" s="411">
        <f t="shared" si="53"/>
        <v>0.67010586972263875</v>
      </c>
      <c r="HB32" s="17" t="s">
        <v>46</v>
      </c>
      <c r="HC32" s="20" t="s">
        <v>1885</v>
      </c>
      <c r="HD32" s="17">
        <v>0.68</v>
      </c>
      <c r="HE32" s="145">
        <f t="shared" si="54"/>
        <v>0.87629229117575835</v>
      </c>
      <c r="HF32" s="17" t="s">
        <v>48</v>
      </c>
      <c r="HG32" s="20" t="s">
        <v>1886</v>
      </c>
      <c r="HH32" s="17">
        <v>0.91</v>
      </c>
      <c r="HI32" s="560">
        <f t="shared" si="55"/>
        <v>1.1726852720146177</v>
      </c>
      <c r="HJ32" s="17" t="s">
        <v>48</v>
      </c>
      <c r="HK32" s="20" t="s">
        <v>1950</v>
      </c>
      <c r="HL32" s="17">
        <v>0.85</v>
      </c>
      <c r="HM32" s="646">
        <f t="shared" si="56"/>
        <v>1.0953653639696979</v>
      </c>
      <c r="HN32" s="17" t="s">
        <v>46</v>
      </c>
      <c r="HO32" s="20" t="s">
        <v>1888</v>
      </c>
      <c r="HP32" s="17">
        <v>0.67</v>
      </c>
      <c r="HQ32" s="461">
        <f t="shared" si="57"/>
        <v>0.86340563983493834</v>
      </c>
      <c r="HR32" s="17" t="s">
        <v>42</v>
      </c>
      <c r="HS32" s="73" t="s">
        <v>1951</v>
      </c>
      <c r="HT32" s="17">
        <v>1.06</v>
      </c>
      <c r="HU32" s="645">
        <f t="shared" si="58"/>
        <v>1.3659850421269173</v>
      </c>
      <c r="HV32" s="17" t="s">
        <v>70</v>
      </c>
      <c r="HW32" s="75" t="s">
        <v>1952</v>
      </c>
      <c r="HX32" s="17">
        <v>0.84</v>
      </c>
      <c r="HY32" s="27">
        <f t="shared" si="59"/>
        <v>1.0824787126288777</v>
      </c>
      <c r="HZ32" s="21" t="s">
        <v>70</v>
      </c>
      <c r="IA32" s="75" t="s">
        <v>1953</v>
      </c>
      <c r="IB32" s="17">
        <v>0.7</v>
      </c>
      <c r="IC32" s="300">
        <f t="shared" si="60"/>
        <v>0.90206559385739815</v>
      </c>
      <c r="ID32" s="17" t="s">
        <v>66</v>
      </c>
      <c r="IE32" s="51" t="s">
        <v>1954</v>
      </c>
      <c r="IF32" s="17">
        <v>0.62</v>
      </c>
      <c r="IG32" s="491">
        <f t="shared" si="61"/>
        <v>0.7989723831308384</v>
      </c>
      <c r="IH32" s="17" t="s">
        <v>42</v>
      </c>
      <c r="II32" s="67" t="s">
        <v>1955</v>
      </c>
      <c r="IJ32" s="17">
        <v>1.04</v>
      </c>
      <c r="IK32" s="292">
        <f t="shared" si="62"/>
        <v>1.3402117394452775</v>
      </c>
      <c r="IL32" s="17" t="s">
        <v>179</v>
      </c>
      <c r="IM32" s="51" t="s">
        <v>1956</v>
      </c>
      <c r="IN32" s="17">
        <v>0.74</v>
      </c>
      <c r="IO32" s="194">
        <f t="shared" si="63"/>
        <v>0.95361219922067808</v>
      </c>
      <c r="IP32" s="17" t="s">
        <v>70</v>
      </c>
      <c r="IQ32" s="51" t="s">
        <v>1957</v>
      </c>
      <c r="IR32" s="17">
        <v>0.88</v>
      </c>
      <c r="IS32" s="338">
        <f t="shared" si="64"/>
        <v>1.1340253179921578</v>
      </c>
      <c r="IT32" s="17" t="s">
        <v>70</v>
      </c>
      <c r="IU32" s="75" t="s">
        <v>1894</v>
      </c>
      <c r="IV32" s="17">
        <v>0.31</v>
      </c>
      <c r="IW32" s="526">
        <f t="shared" si="65"/>
        <v>0.3994861915654192</v>
      </c>
      <c r="IX32" s="17" t="s">
        <v>46</v>
      </c>
      <c r="IY32" s="51" t="s">
        <v>1958</v>
      </c>
      <c r="IZ32" s="17">
        <v>0.81</v>
      </c>
      <c r="JA32" s="647">
        <f t="shared" si="66"/>
        <v>1.043818758606418</v>
      </c>
      <c r="JB32" s="17" t="s">
        <v>48</v>
      </c>
      <c r="JC32" s="51" t="s">
        <v>1959</v>
      </c>
      <c r="JD32" s="17">
        <v>1.05</v>
      </c>
      <c r="JE32" s="648">
        <f t="shared" si="67"/>
        <v>1.3530983907860974</v>
      </c>
      <c r="JF32" s="17" t="s">
        <v>46</v>
      </c>
      <c r="JG32" s="51" t="s">
        <v>1960</v>
      </c>
      <c r="JH32" s="17">
        <v>0.78</v>
      </c>
      <c r="JI32" s="606">
        <f t="shared" si="68"/>
        <v>1.0051588045839581</v>
      </c>
      <c r="JJ32" s="17" t="s">
        <v>48</v>
      </c>
      <c r="JK32" s="51" t="s">
        <v>1961</v>
      </c>
      <c r="JL32" s="21">
        <v>0.34</v>
      </c>
      <c r="JM32" s="99">
        <f t="shared" si="69"/>
        <v>0.43814614558787918</v>
      </c>
      <c r="JN32" s="21" t="s">
        <v>108</v>
      </c>
      <c r="JO32" s="75" t="s">
        <v>1962</v>
      </c>
      <c r="JP32" s="21">
        <v>0.47</v>
      </c>
      <c r="JQ32" s="247">
        <f t="shared" si="70"/>
        <v>0.60567261301853881</v>
      </c>
      <c r="JR32" s="21" t="s">
        <v>66</v>
      </c>
      <c r="JS32" s="51" t="s">
        <v>1963</v>
      </c>
      <c r="JT32" s="21">
        <v>0.51</v>
      </c>
      <c r="JU32" s="163">
        <f t="shared" si="71"/>
        <v>0.65721921838181874</v>
      </c>
      <c r="JV32" s="21" t="s">
        <v>464</v>
      </c>
      <c r="JW32" s="75" t="s">
        <v>1964</v>
      </c>
      <c r="JX32" s="17">
        <v>0.79</v>
      </c>
      <c r="JY32" s="401">
        <f t="shared" si="72"/>
        <v>1.018045455924778</v>
      </c>
      <c r="JZ32" s="51" t="s">
        <v>42</v>
      </c>
      <c r="KA32" s="51" t="s">
        <v>1965</v>
      </c>
      <c r="KB32" s="21">
        <v>1.32</v>
      </c>
      <c r="KC32" s="93">
        <f t="shared" si="73"/>
        <v>1.7010379769882367</v>
      </c>
      <c r="KD32" s="75" t="s">
        <v>48</v>
      </c>
      <c r="KE32" s="75" t="s">
        <v>1966</v>
      </c>
      <c r="KF32" s="17">
        <v>0.66</v>
      </c>
      <c r="KG32" s="288">
        <f t="shared" si="74"/>
        <v>0.85051898849411833</v>
      </c>
      <c r="KH32" s="51" t="s">
        <v>1022</v>
      </c>
      <c r="KI32" s="51" t="s">
        <v>1967</v>
      </c>
      <c r="KJ32" s="21">
        <v>0.74</v>
      </c>
      <c r="KK32" s="194">
        <f t="shared" si="75"/>
        <v>0.95361219922067808</v>
      </c>
      <c r="KL32" s="75" t="s">
        <v>42</v>
      </c>
      <c r="KM32" s="75" t="s">
        <v>1968</v>
      </c>
      <c r="KN32" s="17">
        <v>0.73</v>
      </c>
      <c r="KO32" s="155">
        <f t="shared" si="76"/>
        <v>0.94072554787985807</v>
      </c>
      <c r="KP32" s="51" t="s">
        <v>46</v>
      </c>
      <c r="KQ32" s="51" t="s">
        <v>1969</v>
      </c>
      <c r="KR32" s="21">
        <v>0.87</v>
      </c>
      <c r="KS32" s="475">
        <f t="shared" si="77"/>
        <v>1.1211386666513379</v>
      </c>
      <c r="KT32" s="75" t="s">
        <v>48</v>
      </c>
      <c r="KU32" s="75" t="s">
        <v>1970</v>
      </c>
      <c r="KV32" s="82">
        <v>0.94</v>
      </c>
      <c r="KW32" s="503">
        <f t="shared" si="78"/>
        <v>1.2113452260370776</v>
      </c>
      <c r="KX32" s="51" t="s">
        <v>70</v>
      </c>
      <c r="KY32" s="51" t="s">
        <v>1971</v>
      </c>
      <c r="KZ32" s="83">
        <v>0.25</v>
      </c>
      <c r="LA32" s="126">
        <f t="shared" si="79"/>
        <v>0.32216628352049936</v>
      </c>
      <c r="LB32" s="75" t="s">
        <v>70</v>
      </c>
      <c r="LC32" s="75" t="s">
        <v>1972</v>
      </c>
      <c r="LD32" s="82">
        <v>0.56000000000000005</v>
      </c>
      <c r="LE32" s="149">
        <f t="shared" si="80"/>
        <v>0.72165247508591868</v>
      </c>
      <c r="LF32" s="51" t="s">
        <v>48</v>
      </c>
      <c r="LG32" s="51" t="s">
        <v>1973</v>
      </c>
      <c r="LH32" s="83">
        <v>0.37</v>
      </c>
      <c r="LI32" s="84"/>
      <c r="LJ32" s="85"/>
      <c r="LK32" s="85"/>
      <c r="LL32" s="86">
        <f t="shared" si="81"/>
        <v>0.77721193339986372</v>
      </c>
      <c r="LM32" s="86">
        <f t="shared" si="82"/>
        <v>0.87492223263400459</v>
      </c>
      <c r="LN32" s="86">
        <f t="shared" si="90"/>
        <v>1.0562416311923353</v>
      </c>
      <c r="LO32" s="86">
        <f t="shared" si="94"/>
        <v>0.85481490201854893</v>
      </c>
      <c r="LP32" s="86">
        <f t="shared" si="95"/>
        <v>3.8500767099770461E-2</v>
      </c>
      <c r="LQ32" s="87">
        <f t="shared" si="96"/>
        <v>1</v>
      </c>
      <c r="LR32" s="86">
        <f t="shared" si="97"/>
        <v>0.86472888536265491</v>
      </c>
      <c r="LS32" s="84">
        <v>1</v>
      </c>
      <c r="LT32" s="87">
        <f t="shared" si="100"/>
        <v>0</v>
      </c>
      <c r="LU32" s="87">
        <f t="shared" si="92"/>
        <v>6</v>
      </c>
      <c r="LV32" s="84">
        <f t="shared" si="98"/>
        <v>1</v>
      </c>
      <c r="LW32" s="88" t="s">
        <v>3807</v>
      </c>
      <c r="LX32" s="89" t="str">
        <f t="shared" si="87"/>
        <v>—</v>
      </c>
      <c r="LY32" s="88" t="str">
        <f t="shared" si="88"/>
        <v>Queda severa — trocar p/ inédito</v>
      </c>
      <c r="LZ32" s="5"/>
      <c r="MA32" s="67" t="str">
        <f t="shared" si="99"/>
        <v>PALMEIRAS</v>
      </c>
      <c r="MB32" s="89" t="s">
        <v>3808</v>
      </c>
    </row>
    <row r="33" spans="1:340" x14ac:dyDescent="0.2">
      <c r="A33" s="16">
        <v>0.77083333333333337</v>
      </c>
      <c r="B33" s="649">
        <f t="shared" si="0"/>
        <v>0.78620519299821257</v>
      </c>
      <c r="C33" s="650">
        <f t="shared" si="1"/>
        <v>-0.135085845201806</v>
      </c>
      <c r="D33" s="17">
        <v>0.68</v>
      </c>
      <c r="E33" s="461">
        <f t="shared" si="2"/>
        <v>0.864914154798194</v>
      </c>
      <c r="F33" s="17" t="s">
        <v>48</v>
      </c>
      <c r="G33" s="20" t="s">
        <v>1974</v>
      </c>
      <c r="H33" s="21">
        <v>0.87</v>
      </c>
      <c r="I33" s="474">
        <f t="shared" si="3"/>
        <v>1.1065813451094542</v>
      </c>
      <c r="J33" s="21" t="s">
        <v>48</v>
      </c>
      <c r="K33" s="23" t="s">
        <v>1975</v>
      </c>
      <c r="L33" s="17">
        <v>1.1299999999999999</v>
      </c>
      <c r="M33" s="651">
        <f t="shared" si="4"/>
        <v>1.4372838160617045</v>
      </c>
      <c r="N33" s="17" t="s">
        <v>356</v>
      </c>
      <c r="O33" s="20" t="s">
        <v>1976</v>
      </c>
      <c r="P33" s="21">
        <v>1</v>
      </c>
      <c r="Q33" s="77">
        <f t="shared" si="5"/>
        <v>1.2719325805855795</v>
      </c>
      <c r="R33" s="21" t="s">
        <v>70</v>
      </c>
      <c r="S33" s="23" t="s">
        <v>1977</v>
      </c>
      <c r="T33" s="17">
        <v>0.73</v>
      </c>
      <c r="U33" s="652">
        <f t="shared" si="6"/>
        <v>0.92851078382747299</v>
      </c>
      <c r="V33" s="17" t="s">
        <v>179</v>
      </c>
      <c r="W33" s="5"/>
      <c r="X33" s="21">
        <v>1.03</v>
      </c>
      <c r="Y33" s="116">
        <f t="shared" si="7"/>
        <v>1.3100905580031468</v>
      </c>
      <c r="Z33" s="21" t="s">
        <v>42</v>
      </c>
      <c r="AA33" s="28"/>
      <c r="AB33" s="17">
        <v>1.07</v>
      </c>
      <c r="AC33" s="427">
        <f t="shared" si="8"/>
        <v>1.3609678612265701</v>
      </c>
      <c r="AD33" s="17" t="s">
        <v>46</v>
      </c>
      <c r="AE33" s="20" t="s">
        <v>1978</v>
      </c>
      <c r="AF33" s="21">
        <v>0.76</v>
      </c>
      <c r="AG33" s="433">
        <f t="shared" si="9"/>
        <v>0.96666876124504031</v>
      </c>
      <c r="AH33" s="21" t="s">
        <v>46</v>
      </c>
      <c r="AI33" s="23" t="s">
        <v>1979</v>
      </c>
      <c r="AJ33" s="17">
        <v>1.1499999999999999</v>
      </c>
      <c r="AK33" s="246">
        <f t="shared" si="10"/>
        <v>1.4627224676734163</v>
      </c>
      <c r="AL33" s="17" t="s">
        <v>42</v>
      </c>
      <c r="AM33" s="20" t="s">
        <v>1980</v>
      </c>
      <c r="AN33" s="21">
        <v>1.2</v>
      </c>
      <c r="AO33" s="653">
        <f t="shared" si="11"/>
        <v>1.5263190967026952</v>
      </c>
      <c r="AP33" s="21" t="s">
        <v>48</v>
      </c>
      <c r="AQ33" s="23" t="s">
        <v>1981</v>
      </c>
      <c r="AR33" s="17">
        <v>0.96</v>
      </c>
      <c r="AS33" s="107">
        <f t="shared" si="12"/>
        <v>1.2210552773621561</v>
      </c>
      <c r="AT33" s="17" t="s">
        <v>42</v>
      </c>
      <c r="AU33" s="20" t="s">
        <v>1982</v>
      </c>
      <c r="AV33" s="21">
        <v>1.04</v>
      </c>
      <c r="AW33" s="654">
        <f t="shared" si="13"/>
        <v>1.3228098838090026</v>
      </c>
      <c r="AX33" s="21" t="s">
        <v>70</v>
      </c>
      <c r="AY33" s="23" t="s">
        <v>1983</v>
      </c>
      <c r="AZ33" s="17">
        <v>1.07</v>
      </c>
      <c r="BA33" s="427">
        <f t="shared" si="14"/>
        <v>1.3609678612265701</v>
      </c>
      <c r="BB33" s="17" t="s">
        <v>48</v>
      </c>
      <c r="BC33" s="20" t="s">
        <v>1984</v>
      </c>
      <c r="BD33" s="17">
        <v>0.98</v>
      </c>
      <c r="BE33" s="375">
        <f t="shared" si="15"/>
        <v>1.2464939289738677</v>
      </c>
      <c r="BF33" s="17" t="s">
        <v>46</v>
      </c>
      <c r="BG33" s="20" t="s">
        <v>1985</v>
      </c>
      <c r="BH33" s="37">
        <v>1.31</v>
      </c>
      <c r="BI33" s="228">
        <f t="shared" si="16"/>
        <v>1.6662316805671091</v>
      </c>
      <c r="BJ33" s="37" t="s">
        <v>48</v>
      </c>
      <c r="BK33" s="38" t="s">
        <v>1986</v>
      </c>
      <c r="BL33" s="17">
        <v>0.63</v>
      </c>
      <c r="BM33" s="268">
        <f t="shared" si="17"/>
        <v>0.80131752576891502</v>
      </c>
      <c r="BN33" s="17" t="s">
        <v>46</v>
      </c>
      <c r="BO33" s="40"/>
      <c r="BP33" s="17">
        <v>0.71</v>
      </c>
      <c r="BQ33" s="300">
        <f t="shared" si="18"/>
        <v>0.90307213221576133</v>
      </c>
      <c r="BR33" s="17" t="s">
        <v>48</v>
      </c>
      <c r="BS33" s="41"/>
      <c r="BT33" s="37">
        <v>0.69</v>
      </c>
      <c r="BU33" s="145">
        <f t="shared" si="19"/>
        <v>0.87763348060404966</v>
      </c>
      <c r="BV33" s="46" t="s">
        <v>42</v>
      </c>
      <c r="BW33" s="23" t="s">
        <v>1987</v>
      </c>
      <c r="BX33" s="17">
        <v>0.51</v>
      </c>
      <c r="BY33" s="240">
        <f t="shared" si="20"/>
        <v>0.6486856160986455</v>
      </c>
      <c r="BZ33" s="17" t="s">
        <v>356</v>
      </c>
      <c r="CA33" s="20" t="s">
        <v>1988</v>
      </c>
      <c r="CB33" s="37">
        <v>0.71</v>
      </c>
      <c r="CC33" s="300">
        <f t="shared" si="21"/>
        <v>0.90307213221576133</v>
      </c>
      <c r="CD33" s="46" t="s">
        <v>70</v>
      </c>
      <c r="CE33" s="23" t="s">
        <v>1989</v>
      </c>
      <c r="CF33" s="17">
        <v>0.45</v>
      </c>
      <c r="CG33" s="165">
        <f t="shared" si="22"/>
        <v>0.57236966126351074</v>
      </c>
      <c r="CH33" s="17" t="s">
        <v>48</v>
      </c>
      <c r="CI33" s="20" t="s">
        <v>1990</v>
      </c>
      <c r="CJ33" s="37">
        <v>0.12</v>
      </c>
      <c r="CK33" s="655">
        <f t="shared" si="23"/>
        <v>0.15263190967026952</v>
      </c>
      <c r="CL33" s="46" t="s">
        <v>42</v>
      </c>
      <c r="CM33" s="23" t="s">
        <v>1991</v>
      </c>
      <c r="CN33" s="17">
        <v>0.84</v>
      </c>
      <c r="CO33" s="404">
        <f t="shared" si="24"/>
        <v>1.0684233676918866</v>
      </c>
      <c r="CP33" s="17" t="s">
        <v>46</v>
      </c>
      <c r="CQ33" s="20" t="s">
        <v>1992</v>
      </c>
      <c r="CR33" s="37">
        <v>0.64</v>
      </c>
      <c r="CS33" s="223">
        <f t="shared" si="25"/>
        <v>0.81403685157477079</v>
      </c>
      <c r="CT33" s="21" t="s">
        <v>70</v>
      </c>
      <c r="CU33" s="23" t="s">
        <v>1993</v>
      </c>
      <c r="CV33" s="17">
        <v>0.74</v>
      </c>
      <c r="CW33" s="121">
        <f t="shared" si="26"/>
        <v>0.94123010963332876</v>
      </c>
      <c r="CX33" s="17" t="s">
        <v>42</v>
      </c>
      <c r="CY33" s="20" t="s">
        <v>1795</v>
      </c>
      <c r="CZ33" s="37">
        <v>0.59</v>
      </c>
      <c r="DA33" s="242">
        <f t="shared" si="27"/>
        <v>0.75044022254549181</v>
      </c>
      <c r="DB33" s="21" t="s">
        <v>1994</v>
      </c>
      <c r="DC33" s="23" t="s">
        <v>1995</v>
      </c>
      <c r="DD33" s="17">
        <v>0.75</v>
      </c>
      <c r="DE33" s="194">
        <f t="shared" si="28"/>
        <v>0.95394943543918453</v>
      </c>
      <c r="DF33" s="17" t="s">
        <v>46</v>
      </c>
      <c r="DG33" s="20" t="s">
        <v>1996</v>
      </c>
      <c r="DH33" s="37">
        <v>0.79</v>
      </c>
      <c r="DI33" s="564">
        <f t="shared" si="29"/>
        <v>1.0048267386626077</v>
      </c>
      <c r="DJ33" s="21" t="s">
        <v>42</v>
      </c>
      <c r="DK33" s="28"/>
      <c r="DL33" s="17">
        <v>0.26</v>
      </c>
      <c r="DM33" s="656">
        <f t="shared" si="30"/>
        <v>0.33070247095225064</v>
      </c>
      <c r="DN33" s="17" t="s">
        <v>42</v>
      </c>
      <c r="DO33" s="51" t="s">
        <v>1997</v>
      </c>
      <c r="DP33" s="21">
        <v>0.91</v>
      </c>
      <c r="DQ33" s="230">
        <f t="shared" si="31"/>
        <v>1.1574586483328773</v>
      </c>
      <c r="DR33" s="53" t="s">
        <v>48</v>
      </c>
      <c r="DS33" s="54" t="s">
        <v>1998</v>
      </c>
      <c r="DT33" s="53">
        <v>0.55000000000000004</v>
      </c>
      <c r="DU33" s="154">
        <f t="shared" si="32"/>
        <v>0.69956291932206871</v>
      </c>
      <c r="DV33" s="56" t="s">
        <v>48</v>
      </c>
      <c r="DW33" s="57" t="s">
        <v>1999</v>
      </c>
      <c r="DX33" s="53">
        <v>0.5</v>
      </c>
      <c r="DY33" s="349">
        <f t="shared" si="33"/>
        <v>0.63596629029278973</v>
      </c>
      <c r="DZ33" s="53" t="s">
        <v>48</v>
      </c>
      <c r="EA33" s="54" t="s">
        <v>1999</v>
      </c>
      <c r="EB33" s="56">
        <v>0.56999999999999995</v>
      </c>
      <c r="EC33" s="149">
        <f t="shared" si="34"/>
        <v>0.72500157093378015</v>
      </c>
      <c r="ED33" s="56" t="s">
        <v>46</v>
      </c>
      <c r="EE33" s="57" t="s">
        <v>2000</v>
      </c>
      <c r="EF33" s="53">
        <v>0.44</v>
      </c>
      <c r="EG33" s="187">
        <f t="shared" si="35"/>
        <v>0.55965033545765497</v>
      </c>
      <c r="EH33" s="53" t="s">
        <v>48</v>
      </c>
      <c r="EI33" s="57" t="s">
        <v>2001</v>
      </c>
      <c r="EJ33" s="53">
        <v>1.1399999999999999</v>
      </c>
      <c r="EK33" s="118">
        <f t="shared" si="36"/>
        <v>1.4500031418675603</v>
      </c>
      <c r="EL33" s="56" t="s">
        <v>285</v>
      </c>
      <c r="EM33" s="57" t="s">
        <v>2002</v>
      </c>
      <c r="EN33" s="53">
        <v>1.1399999999999999</v>
      </c>
      <c r="EO33" s="118">
        <f t="shared" si="37"/>
        <v>1.4500031418675603</v>
      </c>
      <c r="EP33" s="53" t="s">
        <v>179</v>
      </c>
      <c r="EQ33" s="23" t="s">
        <v>2003</v>
      </c>
      <c r="ER33" s="53">
        <v>0.68</v>
      </c>
      <c r="ES33" s="461">
        <f t="shared" si="38"/>
        <v>0.864914154798194</v>
      </c>
      <c r="ET33" s="53" t="s">
        <v>110</v>
      </c>
      <c r="EU33" s="20" t="s">
        <v>2004</v>
      </c>
      <c r="EV33" s="53">
        <v>1.08</v>
      </c>
      <c r="EW33" s="496">
        <f t="shared" si="39"/>
        <v>1.3736871870324259</v>
      </c>
      <c r="EX33" s="21" t="s">
        <v>48</v>
      </c>
      <c r="EY33" s="57" t="s">
        <v>2005</v>
      </c>
      <c r="EZ33" s="53">
        <v>0.98</v>
      </c>
      <c r="FA33" s="375">
        <f t="shared" si="40"/>
        <v>1.2464939289738677</v>
      </c>
      <c r="FB33" s="40"/>
      <c r="FC33" s="40"/>
      <c r="FD33" s="53">
        <f t="shared" si="101"/>
        <v>1.1164154398569723</v>
      </c>
      <c r="FE33" s="52">
        <f t="shared" si="41"/>
        <v>1.4200051714228634</v>
      </c>
      <c r="FF33" s="21" t="s">
        <v>42</v>
      </c>
      <c r="FG33" s="64"/>
      <c r="FH33" s="17">
        <v>1.1100000000000001</v>
      </c>
      <c r="FI33" s="578">
        <f t="shared" si="42"/>
        <v>1.4118451644499932</v>
      </c>
      <c r="FJ33" s="17" t="s">
        <v>70</v>
      </c>
      <c r="FK33" s="51" t="s">
        <v>2006</v>
      </c>
      <c r="FL33" s="17">
        <v>0.7</v>
      </c>
      <c r="FM33" s="199">
        <f t="shared" si="43"/>
        <v>0.89035280640990555</v>
      </c>
      <c r="FN33" s="21" t="s">
        <v>42</v>
      </c>
      <c r="FO33" s="51" t="s">
        <v>1942</v>
      </c>
      <c r="FP33" s="17">
        <v>0.56999999999999995</v>
      </c>
      <c r="FQ33" s="149">
        <f t="shared" si="44"/>
        <v>0.72500157093378015</v>
      </c>
      <c r="FR33" s="17" t="s">
        <v>285</v>
      </c>
      <c r="FS33" s="51" t="s">
        <v>2007</v>
      </c>
      <c r="FT33" s="17">
        <v>0.85</v>
      </c>
      <c r="FU33" s="27">
        <f t="shared" si="45"/>
        <v>1.0811426934977424</v>
      </c>
      <c r="FV33" s="17" t="s">
        <v>70</v>
      </c>
      <c r="FW33" s="51" t="s">
        <v>2008</v>
      </c>
      <c r="FX33" s="17">
        <v>1.1499999999999999</v>
      </c>
      <c r="FY33" s="246">
        <f t="shared" si="46"/>
        <v>1.4627224676734163</v>
      </c>
      <c r="FZ33" s="17" t="s">
        <v>70</v>
      </c>
      <c r="GA33" s="51" t="s">
        <v>2009</v>
      </c>
      <c r="GB33" s="53">
        <v>0.51</v>
      </c>
      <c r="GC33" s="240">
        <f t="shared" si="47"/>
        <v>0.6486856160986455</v>
      </c>
      <c r="GD33" s="21" t="s">
        <v>70</v>
      </c>
      <c r="GE33" s="63"/>
      <c r="GF33" s="17">
        <v>0.85</v>
      </c>
      <c r="GG33" s="27">
        <f t="shared" si="48"/>
        <v>1.0811426934977424</v>
      </c>
      <c r="GH33" s="17" t="s">
        <v>70</v>
      </c>
      <c r="GI33" s="51" t="s">
        <v>2010</v>
      </c>
      <c r="GJ33" s="17">
        <v>1.06</v>
      </c>
      <c r="GK33" s="392">
        <f t="shared" si="49"/>
        <v>1.3482485354207143</v>
      </c>
      <c r="GL33" s="17" t="s">
        <v>70</v>
      </c>
      <c r="GM33" s="67" t="s">
        <v>2011</v>
      </c>
      <c r="GN33" s="17">
        <v>0.52</v>
      </c>
      <c r="GO33" s="639">
        <f t="shared" si="50"/>
        <v>0.66140494190450128</v>
      </c>
      <c r="GP33" s="17" t="s">
        <v>179</v>
      </c>
      <c r="GQ33" s="51" t="s">
        <v>2012</v>
      </c>
      <c r="GR33" s="17">
        <v>0.84</v>
      </c>
      <c r="GS33" s="404">
        <f t="shared" si="51"/>
        <v>1.0684233676918866</v>
      </c>
      <c r="GT33" s="17" t="s">
        <v>70</v>
      </c>
      <c r="GU33" s="51" t="s">
        <v>2013</v>
      </c>
      <c r="GV33" s="17">
        <v>1.03</v>
      </c>
      <c r="GW33" s="116">
        <f t="shared" si="52"/>
        <v>1.3100905580031468</v>
      </c>
      <c r="GX33" s="17" t="s">
        <v>42</v>
      </c>
      <c r="GY33" s="67" t="s">
        <v>2014</v>
      </c>
      <c r="GZ33" s="17">
        <v>0.52</v>
      </c>
      <c r="HA33" s="639">
        <f t="shared" si="53"/>
        <v>0.66140494190450128</v>
      </c>
      <c r="HB33" s="17" t="s">
        <v>48</v>
      </c>
      <c r="HC33" s="20" t="s">
        <v>2015</v>
      </c>
      <c r="HD33" s="17">
        <v>0.75</v>
      </c>
      <c r="HE33" s="194">
        <f t="shared" si="54"/>
        <v>0.95394943543918453</v>
      </c>
      <c r="HF33" s="17" t="s">
        <v>48</v>
      </c>
      <c r="HG33" s="20" t="s">
        <v>2016</v>
      </c>
      <c r="HH33" s="17">
        <v>0.85</v>
      </c>
      <c r="HI33" s="27">
        <f t="shared" si="55"/>
        <v>1.0811426934977424</v>
      </c>
      <c r="HJ33" s="17" t="s">
        <v>48</v>
      </c>
      <c r="HK33" s="20" t="s">
        <v>2017</v>
      </c>
      <c r="HL33" s="17">
        <v>0.85</v>
      </c>
      <c r="HM33" s="27">
        <f t="shared" si="56"/>
        <v>1.0811426934977424</v>
      </c>
      <c r="HN33" s="17" t="s">
        <v>48</v>
      </c>
      <c r="HO33" s="20" t="s">
        <v>2018</v>
      </c>
      <c r="HP33" s="17">
        <v>0.72</v>
      </c>
      <c r="HQ33" s="227">
        <f t="shared" si="57"/>
        <v>0.9157914580216171</v>
      </c>
      <c r="HR33" s="17" t="s">
        <v>42</v>
      </c>
      <c r="HS33" s="73" t="s">
        <v>2019</v>
      </c>
      <c r="HT33" s="17">
        <v>1.19</v>
      </c>
      <c r="HU33" s="60">
        <f t="shared" si="58"/>
        <v>1.5135997708968394</v>
      </c>
      <c r="HV33" s="17" t="s">
        <v>70</v>
      </c>
      <c r="HW33" s="75" t="s">
        <v>2020</v>
      </c>
      <c r="HX33" s="17">
        <v>0.77</v>
      </c>
      <c r="HY33" s="389">
        <f t="shared" si="59"/>
        <v>0.97938808705089619</v>
      </c>
      <c r="HZ33" s="21" t="s">
        <v>70</v>
      </c>
      <c r="IA33" s="75" t="s">
        <v>2021</v>
      </c>
      <c r="IB33" s="17">
        <v>0.7</v>
      </c>
      <c r="IC33" s="199">
        <f t="shared" si="60"/>
        <v>0.89035280640990555</v>
      </c>
      <c r="ID33" s="17" t="s">
        <v>70</v>
      </c>
      <c r="IE33" s="51" t="s">
        <v>2022</v>
      </c>
      <c r="IF33" s="17">
        <v>0.69</v>
      </c>
      <c r="IG33" s="145">
        <f t="shared" si="61"/>
        <v>0.87763348060404966</v>
      </c>
      <c r="IH33" s="17" t="s">
        <v>42</v>
      </c>
      <c r="II33" s="67" t="s">
        <v>2023</v>
      </c>
      <c r="IJ33" s="17">
        <v>1.04</v>
      </c>
      <c r="IK33" s="654">
        <f t="shared" si="62"/>
        <v>1.3228098838090026</v>
      </c>
      <c r="IL33" s="17" t="s">
        <v>42</v>
      </c>
      <c r="IM33" s="51" t="s">
        <v>2024</v>
      </c>
      <c r="IN33" s="164">
        <v>0.74</v>
      </c>
      <c r="IO33" s="121">
        <f t="shared" si="63"/>
        <v>0.94123010963332876</v>
      </c>
      <c r="IP33" s="17" t="s">
        <v>46</v>
      </c>
      <c r="IQ33" s="51" t="s">
        <v>2025</v>
      </c>
      <c r="IR33" s="17">
        <v>0.95</v>
      </c>
      <c r="IS33" s="625">
        <f t="shared" si="64"/>
        <v>1.2083359515563004</v>
      </c>
      <c r="IT33" s="17" t="s">
        <v>42</v>
      </c>
      <c r="IU33" s="75" t="s">
        <v>2026</v>
      </c>
      <c r="IV33" s="17">
        <v>0.31</v>
      </c>
      <c r="IW33" s="161">
        <f t="shared" si="65"/>
        <v>0.39429909998152962</v>
      </c>
      <c r="IX33" s="17" t="s">
        <v>46</v>
      </c>
      <c r="IY33" s="51" t="s">
        <v>2027</v>
      </c>
      <c r="IZ33" s="17">
        <v>0.93</v>
      </c>
      <c r="JA33" s="326">
        <f t="shared" si="66"/>
        <v>1.1828972999445888</v>
      </c>
      <c r="JB33" s="17" t="s">
        <v>48</v>
      </c>
      <c r="JC33" s="51" t="s">
        <v>2028</v>
      </c>
      <c r="JD33" s="17">
        <v>0.83</v>
      </c>
      <c r="JE33" s="71">
        <f t="shared" si="67"/>
        <v>1.0557040418860308</v>
      </c>
      <c r="JF33" s="17" t="s">
        <v>46</v>
      </c>
      <c r="JG33" s="51" t="s">
        <v>2029</v>
      </c>
      <c r="JH33" s="17">
        <v>0.78</v>
      </c>
      <c r="JI33" s="122">
        <f t="shared" si="68"/>
        <v>0.99210741285675197</v>
      </c>
      <c r="JJ33" s="17" t="s">
        <v>110</v>
      </c>
      <c r="JK33" s="51" t="s">
        <v>2030</v>
      </c>
      <c r="JL33" s="21">
        <v>0.34</v>
      </c>
      <c r="JM33" s="299">
        <f t="shared" si="69"/>
        <v>0.432457077399097</v>
      </c>
      <c r="JN33" s="21" t="s">
        <v>42</v>
      </c>
      <c r="JO33" s="75" t="s">
        <v>2031</v>
      </c>
      <c r="JP33" s="21">
        <v>0.53</v>
      </c>
      <c r="JQ33" s="66">
        <f t="shared" si="70"/>
        <v>0.67412426771035716</v>
      </c>
      <c r="JR33" s="21" t="s">
        <v>108</v>
      </c>
      <c r="JS33" s="40"/>
      <c r="JT33" s="21">
        <v>0.51</v>
      </c>
      <c r="JU33" s="240">
        <f t="shared" si="71"/>
        <v>0.6486856160986455</v>
      </c>
      <c r="JV33" s="21" t="s">
        <v>464</v>
      </c>
      <c r="JW33" s="75" t="s">
        <v>2032</v>
      </c>
      <c r="JX33" s="17">
        <v>0.79</v>
      </c>
      <c r="JY33" s="564">
        <f t="shared" si="72"/>
        <v>1.0048267386626077</v>
      </c>
      <c r="JZ33" s="51" t="s">
        <v>48</v>
      </c>
      <c r="KA33" s="51" t="s">
        <v>2033</v>
      </c>
      <c r="KB33" s="21">
        <v>1.19</v>
      </c>
      <c r="KC33" s="60">
        <f t="shared" si="73"/>
        <v>1.5135997708968394</v>
      </c>
      <c r="KD33" s="75" t="s">
        <v>48</v>
      </c>
      <c r="KE33" s="75" t="s">
        <v>2034</v>
      </c>
      <c r="KF33" s="17">
        <v>0.6</v>
      </c>
      <c r="KG33" s="356">
        <f t="shared" si="74"/>
        <v>0.76315954835134758</v>
      </c>
      <c r="KH33" s="51" t="s">
        <v>1022</v>
      </c>
      <c r="KI33" s="51" t="s">
        <v>2035</v>
      </c>
      <c r="KJ33" s="21">
        <v>0.68</v>
      </c>
      <c r="KK33" s="461">
        <f t="shared" si="75"/>
        <v>0.864914154798194</v>
      </c>
      <c r="KL33" s="75" t="s">
        <v>42</v>
      </c>
      <c r="KM33" s="75" t="s">
        <v>2036</v>
      </c>
      <c r="KN33" s="17">
        <v>0.86</v>
      </c>
      <c r="KO33" s="270">
        <f t="shared" si="76"/>
        <v>1.0938620193035982</v>
      </c>
      <c r="KP33" s="51" t="s">
        <v>46</v>
      </c>
      <c r="KQ33" s="51" t="s">
        <v>2037</v>
      </c>
      <c r="KR33" s="21">
        <v>0.87</v>
      </c>
      <c r="KS33" s="474">
        <f t="shared" si="77"/>
        <v>1.1065813451094542</v>
      </c>
      <c r="KT33" s="75" t="s">
        <v>48</v>
      </c>
      <c r="KU33" s="75" t="s">
        <v>2038</v>
      </c>
      <c r="KV33" s="82">
        <v>1.01</v>
      </c>
      <c r="KW33" s="587">
        <f t="shared" si="78"/>
        <v>1.2846519063914352</v>
      </c>
      <c r="KX33" s="51" t="s">
        <v>414</v>
      </c>
      <c r="KY33" s="51" t="s">
        <v>2039</v>
      </c>
      <c r="KZ33" s="83">
        <v>0.25</v>
      </c>
      <c r="LA33" s="452">
        <f t="shared" si="79"/>
        <v>0.31798314514639486</v>
      </c>
      <c r="LB33" s="75" t="s">
        <v>70</v>
      </c>
      <c r="LC33" s="75" t="s">
        <v>2040</v>
      </c>
      <c r="LD33" s="82">
        <v>0.62</v>
      </c>
      <c r="LE33" s="545">
        <f t="shared" si="80"/>
        <v>0.78859819996305924</v>
      </c>
      <c r="LF33" s="51" t="s">
        <v>108</v>
      </c>
      <c r="LG33" s="51" t="s">
        <v>2041</v>
      </c>
      <c r="LH33" s="83">
        <v>0.32</v>
      </c>
      <c r="LI33" s="84"/>
      <c r="LJ33" s="85"/>
      <c r="LK33" s="85"/>
      <c r="LL33" s="86">
        <f t="shared" si="81"/>
        <v>0.78754956252983543</v>
      </c>
      <c r="LM33" s="86">
        <f t="shared" si="82"/>
        <v>0.86343772170432642</v>
      </c>
      <c r="LN33" s="86">
        <f t="shared" si="90"/>
        <v>1.050197651240391</v>
      </c>
      <c r="LO33" s="86">
        <f t="shared" si="94"/>
        <v>0.86595939851682702</v>
      </c>
      <c r="LP33" s="86">
        <f t="shared" si="95"/>
        <v>5.1036614467478314E-2</v>
      </c>
      <c r="LQ33" s="87">
        <f t="shared" si="96"/>
        <v>1</v>
      </c>
      <c r="LR33" s="86">
        <f t="shared" si="97"/>
        <v>0.87330376849286928</v>
      </c>
      <c r="LS33" s="84">
        <v>1</v>
      </c>
      <c r="LT33" s="87">
        <f t="shared" si="100"/>
        <v>0</v>
      </c>
      <c r="LU33" s="87">
        <f t="shared" si="92"/>
        <v>7</v>
      </c>
      <c r="LV33" s="84">
        <f t="shared" si="98"/>
        <v>1</v>
      </c>
      <c r="LW33" s="88" t="s">
        <v>3807</v>
      </c>
      <c r="LX33" s="89" t="str">
        <f t="shared" si="87"/>
        <v>—</v>
      </c>
      <c r="LY33" s="89" t="str">
        <f t="shared" ref="LY33:LY62" si="102">IF(LW33="🔴 TROCAR","Queda severa — voltar ao que deu certo",IF(LW33="🟡 ATENÇÃO","Queda moderada — repetir melhor 1aM",IF(LW33="🟡 ESGOTANDO","Tema esgotando — voltar melhor 1aM","")))</f>
        <v>Queda severa — voltar ao que deu certo</v>
      </c>
      <c r="LZ33" s="5"/>
      <c r="MA33" s="67" t="str">
        <f t="shared" si="99"/>
        <v>PALMEIRAS</v>
      </c>
      <c r="MB33" s="89" t="s">
        <v>3808</v>
      </c>
    </row>
    <row r="34" spans="1:340" x14ac:dyDescent="0.2">
      <c r="A34" s="16">
        <v>0.77152777777777781</v>
      </c>
      <c r="B34" s="657">
        <f t="shared" si="0"/>
        <v>0.79837500000000039</v>
      </c>
      <c r="C34" s="610">
        <f t="shared" si="1"/>
        <v>-6.059182714889666E-2</v>
      </c>
      <c r="D34" s="17">
        <v>0.75</v>
      </c>
      <c r="E34" s="155">
        <f t="shared" si="2"/>
        <v>0.93940817285110334</v>
      </c>
      <c r="F34" s="17" t="s">
        <v>48</v>
      </c>
      <c r="G34" s="20" t="s">
        <v>1974</v>
      </c>
      <c r="H34" s="21">
        <v>0.87</v>
      </c>
      <c r="I34" s="568">
        <f t="shared" si="3"/>
        <v>1.0897134805072799</v>
      </c>
      <c r="J34" s="21" t="s">
        <v>48</v>
      </c>
      <c r="K34" s="23" t="s">
        <v>1975</v>
      </c>
      <c r="L34" s="17">
        <v>1.1299999999999999</v>
      </c>
      <c r="M34" s="281">
        <f t="shared" si="4"/>
        <v>1.4153749804289957</v>
      </c>
      <c r="N34" s="17" t="s">
        <v>356</v>
      </c>
      <c r="O34" s="20" t="s">
        <v>1976</v>
      </c>
      <c r="P34" s="21">
        <v>0.92</v>
      </c>
      <c r="Q34" s="44">
        <f t="shared" si="5"/>
        <v>1.1523406920306869</v>
      </c>
      <c r="R34" s="21" t="s">
        <v>70</v>
      </c>
      <c r="S34" s="23" t="s">
        <v>2042</v>
      </c>
      <c r="T34" s="17">
        <v>0.73</v>
      </c>
      <c r="U34" s="227">
        <f t="shared" si="6"/>
        <v>0.91435728824174056</v>
      </c>
      <c r="V34" s="17" t="s">
        <v>179</v>
      </c>
      <c r="W34" s="5"/>
      <c r="X34" s="21">
        <v>1.1000000000000001</v>
      </c>
      <c r="Y34" s="152">
        <f t="shared" si="7"/>
        <v>1.3777986535149518</v>
      </c>
      <c r="Z34" s="21" t="s">
        <v>42</v>
      </c>
      <c r="AA34" s="28"/>
      <c r="AB34" s="17">
        <v>1.07</v>
      </c>
      <c r="AC34" s="292">
        <f t="shared" si="8"/>
        <v>1.3402223266009075</v>
      </c>
      <c r="AD34" s="17" t="s">
        <v>108</v>
      </c>
      <c r="AE34" s="20" t="s">
        <v>2043</v>
      </c>
      <c r="AF34" s="21">
        <v>0.83</v>
      </c>
      <c r="AG34" s="206">
        <f t="shared" si="9"/>
        <v>1.0396117112885543</v>
      </c>
      <c r="AH34" s="21" t="s">
        <v>46</v>
      </c>
      <c r="AI34" s="23" t="s">
        <v>2044</v>
      </c>
      <c r="AJ34" s="17">
        <v>1.02</v>
      </c>
      <c r="AK34" s="420">
        <f t="shared" si="10"/>
        <v>1.2775951150775007</v>
      </c>
      <c r="AL34" s="17" t="s">
        <v>42</v>
      </c>
      <c r="AM34" s="20" t="s">
        <v>2045</v>
      </c>
      <c r="AN34" s="21">
        <v>1.26</v>
      </c>
      <c r="AO34" s="546">
        <f t="shared" si="11"/>
        <v>1.5782057303898536</v>
      </c>
      <c r="AP34" s="21" t="s">
        <v>42</v>
      </c>
      <c r="AQ34" s="23" t="s">
        <v>2046</v>
      </c>
      <c r="AR34" s="17">
        <v>0.96</v>
      </c>
      <c r="AS34" s="81">
        <f t="shared" si="12"/>
        <v>1.2024424612494122</v>
      </c>
      <c r="AT34" s="17" t="s">
        <v>42</v>
      </c>
      <c r="AU34" s="20" t="s">
        <v>2047</v>
      </c>
      <c r="AV34" s="21">
        <v>1.04</v>
      </c>
      <c r="AW34" s="529">
        <f t="shared" si="13"/>
        <v>1.3026459996868633</v>
      </c>
      <c r="AX34" s="21" t="s">
        <v>70</v>
      </c>
      <c r="AY34" s="23" t="s">
        <v>2048</v>
      </c>
      <c r="AZ34" s="17">
        <v>1.07</v>
      </c>
      <c r="BA34" s="292">
        <f t="shared" si="14"/>
        <v>1.3402223266009075</v>
      </c>
      <c r="BB34" s="17" t="s">
        <v>48</v>
      </c>
      <c r="BC34" s="20" t="s">
        <v>2049</v>
      </c>
      <c r="BD34" s="17">
        <v>1.05</v>
      </c>
      <c r="BE34" s="369">
        <f t="shared" si="15"/>
        <v>1.3151714419915448</v>
      </c>
      <c r="BF34" s="17" t="s">
        <v>46</v>
      </c>
      <c r="BG34" s="20" t="s">
        <v>2050</v>
      </c>
      <c r="BH34" s="37">
        <v>1.31</v>
      </c>
      <c r="BI34" s="287">
        <f t="shared" si="16"/>
        <v>1.6408329419132606</v>
      </c>
      <c r="BJ34" s="37" t="s">
        <v>48</v>
      </c>
      <c r="BK34" s="38" t="s">
        <v>2051</v>
      </c>
      <c r="BL34" s="17">
        <v>0.81</v>
      </c>
      <c r="BM34" s="658">
        <f t="shared" si="17"/>
        <v>1.0145608266791917</v>
      </c>
      <c r="BN34" s="17" t="s">
        <v>46</v>
      </c>
      <c r="BO34" s="40"/>
      <c r="BP34" s="17">
        <v>0.71</v>
      </c>
      <c r="BQ34" s="366">
        <f t="shared" si="18"/>
        <v>0.88930640363237778</v>
      </c>
      <c r="BR34" s="17" t="s">
        <v>66</v>
      </c>
      <c r="BS34" s="41"/>
      <c r="BT34" s="37">
        <v>0.69</v>
      </c>
      <c r="BU34" s="461">
        <f t="shared" si="19"/>
        <v>0.86425551902301501</v>
      </c>
      <c r="BV34" s="46" t="s">
        <v>42</v>
      </c>
      <c r="BW34" s="23" t="s">
        <v>1987</v>
      </c>
      <c r="BX34" s="17">
        <v>0.51</v>
      </c>
      <c r="BY34" s="349">
        <f t="shared" si="20"/>
        <v>0.63879755753875034</v>
      </c>
      <c r="BZ34" s="17" t="s">
        <v>356</v>
      </c>
      <c r="CA34" s="20" t="s">
        <v>2052</v>
      </c>
      <c r="CB34" s="37">
        <v>0.71</v>
      </c>
      <c r="CC34" s="366">
        <f t="shared" si="21"/>
        <v>0.88930640363237778</v>
      </c>
      <c r="CD34" s="46" t="s">
        <v>42</v>
      </c>
      <c r="CE34" s="23" t="s">
        <v>2053</v>
      </c>
      <c r="CF34" s="17">
        <v>0.52</v>
      </c>
      <c r="CG34" s="515">
        <f t="shared" si="22"/>
        <v>0.65132299984343167</v>
      </c>
      <c r="CH34" s="17" t="s">
        <v>48</v>
      </c>
      <c r="CI34" s="20" t="s">
        <v>2054</v>
      </c>
      <c r="CJ34" s="37">
        <v>0.12</v>
      </c>
      <c r="CK34" s="655">
        <f t="shared" si="23"/>
        <v>0.15030530765617653</v>
      </c>
      <c r="CL34" s="46" t="s">
        <v>70</v>
      </c>
      <c r="CM34" s="23" t="s">
        <v>2055</v>
      </c>
      <c r="CN34" s="17">
        <v>0.89</v>
      </c>
      <c r="CO34" s="263">
        <f t="shared" si="24"/>
        <v>1.1147643651166426</v>
      </c>
      <c r="CP34" s="17" t="s">
        <v>46</v>
      </c>
      <c r="CQ34" s="20" t="s">
        <v>2056</v>
      </c>
      <c r="CR34" s="37">
        <v>0.56999999999999995</v>
      </c>
      <c r="CS34" s="291">
        <f t="shared" si="25"/>
        <v>0.71395021136683845</v>
      </c>
      <c r="CT34" s="21" t="s">
        <v>70</v>
      </c>
      <c r="CU34" s="23" t="s">
        <v>2057</v>
      </c>
      <c r="CV34" s="17">
        <v>0.75</v>
      </c>
      <c r="CW34" s="155">
        <f t="shared" si="26"/>
        <v>0.93940817285110334</v>
      </c>
      <c r="CX34" s="17" t="s">
        <v>42</v>
      </c>
      <c r="CY34" s="20" t="s">
        <v>2058</v>
      </c>
      <c r="CZ34" s="37">
        <v>0.72</v>
      </c>
      <c r="DA34" s="478">
        <f t="shared" si="27"/>
        <v>0.90183184593705923</v>
      </c>
      <c r="DB34" s="21" t="s">
        <v>1994</v>
      </c>
      <c r="DC34" s="23" t="s">
        <v>2059</v>
      </c>
      <c r="DD34" s="17">
        <v>0.81</v>
      </c>
      <c r="DE34" s="658">
        <f t="shared" si="28"/>
        <v>1.0145608266791917</v>
      </c>
      <c r="DF34" s="17" t="s">
        <v>42</v>
      </c>
      <c r="DG34" s="20" t="s">
        <v>2060</v>
      </c>
      <c r="DH34" s="37">
        <v>0.79</v>
      </c>
      <c r="DI34" s="122">
        <f t="shared" si="29"/>
        <v>0.9895099420698289</v>
      </c>
      <c r="DJ34" s="21" t="s">
        <v>108</v>
      </c>
      <c r="DK34" s="28"/>
      <c r="DL34" s="17">
        <v>0.2</v>
      </c>
      <c r="DM34" s="185">
        <f t="shared" si="30"/>
        <v>0.25050884609362756</v>
      </c>
      <c r="DN34" s="17" t="s">
        <v>108</v>
      </c>
      <c r="DO34" s="51" t="s">
        <v>2061</v>
      </c>
      <c r="DP34" s="21">
        <v>1.03</v>
      </c>
      <c r="DQ34" s="124">
        <f t="shared" si="31"/>
        <v>1.2901205573821819</v>
      </c>
      <c r="DR34" s="53" t="s">
        <v>48</v>
      </c>
      <c r="DS34" s="54" t="s">
        <v>2062</v>
      </c>
      <c r="DT34" s="53">
        <v>0.48</v>
      </c>
      <c r="DU34" s="39">
        <f t="shared" si="32"/>
        <v>0.60122123062470612</v>
      </c>
      <c r="DV34" s="56" t="s">
        <v>48</v>
      </c>
      <c r="DW34" s="57" t="s">
        <v>2063</v>
      </c>
      <c r="DX34" s="53">
        <v>0.5</v>
      </c>
      <c r="DY34" s="26">
        <f t="shared" si="33"/>
        <v>0.62627211523406889</v>
      </c>
      <c r="DZ34" s="53" t="s">
        <v>48</v>
      </c>
      <c r="EA34" s="54" t="s">
        <v>2063</v>
      </c>
      <c r="EB34" s="56">
        <v>0.56999999999999995</v>
      </c>
      <c r="EC34" s="291">
        <f t="shared" si="34"/>
        <v>0.71395021136683845</v>
      </c>
      <c r="ED34" s="56" t="s">
        <v>42</v>
      </c>
      <c r="EE34" s="57" t="s">
        <v>2064</v>
      </c>
      <c r="EF34" s="53">
        <v>0.44</v>
      </c>
      <c r="EG34" s="348">
        <f t="shared" si="35"/>
        <v>0.55111946140598067</v>
      </c>
      <c r="EH34" s="53" t="s">
        <v>48</v>
      </c>
      <c r="EI34" s="57" t="s">
        <v>2065</v>
      </c>
      <c r="EJ34" s="53">
        <v>1.1299999999999999</v>
      </c>
      <c r="EK34" s="281">
        <f t="shared" si="36"/>
        <v>1.4153749804289957</v>
      </c>
      <c r="EL34" s="56" t="s">
        <v>285</v>
      </c>
      <c r="EM34" s="57" t="s">
        <v>2066</v>
      </c>
      <c r="EN34" s="53">
        <v>1.1399999999999999</v>
      </c>
      <c r="EO34" s="659">
        <f t="shared" si="37"/>
        <v>1.4279004227336769</v>
      </c>
      <c r="EP34" s="53" t="s">
        <v>179</v>
      </c>
      <c r="EQ34" s="23" t="s">
        <v>2067</v>
      </c>
      <c r="ER34" s="53">
        <v>0.61</v>
      </c>
      <c r="ES34" s="356">
        <f t="shared" si="38"/>
        <v>0.76405198058556401</v>
      </c>
      <c r="ET34" s="53" t="s">
        <v>46</v>
      </c>
      <c r="EU34" s="20" t="s">
        <v>2068</v>
      </c>
      <c r="EV34" s="53">
        <v>1.01</v>
      </c>
      <c r="EW34" s="95">
        <f t="shared" si="39"/>
        <v>1.2650696727728192</v>
      </c>
      <c r="EX34" s="21" t="s">
        <v>48</v>
      </c>
      <c r="EY34" s="57" t="s">
        <v>2069</v>
      </c>
      <c r="EZ34" s="53">
        <v>0.98</v>
      </c>
      <c r="FA34" s="434">
        <f t="shared" si="40"/>
        <v>1.2274933458587751</v>
      </c>
      <c r="FB34" s="40"/>
      <c r="FC34" s="40"/>
      <c r="FD34" s="53">
        <v>1.23</v>
      </c>
      <c r="FE34" s="134">
        <f t="shared" si="41"/>
        <v>1.5406294034758095</v>
      </c>
      <c r="FF34" s="21" t="s">
        <v>42</v>
      </c>
      <c r="FG34" s="64"/>
      <c r="FH34" s="17">
        <v>1.1100000000000001</v>
      </c>
      <c r="FI34" s="604">
        <f t="shared" si="42"/>
        <v>1.390324095819633</v>
      </c>
      <c r="FJ34" s="17" t="s">
        <v>179</v>
      </c>
      <c r="FK34" s="51" t="s">
        <v>2070</v>
      </c>
      <c r="FL34" s="17">
        <v>0.7</v>
      </c>
      <c r="FM34" s="145">
        <f t="shared" si="43"/>
        <v>0.87678096132769645</v>
      </c>
      <c r="FN34" s="21" t="s">
        <v>42</v>
      </c>
      <c r="FO34" s="51" t="s">
        <v>2071</v>
      </c>
      <c r="FP34" s="17">
        <v>0.56999999999999995</v>
      </c>
      <c r="FQ34" s="291">
        <f t="shared" si="44"/>
        <v>0.71395021136683845</v>
      </c>
      <c r="FR34" s="17" t="s">
        <v>285</v>
      </c>
      <c r="FS34" s="51" t="s">
        <v>2072</v>
      </c>
      <c r="FT34" s="17">
        <v>0.99</v>
      </c>
      <c r="FU34" s="243">
        <f t="shared" si="45"/>
        <v>1.2400187881634563</v>
      </c>
      <c r="FV34" s="17" t="s">
        <v>66</v>
      </c>
      <c r="FW34" s="40"/>
      <c r="FX34" s="17">
        <v>1.21</v>
      </c>
      <c r="FY34" s="60">
        <f t="shared" si="46"/>
        <v>1.5155785188664468</v>
      </c>
      <c r="FZ34" s="17" t="s">
        <v>48</v>
      </c>
      <c r="GA34" s="51" t="s">
        <v>2073</v>
      </c>
      <c r="GB34" s="53">
        <v>0.59</v>
      </c>
      <c r="GC34" s="425">
        <f t="shared" si="47"/>
        <v>0.73900109597620123</v>
      </c>
      <c r="GD34" s="21" t="s">
        <v>46</v>
      </c>
      <c r="GE34" s="63"/>
      <c r="GF34" s="17">
        <v>0.85</v>
      </c>
      <c r="GG34" s="334">
        <f t="shared" si="48"/>
        <v>1.064662595897917</v>
      </c>
      <c r="GH34" s="17" t="s">
        <v>70</v>
      </c>
      <c r="GI34" s="51" t="s">
        <v>2010</v>
      </c>
      <c r="GJ34" s="17">
        <v>1.1399999999999999</v>
      </c>
      <c r="GK34" s="659">
        <f t="shared" si="49"/>
        <v>1.4279004227336769</v>
      </c>
      <c r="GL34" s="17" t="s">
        <v>70</v>
      </c>
      <c r="GM34" s="67" t="s">
        <v>2074</v>
      </c>
      <c r="GN34" s="17">
        <v>0.45</v>
      </c>
      <c r="GO34" s="376">
        <f t="shared" si="50"/>
        <v>0.563644903710662</v>
      </c>
      <c r="GP34" s="17" t="s">
        <v>70</v>
      </c>
      <c r="GQ34" s="51" t="s">
        <v>2075</v>
      </c>
      <c r="GR34" s="17">
        <v>0.92</v>
      </c>
      <c r="GS34" s="44">
        <f t="shared" si="51"/>
        <v>1.1523406920306869</v>
      </c>
      <c r="GT34" s="17" t="s">
        <v>70</v>
      </c>
      <c r="GU34" s="51" t="s">
        <v>2076</v>
      </c>
      <c r="GV34" s="17">
        <v>0.95</v>
      </c>
      <c r="GW34" s="660">
        <f t="shared" si="52"/>
        <v>1.1899170189447308</v>
      </c>
      <c r="GX34" s="17" t="s">
        <v>42</v>
      </c>
      <c r="GY34" s="67" t="s">
        <v>2077</v>
      </c>
      <c r="GZ34" s="17">
        <v>0.52</v>
      </c>
      <c r="HA34" s="515">
        <f t="shared" si="53"/>
        <v>0.65132299984343167</v>
      </c>
      <c r="HB34" s="17" t="s">
        <v>48</v>
      </c>
      <c r="HC34" s="20" t="s">
        <v>2078</v>
      </c>
      <c r="HD34" s="17">
        <v>0.75</v>
      </c>
      <c r="HE34" s="155">
        <f t="shared" si="54"/>
        <v>0.93940817285110334</v>
      </c>
      <c r="HF34" s="17" t="s">
        <v>48</v>
      </c>
      <c r="HG34" s="20" t="s">
        <v>2079</v>
      </c>
      <c r="HH34" s="17">
        <v>0.92</v>
      </c>
      <c r="HI34" s="44">
        <f t="shared" si="55"/>
        <v>1.1523406920306869</v>
      </c>
      <c r="HJ34" s="17" t="s">
        <v>179</v>
      </c>
      <c r="HK34" s="20" t="s">
        <v>2080</v>
      </c>
      <c r="HL34" s="17">
        <v>0.85</v>
      </c>
      <c r="HM34" s="334">
        <f t="shared" si="56"/>
        <v>1.064662595897917</v>
      </c>
      <c r="HN34" s="17" t="s">
        <v>48</v>
      </c>
      <c r="HO34" s="20" t="s">
        <v>2081</v>
      </c>
      <c r="HP34" s="17">
        <v>0.67</v>
      </c>
      <c r="HQ34" s="415">
        <f t="shared" si="57"/>
        <v>0.83920463441365234</v>
      </c>
      <c r="HR34" s="17" t="s">
        <v>42</v>
      </c>
      <c r="HS34" s="73" t="s">
        <v>2082</v>
      </c>
      <c r="HT34" s="17">
        <v>1.25</v>
      </c>
      <c r="HU34" s="224">
        <f t="shared" si="58"/>
        <v>1.5656802880851723</v>
      </c>
      <c r="HV34" s="17" t="s">
        <v>70</v>
      </c>
      <c r="HW34" s="75" t="s">
        <v>2083</v>
      </c>
      <c r="HX34" s="17">
        <v>0.77</v>
      </c>
      <c r="HY34" s="55">
        <f t="shared" si="59"/>
        <v>0.96445905746046612</v>
      </c>
      <c r="HZ34" s="21" t="s">
        <v>70</v>
      </c>
      <c r="IA34" s="75" t="s">
        <v>2084</v>
      </c>
      <c r="IB34" s="17">
        <v>0.7</v>
      </c>
      <c r="IC34" s="145">
        <f t="shared" si="60"/>
        <v>0.87678096132769645</v>
      </c>
      <c r="ID34" s="17" t="s">
        <v>70</v>
      </c>
      <c r="IE34" s="51" t="s">
        <v>2085</v>
      </c>
      <c r="IF34" s="17">
        <v>0.62</v>
      </c>
      <c r="IG34" s="344">
        <f t="shared" si="61"/>
        <v>0.77657742289024545</v>
      </c>
      <c r="IH34" s="17" t="s">
        <v>42</v>
      </c>
      <c r="II34" s="67" t="s">
        <v>2086</v>
      </c>
      <c r="IJ34" s="17">
        <v>0.97</v>
      </c>
      <c r="IK34" s="361">
        <f t="shared" si="62"/>
        <v>1.2149679035540937</v>
      </c>
      <c r="IL34" s="17" t="s">
        <v>42</v>
      </c>
      <c r="IM34" s="51" t="s">
        <v>2087</v>
      </c>
      <c r="IN34" s="204">
        <v>0.8</v>
      </c>
      <c r="IO34" s="17">
        <f t="shared" si="63"/>
        <v>1.0020353843745102</v>
      </c>
      <c r="IP34" s="17" t="s">
        <v>46</v>
      </c>
      <c r="IQ34" s="51" t="s">
        <v>2088</v>
      </c>
      <c r="IR34" s="17">
        <v>1.01</v>
      </c>
      <c r="IS34" s="95">
        <f t="shared" si="64"/>
        <v>1.2650696727728192</v>
      </c>
      <c r="IT34" s="17" t="s">
        <v>42</v>
      </c>
      <c r="IU34" s="75" t="s">
        <v>2089</v>
      </c>
      <c r="IV34" s="17">
        <v>0.31</v>
      </c>
      <c r="IW34" s="267">
        <f t="shared" si="65"/>
        <v>0.38828871144512273</v>
      </c>
      <c r="IX34" s="17" t="s">
        <v>46</v>
      </c>
      <c r="IY34" s="51" t="s">
        <v>2090</v>
      </c>
      <c r="IZ34" s="17">
        <v>0.94</v>
      </c>
      <c r="JA34" s="25">
        <f t="shared" si="66"/>
        <v>1.1773915766400496</v>
      </c>
      <c r="JB34" s="17" t="s">
        <v>48</v>
      </c>
      <c r="JC34" s="51" t="s">
        <v>2091</v>
      </c>
      <c r="JD34" s="17">
        <v>0.78</v>
      </c>
      <c r="JE34" s="389">
        <f t="shared" si="67"/>
        <v>0.97698449976514756</v>
      </c>
      <c r="JF34" s="17" t="s">
        <v>46</v>
      </c>
      <c r="JG34" s="51" t="s">
        <v>2092</v>
      </c>
      <c r="JH34" s="17">
        <v>0.78</v>
      </c>
      <c r="JI34" s="389">
        <f t="shared" si="68"/>
        <v>0.97698449976514756</v>
      </c>
      <c r="JJ34" s="17" t="s">
        <v>179</v>
      </c>
      <c r="JK34" s="51" t="s">
        <v>2093</v>
      </c>
      <c r="JL34" s="21">
        <v>0.34</v>
      </c>
      <c r="JM34" s="237">
        <f t="shared" si="69"/>
        <v>0.42586503835916689</v>
      </c>
      <c r="JN34" s="21" t="s">
        <v>42</v>
      </c>
      <c r="JO34" s="75" t="s">
        <v>2094</v>
      </c>
      <c r="JP34" s="21">
        <v>0.4</v>
      </c>
      <c r="JQ34" s="511">
        <f t="shared" si="70"/>
        <v>0.50101769218725511</v>
      </c>
      <c r="JR34" s="21" t="s">
        <v>108</v>
      </c>
      <c r="JS34" s="40"/>
      <c r="JT34" s="21">
        <v>0.57999999999999996</v>
      </c>
      <c r="JU34" s="203">
        <f t="shared" si="71"/>
        <v>0.72647565367151989</v>
      </c>
      <c r="JV34" s="21" t="s">
        <v>464</v>
      </c>
      <c r="JW34" s="75" t="s">
        <v>2095</v>
      </c>
      <c r="JX34" s="17">
        <v>0.79</v>
      </c>
      <c r="JY34" s="122">
        <f t="shared" si="72"/>
        <v>0.9895099420698289</v>
      </c>
      <c r="JZ34" s="51" t="s">
        <v>48</v>
      </c>
      <c r="KA34" s="51" t="s">
        <v>2096</v>
      </c>
      <c r="KB34" s="21">
        <v>1.27</v>
      </c>
      <c r="KC34" s="513">
        <f t="shared" si="73"/>
        <v>1.590731172694535</v>
      </c>
      <c r="KD34" s="75" t="s">
        <v>48</v>
      </c>
      <c r="KE34" s="75" t="s">
        <v>2034</v>
      </c>
      <c r="KF34" s="17">
        <v>0.6</v>
      </c>
      <c r="KG34" s="242">
        <f t="shared" si="74"/>
        <v>0.75152653828088267</v>
      </c>
      <c r="KH34" s="51" t="s">
        <v>48</v>
      </c>
      <c r="KI34" s="51" t="s">
        <v>2097</v>
      </c>
      <c r="KJ34" s="21">
        <v>0.68</v>
      </c>
      <c r="KK34" s="127">
        <f t="shared" si="75"/>
        <v>0.85173007671833378</v>
      </c>
      <c r="KL34" s="75" t="s">
        <v>42</v>
      </c>
      <c r="KM34" s="75" t="s">
        <v>2036</v>
      </c>
      <c r="KN34" s="17">
        <v>0.86</v>
      </c>
      <c r="KO34" s="176">
        <f t="shared" si="76"/>
        <v>1.0771880382025985</v>
      </c>
      <c r="KP34" s="51" t="s">
        <v>46</v>
      </c>
      <c r="KQ34" s="51" t="s">
        <v>2098</v>
      </c>
      <c r="KR34" s="21">
        <v>0.79</v>
      </c>
      <c r="KS34" s="122">
        <f t="shared" si="77"/>
        <v>0.9895099420698289</v>
      </c>
      <c r="KT34" s="75" t="s">
        <v>48</v>
      </c>
      <c r="KU34" s="75" t="s">
        <v>2099</v>
      </c>
      <c r="KV34" s="82">
        <v>1.01</v>
      </c>
      <c r="KW34" s="95">
        <f t="shared" si="78"/>
        <v>1.2650696727728192</v>
      </c>
      <c r="KX34" s="51" t="s">
        <v>414</v>
      </c>
      <c r="KY34" s="51" t="s">
        <v>2039</v>
      </c>
      <c r="KZ34" s="83">
        <v>0.39</v>
      </c>
      <c r="LA34" s="222">
        <f t="shared" si="79"/>
        <v>0.48849224988257378</v>
      </c>
      <c r="LB34" s="75" t="s">
        <v>70</v>
      </c>
      <c r="LC34" s="75" t="s">
        <v>2100</v>
      </c>
      <c r="LD34" s="82">
        <v>0.69</v>
      </c>
      <c r="LE34" s="461">
        <f t="shared" si="80"/>
        <v>0.86425551902301501</v>
      </c>
      <c r="LF34" s="51" t="s">
        <v>108</v>
      </c>
      <c r="LG34" s="51" t="s">
        <v>2041</v>
      </c>
      <c r="LH34" s="83">
        <v>0.32</v>
      </c>
      <c r="LI34" s="84"/>
      <c r="LJ34" s="85"/>
      <c r="LK34" s="85"/>
      <c r="LL34" s="86">
        <f t="shared" si="81"/>
        <v>0.79898734177215236</v>
      </c>
      <c r="LM34" s="86">
        <f t="shared" si="82"/>
        <v>0.93868821292775606</v>
      </c>
      <c r="LN34" s="86">
        <f t="shared" si="90"/>
        <v>1.044173137384389</v>
      </c>
      <c r="LO34" s="86">
        <f t="shared" si="94"/>
        <v>0.87000963635337758</v>
      </c>
      <c r="LP34" s="86">
        <f t="shared" si="95"/>
        <v>-1.563280685073809E-2</v>
      </c>
      <c r="LQ34" s="87">
        <f t="shared" si="96"/>
        <v>1</v>
      </c>
      <c r="LR34" s="86">
        <f t="shared" si="97"/>
        <v>0.86680337700604104</v>
      </c>
      <c r="LS34" s="84">
        <v>1</v>
      </c>
      <c r="LT34" s="87">
        <f t="shared" si="100"/>
        <v>0</v>
      </c>
      <c r="LU34" s="87">
        <f t="shared" si="92"/>
        <v>8</v>
      </c>
      <c r="LV34" s="84">
        <f t="shared" si="98"/>
        <v>1</v>
      </c>
      <c r="LW34" s="88" t="s">
        <v>3807</v>
      </c>
      <c r="LX34" s="89" t="str">
        <f t="shared" si="87"/>
        <v>—</v>
      </c>
      <c r="LY34" s="89" t="str">
        <f t="shared" si="102"/>
        <v>Queda severa — voltar ao que deu certo</v>
      </c>
      <c r="LZ34" s="5"/>
      <c r="MA34" s="67" t="str">
        <f t="shared" si="99"/>
        <v>PALMEIRAS</v>
      </c>
      <c r="MB34" s="89" t="s">
        <v>3808</v>
      </c>
    </row>
    <row r="35" spans="1:340" x14ac:dyDescent="0.2">
      <c r="A35" s="16">
        <v>0.77222222222222225</v>
      </c>
      <c r="B35" s="661">
        <f t="shared" si="0"/>
        <v>0.80387500000000023</v>
      </c>
      <c r="C35" s="662">
        <f t="shared" si="1"/>
        <v>-6.701912610791505E-2</v>
      </c>
      <c r="D35" s="17">
        <v>0.75</v>
      </c>
      <c r="E35" s="191">
        <f t="shared" si="2"/>
        <v>0.93298087389208495</v>
      </c>
      <c r="F35" s="17" t="s">
        <v>66</v>
      </c>
      <c r="G35" s="20" t="s">
        <v>2101</v>
      </c>
      <c r="H35" s="21">
        <v>0.87</v>
      </c>
      <c r="I35" s="27">
        <f t="shared" si="3"/>
        <v>1.0822578137148184</v>
      </c>
      <c r="J35" s="21" t="s">
        <v>48</v>
      </c>
      <c r="K35" s="23" t="s">
        <v>2102</v>
      </c>
      <c r="L35" s="17">
        <v>1.1299999999999999</v>
      </c>
      <c r="M35" s="105">
        <f t="shared" si="4"/>
        <v>1.4056911833307413</v>
      </c>
      <c r="N35" s="17" t="s">
        <v>356</v>
      </c>
      <c r="O35" s="20" t="s">
        <v>2103</v>
      </c>
      <c r="P35" s="21">
        <v>0.86</v>
      </c>
      <c r="Q35" s="404">
        <f t="shared" si="5"/>
        <v>1.0698180687295906</v>
      </c>
      <c r="R35" s="21" t="s">
        <v>70</v>
      </c>
      <c r="S35" s="23" t="s">
        <v>2104</v>
      </c>
      <c r="T35" s="17">
        <v>0.73</v>
      </c>
      <c r="U35" s="492">
        <f t="shared" si="6"/>
        <v>0.90810138392162931</v>
      </c>
      <c r="V35" s="17" t="s">
        <v>464</v>
      </c>
      <c r="W35" s="5"/>
      <c r="X35" s="21">
        <v>1.1000000000000001</v>
      </c>
      <c r="Y35" s="34">
        <f t="shared" si="7"/>
        <v>1.368371948375058</v>
      </c>
      <c r="Z35" s="21" t="s">
        <v>42</v>
      </c>
      <c r="AA35" s="28"/>
      <c r="AB35" s="17">
        <v>1</v>
      </c>
      <c r="AC35" s="181">
        <f t="shared" si="8"/>
        <v>1.2439744985227799</v>
      </c>
      <c r="AD35" s="17" t="s">
        <v>42</v>
      </c>
      <c r="AE35" s="20" t="s">
        <v>2105</v>
      </c>
      <c r="AF35" s="21">
        <v>0.83</v>
      </c>
      <c r="AG35" s="94">
        <f t="shared" si="9"/>
        <v>1.0324988337739074</v>
      </c>
      <c r="AH35" s="21" t="s">
        <v>108</v>
      </c>
      <c r="AI35" s="23" t="s">
        <v>2106</v>
      </c>
      <c r="AJ35" s="17">
        <v>1.01</v>
      </c>
      <c r="AK35" s="574">
        <f t="shared" si="10"/>
        <v>1.2564142435080077</v>
      </c>
      <c r="AL35" s="17" t="s">
        <v>42</v>
      </c>
      <c r="AM35" s="20" t="s">
        <v>2107</v>
      </c>
      <c r="AN35" s="21">
        <v>1.4</v>
      </c>
      <c r="AO35" s="663">
        <f t="shared" si="11"/>
        <v>1.7415642979318917</v>
      </c>
      <c r="AP35" s="21" t="s">
        <v>48</v>
      </c>
      <c r="AQ35" s="23" t="s">
        <v>2108</v>
      </c>
      <c r="AR35" s="17">
        <v>0.96</v>
      </c>
      <c r="AS35" s="664">
        <f t="shared" si="12"/>
        <v>1.1942155185818686</v>
      </c>
      <c r="AT35" s="17" t="s">
        <v>42</v>
      </c>
      <c r="AU35" s="20" t="s">
        <v>2109</v>
      </c>
      <c r="AV35" s="21">
        <v>1.17</v>
      </c>
      <c r="AW35" s="453">
        <f t="shared" si="13"/>
        <v>1.4554501632716523</v>
      </c>
      <c r="AX35" s="21" t="s">
        <v>46</v>
      </c>
      <c r="AY35" s="23" t="s">
        <v>2110</v>
      </c>
      <c r="AZ35" s="17">
        <v>1</v>
      </c>
      <c r="BA35" s="181">
        <f t="shared" si="14"/>
        <v>1.2439744985227799</v>
      </c>
      <c r="BB35" s="17" t="s">
        <v>48</v>
      </c>
      <c r="BC35" s="20" t="s">
        <v>2111</v>
      </c>
      <c r="BD35" s="17">
        <v>1.05</v>
      </c>
      <c r="BE35" s="596">
        <f t="shared" si="15"/>
        <v>1.306173223448919</v>
      </c>
      <c r="BF35" s="17" t="s">
        <v>46</v>
      </c>
      <c r="BG35" s="20" t="s">
        <v>2112</v>
      </c>
      <c r="BH35" s="37">
        <v>1.31</v>
      </c>
      <c r="BI35" s="345">
        <f t="shared" si="16"/>
        <v>1.6296065930648418</v>
      </c>
      <c r="BJ35" s="37" t="s">
        <v>48</v>
      </c>
      <c r="BK35" s="38" t="s">
        <v>2113</v>
      </c>
      <c r="BL35" s="17">
        <v>0.62</v>
      </c>
      <c r="BM35" s="19">
        <f t="shared" si="17"/>
        <v>0.77126418908412353</v>
      </c>
      <c r="BN35" s="17" t="s">
        <v>46</v>
      </c>
      <c r="BO35" s="40"/>
      <c r="BP35" s="17">
        <v>0.71</v>
      </c>
      <c r="BQ35" s="436">
        <f t="shared" si="18"/>
        <v>0.88322189395117368</v>
      </c>
      <c r="BR35" s="17" t="s">
        <v>46</v>
      </c>
      <c r="BS35" s="41"/>
      <c r="BT35" s="37">
        <v>0.75</v>
      </c>
      <c r="BU35" s="191">
        <f t="shared" si="19"/>
        <v>0.93298087389208495</v>
      </c>
      <c r="BV35" s="46" t="s">
        <v>42</v>
      </c>
      <c r="BW35" s="23" t="s">
        <v>2114</v>
      </c>
      <c r="BX35" s="17">
        <v>0.51</v>
      </c>
      <c r="BY35" s="382">
        <f t="shared" si="20"/>
        <v>0.63442699424661775</v>
      </c>
      <c r="BZ35" s="17" t="s">
        <v>356</v>
      </c>
      <c r="CA35" s="20" t="s">
        <v>2115</v>
      </c>
      <c r="CB35" s="37">
        <v>0.83</v>
      </c>
      <c r="CC35" s="94">
        <f t="shared" si="21"/>
        <v>1.0324988337739074</v>
      </c>
      <c r="CD35" s="46" t="s">
        <v>42</v>
      </c>
      <c r="CE35" s="23" t="s">
        <v>2116</v>
      </c>
      <c r="CF35" s="17">
        <v>0.52</v>
      </c>
      <c r="CG35" s="256">
        <f t="shared" si="22"/>
        <v>0.64686673923184557</v>
      </c>
      <c r="CH35" s="17" t="s">
        <v>48</v>
      </c>
      <c r="CI35" s="20" t="s">
        <v>2117</v>
      </c>
      <c r="CJ35" s="37">
        <v>0.06</v>
      </c>
      <c r="CK35" s="665">
        <f t="shared" si="23"/>
        <v>7.4638469911366787E-2</v>
      </c>
      <c r="CL35" s="46" t="s">
        <v>70</v>
      </c>
      <c r="CM35" s="23" t="s">
        <v>2118</v>
      </c>
      <c r="CN35" s="17">
        <v>0.89</v>
      </c>
      <c r="CO35" s="474">
        <f t="shared" si="24"/>
        <v>1.1071373036852741</v>
      </c>
      <c r="CP35" s="17" t="s">
        <v>46</v>
      </c>
      <c r="CQ35" s="20" t="s">
        <v>2119</v>
      </c>
      <c r="CR35" s="37">
        <v>0.56999999999999995</v>
      </c>
      <c r="CS35" s="353">
        <f t="shared" si="25"/>
        <v>0.70906546415798455</v>
      </c>
      <c r="CT35" s="21" t="s">
        <v>70</v>
      </c>
      <c r="CU35" s="23" t="s">
        <v>2120</v>
      </c>
      <c r="CV35" s="17">
        <v>0.75</v>
      </c>
      <c r="CW35" s="191">
        <f t="shared" si="26"/>
        <v>0.93298087389208495</v>
      </c>
      <c r="CX35" s="17" t="s">
        <v>42</v>
      </c>
      <c r="CY35" s="20" t="s">
        <v>2121</v>
      </c>
      <c r="CZ35" s="37">
        <v>0.78</v>
      </c>
      <c r="DA35" s="409">
        <f t="shared" si="27"/>
        <v>0.97030010884776841</v>
      </c>
      <c r="DB35" s="21" t="s">
        <v>1994</v>
      </c>
      <c r="DC35" s="23" t="s">
        <v>2122</v>
      </c>
      <c r="DD35" s="17">
        <v>0.74</v>
      </c>
      <c r="DE35" s="110">
        <f t="shared" si="28"/>
        <v>0.92054112890685713</v>
      </c>
      <c r="DF35" s="17" t="s">
        <v>42</v>
      </c>
      <c r="DG35" s="20" t="s">
        <v>2123</v>
      </c>
      <c r="DH35" s="37">
        <v>0.79</v>
      </c>
      <c r="DI35" s="284">
        <f t="shared" si="29"/>
        <v>0.98273985383299622</v>
      </c>
      <c r="DJ35" s="21" t="s">
        <v>108</v>
      </c>
      <c r="DK35" s="28"/>
      <c r="DL35" s="17">
        <v>0.2</v>
      </c>
      <c r="DM35" s="185">
        <f t="shared" si="30"/>
        <v>0.24879489970455601</v>
      </c>
      <c r="DN35" s="17" t="s">
        <v>42</v>
      </c>
      <c r="DO35" s="51" t="s">
        <v>2124</v>
      </c>
      <c r="DP35" s="21">
        <v>1.02</v>
      </c>
      <c r="DQ35" s="261">
        <f t="shared" si="31"/>
        <v>1.2688539884932355</v>
      </c>
      <c r="DR35" s="53" t="s">
        <v>48</v>
      </c>
      <c r="DS35" s="54" t="s">
        <v>2125</v>
      </c>
      <c r="DT35" s="53">
        <v>0.48</v>
      </c>
      <c r="DU35" s="100">
        <f t="shared" si="32"/>
        <v>0.59710775929093429</v>
      </c>
      <c r="DV35" s="56" t="s">
        <v>48</v>
      </c>
      <c r="DW35" s="57" t="s">
        <v>2126</v>
      </c>
      <c r="DX35" s="53">
        <v>0.5</v>
      </c>
      <c r="DY35" s="125">
        <f t="shared" si="33"/>
        <v>0.62198724926138993</v>
      </c>
      <c r="DZ35" s="53" t="s">
        <v>48</v>
      </c>
      <c r="EA35" s="54" t="s">
        <v>2126</v>
      </c>
      <c r="EB35" s="56">
        <v>0.5</v>
      </c>
      <c r="EC35" s="125">
        <f t="shared" si="34"/>
        <v>0.62198724926138993</v>
      </c>
      <c r="ED35" s="56" t="s">
        <v>42</v>
      </c>
      <c r="EE35" s="57" t="s">
        <v>2127</v>
      </c>
      <c r="EF35" s="53">
        <v>0.51</v>
      </c>
      <c r="EG35" s="382">
        <f t="shared" si="35"/>
        <v>0.63442699424661775</v>
      </c>
      <c r="EH35" s="53" t="s">
        <v>48</v>
      </c>
      <c r="EI35" s="57" t="s">
        <v>2128</v>
      </c>
      <c r="EJ35" s="53">
        <v>1.19</v>
      </c>
      <c r="EK35" s="666">
        <f t="shared" si="36"/>
        <v>1.480329653242108</v>
      </c>
      <c r="EL35" s="56" t="s">
        <v>42</v>
      </c>
      <c r="EM35" s="57" t="s">
        <v>2129</v>
      </c>
      <c r="EN35" s="53">
        <v>1.1399999999999999</v>
      </c>
      <c r="EO35" s="52">
        <f t="shared" si="37"/>
        <v>1.4181309283159691</v>
      </c>
      <c r="EP35" s="53" t="s">
        <v>179</v>
      </c>
      <c r="EQ35" s="23" t="s">
        <v>2130</v>
      </c>
      <c r="ER35" s="53">
        <v>0.61</v>
      </c>
      <c r="ES35" s="96">
        <f t="shared" si="38"/>
        <v>0.75882444409889571</v>
      </c>
      <c r="ET35" s="53" t="s">
        <v>48</v>
      </c>
      <c r="EU35" s="20" t="s">
        <v>2131</v>
      </c>
      <c r="EV35" s="53">
        <v>1.07</v>
      </c>
      <c r="EW35" s="488">
        <f t="shared" si="39"/>
        <v>1.3310527134193746</v>
      </c>
      <c r="EX35" s="21" t="s">
        <v>48</v>
      </c>
      <c r="EY35" s="57" t="s">
        <v>2132</v>
      </c>
      <c r="EZ35" s="53">
        <v>0.9</v>
      </c>
      <c r="FA35" s="192">
        <f t="shared" si="40"/>
        <v>1.1195770486705019</v>
      </c>
      <c r="FB35" s="40"/>
      <c r="FC35" s="40"/>
      <c r="FD35" s="53">
        <v>1.23</v>
      </c>
      <c r="FE35" s="554">
        <f t="shared" si="41"/>
        <v>1.5300886331830192</v>
      </c>
      <c r="FF35" s="21" t="s">
        <v>42</v>
      </c>
      <c r="FG35" s="64"/>
      <c r="FH35" s="17">
        <v>1.05</v>
      </c>
      <c r="FI35" s="596">
        <f t="shared" si="42"/>
        <v>1.306173223448919</v>
      </c>
      <c r="FJ35" s="17" t="s">
        <v>179</v>
      </c>
      <c r="FK35" s="51" t="s">
        <v>2133</v>
      </c>
      <c r="FL35" s="17">
        <v>0.89</v>
      </c>
      <c r="FM35" s="474">
        <f t="shared" si="43"/>
        <v>1.1071373036852741</v>
      </c>
      <c r="FN35" s="21" t="s">
        <v>42</v>
      </c>
      <c r="FO35" s="51" t="s">
        <v>2134</v>
      </c>
      <c r="FP35" s="17">
        <v>0.56999999999999995</v>
      </c>
      <c r="FQ35" s="353">
        <f t="shared" si="44"/>
        <v>0.70906546415798455</v>
      </c>
      <c r="FR35" s="17" t="s">
        <v>285</v>
      </c>
      <c r="FS35" s="51" t="s">
        <v>2135</v>
      </c>
      <c r="FT35" s="17">
        <v>1.05</v>
      </c>
      <c r="FU35" s="596">
        <f t="shared" si="45"/>
        <v>1.306173223448919</v>
      </c>
      <c r="FV35" s="17" t="s">
        <v>46</v>
      </c>
      <c r="FW35" s="51" t="s">
        <v>2136</v>
      </c>
      <c r="FX35" s="17">
        <v>1.21</v>
      </c>
      <c r="FY35" s="343">
        <f t="shared" si="46"/>
        <v>1.5052091432125636</v>
      </c>
      <c r="FZ35" s="17" t="s">
        <v>48</v>
      </c>
      <c r="GA35" s="51" t="s">
        <v>2137</v>
      </c>
      <c r="GB35" s="53">
        <v>0.59</v>
      </c>
      <c r="GC35" s="92">
        <f t="shared" si="47"/>
        <v>0.73394495412844007</v>
      </c>
      <c r="GD35" s="21" t="s">
        <v>46</v>
      </c>
      <c r="GE35" s="63"/>
      <c r="GF35" s="17">
        <v>0.78</v>
      </c>
      <c r="GG35" s="409">
        <f t="shared" si="48"/>
        <v>0.97030010884776841</v>
      </c>
      <c r="GH35" s="17" t="s">
        <v>70</v>
      </c>
      <c r="GI35" s="51" t="s">
        <v>2138</v>
      </c>
      <c r="GJ35" s="17">
        <v>1.1399999999999999</v>
      </c>
      <c r="GK35" s="52">
        <f t="shared" si="49"/>
        <v>1.4181309283159691</v>
      </c>
      <c r="GL35" s="17" t="s">
        <v>70</v>
      </c>
      <c r="GM35" s="67" t="s">
        <v>2074</v>
      </c>
      <c r="GN35" s="17">
        <v>0.52</v>
      </c>
      <c r="GO35" s="256">
        <f t="shared" si="50"/>
        <v>0.64686673923184557</v>
      </c>
      <c r="GP35" s="17" t="s">
        <v>70</v>
      </c>
      <c r="GQ35" s="51" t="s">
        <v>2139</v>
      </c>
      <c r="GR35" s="17">
        <v>0.92</v>
      </c>
      <c r="GS35" s="381">
        <f t="shared" si="51"/>
        <v>1.1444565386409575</v>
      </c>
      <c r="GT35" s="17" t="s">
        <v>70</v>
      </c>
      <c r="GU35" s="51" t="s">
        <v>2140</v>
      </c>
      <c r="GV35" s="17">
        <v>0.95</v>
      </c>
      <c r="GW35" s="667">
        <f t="shared" si="52"/>
        <v>1.181775773596641</v>
      </c>
      <c r="GX35" s="17" t="s">
        <v>42</v>
      </c>
      <c r="GY35" s="67" t="s">
        <v>2141</v>
      </c>
      <c r="GZ35" s="17">
        <v>0.57999999999999996</v>
      </c>
      <c r="HA35" s="74">
        <f t="shared" si="53"/>
        <v>0.72150520914321226</v>
      </c>
      <c r="HB35" s="17" t="s">
        <v>48</v>
      </c>
      <c r="HC35" s="20" t="s">
        <v>2142</v>
      </c>
      <c r="HD35" s="17">
        <v>0.75</v>
      </c>
      <c r="HE35" s="191">
        <f t="shared" si="54"/>
        <v>0.93298087389208495</v>
      </c>
      <c r="HF35" s="17" t="s">
        <v>48</v>
      </c>
      <c r="HG35" s="20" t="s">
        <v>2143</v>
      </c>
      <c r="HH35" s="17">
        <v>0.92</v>
      </c>
      <c r="HI35" s="381">
        <f t="shared" si="55"/>
        <v>1.1444565386409575</v>
      </c>
      <c r="HJ35" s="17" t="s">
        <v>42</v>
      </c>
      <c r="HK35" s="20" t="s">
        <v>2144</v>
      </c>
      <c r="HL35" s="17">
        <v>0.85</v>
      </c>
      <c r="HM35" s="71">
        <f t="shared" si="56"/>
        <v>1.0573783237443628</v>
      </c>
      <c r="HN35" s="17" t="s">
        <v>48</v>
      </c>
      <c r="HO35" s="20" t="s">
        <v>2145</v>
      </c>
      <c r="HP35" s="17">
        <v>0.67</v>
      </c>
      <c r="HQ35" s="514">
        <f t="shared" si="57"/>
        <v>0.83346291401026262</v>
      </c>
      <c r="HR35" s="17" t="s">
        <v>42</v>
      </c>
      <c r="HS35" s="73" t="s">
        <v>2146</v>
      </c>
      <c r="HT35" s="17">
        <v>1.25</v>
      </c>
      <c r="HU35" s="431">
        <f t="shared" si="58"/>
        <v>1.5549681231534749</v>
      </c>
      <c r="HV35" s="17" t="s">
        <v>70</v>
      </c>
      <c r="HW35" s="75" t="s">
        <v>2147</v>
      </c>
      <c r="HX35" s="17">
        <v>0.7</v>
      </c>
      <c r="HY35" s="115">
        <f t="shared" si="59"/>
        <v>0.87078214896594586</v>
      </c>
      <c r="HZ35" s="21" t="s">
        <v>42</v>
      </c>
      <c r="IA35" s="75" t="s">
        <v>2148</v>
      </c>
      <c r="IB35" s="17">
        <v>0.7</v>
      </c>
      <c r="IC35" s="115">
        <f t="shared" si="60"/>
        <v>0.87078214896594586</v>
      </c>
      <c r="ID35" s="17" t="s">
        <v>70</v>
      </c>
      <c r="IE35" s="51" t="s">
        <v>2149</v>
      </c>
      <c r="IF35" s="17">
        <v>0.69</v>
      </c>
      <c r="IG35" s="272">
        <f t="shared" si="61"/>
        <v>0.85834240398071804</v>
      </c>
      <c r="IH35" s="17" t="s">
        <v>42</v>
      </c>
      <c r="II35" s="67" t="s">
        <v>2150</v>
      </c>
      <c r="IJ35" s="17">
        <v>0.97</v>
      </c>
      <c r="IK35" s="285">
        <f t="shared" si="62"/>
        <v>1.2066552635670964</v>
      </c>
      <c r="IL35" s="17" t="s">
        <v>42</v>
      </c>
      <c r="IM35" s="51" t="s">
        <v>2087</v>
      </c>
      <c r="IN35" s="204">
        <v>0.87</v>
      </c>
      <c r="IO35" s="27">
        <f t="shared" si="63"/>
        <v>1.0822578137148184</v>
      </c>
      <c r="IP35" s="17" t="s">
        <v>46</v>
      </c>
      <c r="IQ35" s="51" t="s">
        <v>2151</v>
      </c>
      <c r="IR35" s="17">
        <v>1.06</v>
      </c>
      <c r="IS35" s="294">
        <f t="shared" si="64"/>
        <v>1.3186129684341468</v>
      </c>
      <c r="IT35" s="17" t="s">
        <v>42</v>
      </c>
      <c r="IU35" s="75" t="s">
        <v>2152</v>
      </c>
      <c r="IV35" s="17">
        <v>0.38</v>
      </c>
      <c r="IW35" s="592">
        <f t="shared" si="65"/>
        <v>0.47271030943865638</v>
      </c>
      <c r="IX35" s="17" t="s">
        <v>46</v>
      </c>
      <c r="IY35" s="51" t="s">
        <v>2153</v>
      </c>
      <c r="IZ35" s="17">
        <v>0.94</v>
      </c>
      <c r="JA35" s="337">
        <f t="shared" si="66"/>
        <v>1.1693360286114132</v>
      </c>
      <c r="JB35" s="17" t="s">
        <v>48</v>
      </c>
      <c r="JC35" s="51" t="s">
        <v>2154</v>
      </c>
      <c r="JD35" s="17">
        <v>0.78</v>
      </c>
      <c r="JE35" s="409">
        <f t="shared" si="67"/>
        <v>0.97030010884776841</v>
      </c>
      <c r="JF35" s="17" t="s">
        <v>46</v>
      </c>
      <c r="JG35" s="51" t="s">
        <v>2155</v>
      </c>
      <c r="JH35" s="17">
        <v>0.56999999999999995</v>
      </c>
      <c r="JI35" s="353">
        <f t="shared" si="68"/>
        <v>0.70906546415798455</v>
      </c>
      <c r="JJ35" s="17" t="s">
        <v>179</v>
      </c>
      <c r="JK35" s="51" t="s">
        <v>2156</v>
      </c>
      <c r="JL35" s="21">
        <v>0.4</v>
      </c>
      <c r="JM35" s="210">
        <f t="shared" si="69"/>
        <v>0.49758979940911202</v>
      </c>
      <c r="JN35" s="21" t="s">
        <v>42</v>
      </c>
      <c r="JO35" s="75" t="s">
        <v>2157</v>
      </c>
      <c r="JP35" s="21">
        <v>0.4</v>
      </c>
      <c r="JQ35" s="210">
        <f t="shared" si="70"/>
        <v>0.49758979940911202</v>
      </c>
      <c r="JR35" s="21" t="s">
        <v>108</v>
      </c>
      <c r="JS35" s="40"/>
      <c r="JT35" s="21">
        <v>0.52</v>
      </c>
      <c r="JU35" s="256">
        <f t="shared" si="71"/>
        <v>0.64686673923184557</v>
      </c>
      <c r="JV35" s="21" t="s">
        <v>464</v>
      </c>
      <c r="JW35" s="75" t="s">
        <v>2158</v>
      </c>
      <c r="JX35" s="17">
        <v>0.79</v>
      </c>
      <c r="JY35" s="284">
        <f t="shared" si="72"/>
        <v>0.98273985383299622</v>
      </c>
      <c r="JZ35" s="51" t="s">
        <v>1620</v>
      </c>
      <c r="KA35" s="51" t="s">
        <v>2159</v>
      </c>
      <c r="KB35" s="21">
        <v>1.34</v>
      </c>
      <c r="KC35" s="228">
        <f t="shared" si="73"/>
        <v>1.6669258280205252</v>
      </c>
      <c r="KD35" s="75" t="s">
        <v>48</v>
      </c>
      <c r="KE35" s="75" t="s">
        <v>2160</v>
      </c>
      <c r="KF35" s="17">
        <v>0.59</v>
      </c>
      <c r="KG35" s="92">
        <f t="shared" si="74"/>
        <v>0.73394495412844007</v>
      </c>
      <c r="KH35" s="51" t="s">
        <v>48</v>
      </c>
      <c r="KI35" s="51" t="s">
        <v>2161</v>
      </c>
      <c r="KJ35" s="21">
        <v>0.74</v>
      </c>
      <c r="KK35" s="110">
        <f t="shared" si="75"/>
        <v>0.92054112890685713</v>
      </c>
      <c r="KL35" s="75" t="s">
        <v>42</v>
      </c>
      <c r="KM35" s="75" t="s">
        <v>2162</v>
      </c>
      <c r="KN35" s="17">
        <v>0.8</v>
      </c>
      <c r="KO35" s="251">
        <f t="shared" si="76"/>
        <v>0.99517959881822404</v>
      </c>
      <c r="KP35" s="51" t="s">
        <v>46</v>
      </c>
      <c r="KQ35" s="51" t="s">
        <v>2163</v>
      </c>
      <c r="KR35" s="21">
        <v>0.79</v>
      </c>
      <c r="KS35" s="284">
        <f t="shared" si="77"/>
        <v>0.98273985383299622</v>
      </c>
      <c r="KT35" s="75" t="s">
        <v>48</v>
      </c>
      <c r="KU35" s="75" t="s">
        <v>2164</v>
      </c>
      <c r="KV35" s="82">
        <v>0.88</v>
      </c>
      <c r="KW35" s="270">
        <f t="shared" si="78"/>
        <v>1.0946975587000463</v>
      </c>
      <c r="KX35" s="51" t="s">
        <v>179</v>
      </c>
      <c r="KY35" s="51" t="s">
        <v>2165</v>
      </c>
      <c r="KZ35" s="83">
        <v>0.39</v>
      </c>
      <c r="LA35" s="123">
        <f t="shared" si="79"/>
        <v>0.4851500544238842</v>
      </c>
      <c r="LB35" s="75" t="s">
        <v>70</v>
      </c>
      <c r="LC35" s="75" t="s">
        <v>2166</v>
      </c>
      <c r="LD35" s="82">
        <v>0.82</v>
      </c>
      <c r="LE35" s="401">
        <f t="shared" si="80"/>
        <v>1.0200590887886796</v>
      </c>
      <c r="LF35" s="51" t="s">
        <v>46</v>
      </c>
      <c r="LG35" s="51" t="s">
        <v>2167</v>
      </c>
      <c r="LH35" s="83">
        <v>0.46</v>
      </c>
      <c r="LI35" s="84"/>
      <c r="LJ35" s="85"/>
      <c r="LK35" s="85"/>
      <c r="LL35" s="86">
        <f t="shared" si="81"/>
        <v>0.80455696202531679</v>
      </c>
      <c r="LM35" s="86">
        <f t="shared" si="82"/>
        <v>0.93219005663939547</v>
      </c>
      <c r="LN35" s="86">
        <f t="shared" si="90"/>
        <v>1.0408767334951192</v>
      </c>
      <c r="LO35" s="86">
        <f t="shared" si="94"/>
        <v>0.90335986950197689</v>
      </c>
      <c r="LP35" s="86">
        <f t="shared" si="95"/>
        <v>6.3765980293751467E-2</v>
      </c>
      <c r="LQ35" s="87">
        <f t="shared" si="96"/>
        <v>1</v>
      </c>
      <c r="LR35" s="86">
        <f t="shared" si="97"/>
        <v>0.91856855338779686</v>
      </c>
      <c r="LS35" s="84">
        <v>1</v>
      </c>
      <c r="LT35" s="87">
        <f t="shared" si="100"/>
        <v>1</v>
      </c>
      <c r="LU35" s="87">
        <f t="shared" si="92"/>
        <v>1</v>
      </c>
      <c r="LV35" s="86">
        <f t="shared" si="98"/>
        <v>0.92</v>
      </c>
      <c r="LW35" s="89" t="s">
        <v>3810</v>
      </c>
      <c r="LX35" s="5" t="str">
        <f t="shared" si="87"/>
        <v/>
      </c>
      <c r="LY35" s="5" t="str">
        <f t="shared" si="102"/>
        <v/>
      </c>
      <c r="LZ35" s="5"/>
      <c r="MA35" s="67" t="str">
        <f t="shared" si="99"/>
        <v>GIRO ESPORTE</v>
      </c>
      <c r="MB35" s="89" t="s">
        <v>3808</v>
      </c>
    </row>
    <row r="36" spans="1:340" x14ac:dyDescent="0.2">
      <c r="A36" s="16">
        <v>0.7729166666666667</v>
      </c>
      <c r="B36" s="668">
        <f t="shared" si="0"/>
        <v>0.81024999999999991</v>
      </c>
      <c r="C36" s="669">
        <f t="shared" si="1"/>
        <v>-7.4359765504473874E-2</v>
      </c>
      <c r="D36" s="17">
        <v>0.75</v>
      </c>
      <c r="E36" s="652">
        <f t="shared" si="2"/>
        <v>0.92564023449552613</v>
      </c>
      <c r="F36" s="17" t="s">
        <v>66</v>
      </c>
      <c r="G36" s="20" t="s">
        <v>2168</v>
      </c>
      <c r="H36" s="21">
        <v>1</v>
      </c>
      <c r="I36" s="466">
        <f t="shared" si="3"/>
        <v>1.2341869793273683</v>
      </c>
      <c r="J36" s="21" t="s">
        <v>42</v>
      </c>
      <c r="K36" s="23" t="s">
        <v>2169</v>
      </c>
      <c r="L36" s="17">
        <v>1.1299999999999999</v>
      </c>
      <c r="M36" s="670">
        <f t="shared" si="4"/>
        <v>1.394631286639926</v>
      </c>
      <c r="N36" s="17" t="s">
        <v>356</v>
      </c>
      <c r="O36" s="20" t="s">
        <v>2170</v>
      </c>
      <c r="P36" s="21">
        <v>0.86</v>
      </c>
      <c r="Q36" s="570">
        <f t="shared" si="5"/>
        <v>1.0614008022215367</v>
      </c>
      <c r="R36" s="21" t="s">
        <v>70</v>
      </c>
      <c r="S36" s="23" t="s">
        <v>2171</v>
      </c>
      <c r="T36" s="17">
        <v>0.67</v>
      </c>
      <c r="U36" s="629">
        <f t="shared" si="6"/>
        <v>0.82690527614933673</v>
      </c>
      <c r="V36" s="17" t="s">
        <v>66</v>
      </c>
      <c r="W36" s="5"/>
      <c r="X36" s="21">
        <v>1.1000000000000001</v>
      </c>
      <c r="Y36" s="104">
        <f t="shared" si="7"/>
        <v>1.3576056772601051</v>
      </c>
      <c r="Z36" s="21" t="s">
        <v>179</v>
      </c>
      <c r="AA36" s="28"/>
      <c r="AB36" s="17">
        <v>0.94</v>
      </c>
      <c r="AC36" s="139">
        <f t="shared" si="8"/>
        <v>1.160135760567726</v>
      </c>
      <c r="AD36" s="17" t="s">
        <v>42</v>
      </c>
      <c r="AE36" s="20" t="s">
        <v>2172</v>
      </c>
      <c r="AF36" s="21">
        <v>0.83</v>
      </c>
      <c r="AG36" s="368">
        <f t="shared" si="9"/>
        <v>1.0243751928417155</v>
      </c>
      <c r="AH36" s="21" t="s">
        <v>108</v>
      </c>
      <c r="AI36" s="23" t="s">
        <v>2173</v>
      </c>
      <c r="AJ36" s="17">
        <v>1.01</v>
      </c>
      <c r="AK36" s="375">
        <f t="shared" si="10"/>
        <v>1.2465288491206419</v>
      </c>
      <c r="AL36" s="17" t="s">
        <v>42</v>
      </c>
      <c r="AM36" s="20" t="s">
        <v>2107</v>
      </c>
      <c r="AN36" s="21">
        <v>1.34</v>
      </c>
      <c r="AO36" s="671">
        <f t="shared" si="11"/>
        <v>1.6538105522986735</v>
      </c>
      <c r="AP36" s="21" t="s">
        <v>179</v>
      </c>
      <c r="AQ36" s="23" t="s">
        <v>2174</v>
      </c>
      <c r="AR36" s="17">
        <v>1.03</v>
      </c>
      <c r="AS36" s="408">
        <f t="shared" si="12"/>
        <v>1.2712125887071892</v>
      </c>
      <c r="AT36" s="17" t="s">
        <v>42</v>
      </c>
      <c r="AU36" s="20" t="s">
        <v>2175</v>
      </c>
      <c r="AV36" s="21">
        <v>1.1100000000000001</v>
      </c>
      <c r="AW36" s="34">
        <f t="shared" si="13"/>
        <v>1.3699475470533788</v>
      </c>
      <c r="AX36" s="21" t="s">
        <v>46</v>
      </c>
      <c r="AY36" s="23" t="s">
        <v>2176</v>
      </c>
      <c r="AZ36" s="17">
        <v>1.1200000000000001</v>
      </c>
      <c r="BA36" s="390">
        <f t="shared" si="14"/>
        <v>1.3822894168466526</v>
      </c>
      <c r="BB36" s="17" t="s">
        <v>42</v>
      </c>
      <c r="BC36" s="20" t="s">
        <v>2177</v>
      </c>
      <c r="BD36" s="17">
        <v>1.04</v>
      </c>
      <c r="BE36" s="587">
        <f t="shared" si="15"/>
        <v>1.283554458500463</v>
      </c>
      <c r="BF36" s="17" t="s">
        <v>46</v>
      </c>
      <c r="BG36" s="20" t="s">
        <v>2178</v>
      </c>
      <c r="BH36" s="37">
        <v>1.31</v>
      </c>
      <c r="BI36" s="193">
        <f t="shared" si="16"/>
        <v>1.6167849429188526</v>
      </c>
      <c r="BJ36" s="37" t="s">
        <v>179</v>
      </c>
      <c r="BK36" s="38" t="s">
        <v>2179</v>
      </c>
      <c r="BL36" s="17">
        <v>0.89</v>
      </c>
      <c r="BM36" s="183">
        <f t="shared" si="17"/>
        <v>1.0984264116013578</v>
      </c>
      <c r="BN36" s="17" t="s">
        <v>66</v>
      </c>
      <c r="BO36" s="40"/>
      <c r="BP36" s="17">
        <v>0.71</v>
      </c>
      <c r="BQ36" s="145">
        <f t="shared" si="18"/>
        <v>0.87627275532243143</v>
      </c>
      <c r="BR36" s="17" t="s">
        <v>46</v>
      </c>
      <c r="BS36" s="41"/>
      <c r="BT36" s="37">
        <v>0.75</v>
      </c>
      <c r="BU36" s="652">
        <f t="shared" si="19"/>
        <v>0.92564023449552613</v>
      </c>
      <c r="BV36" s="46" t="s">
        <v>42</v>
      </c>
      <c r="BW36" s="23" t="s">
        <v>2180</v>
      </c>
      <c r="BX36" s="17">
        <v>0.57999999999999996</v>
      </c>
      <c r="BY36" s="291">
        <f t="shared" si="20"/>
        <v>0.71582844800987355</v>
      </c>
      <c r="BZ36" s="17" t="s">
        <v>42</v>
      </c>
      <c r="CA36" s="20" t="s">
        <v>2181</v>
      </c>
      <c r="CB36" s="37">
        <v>0.9</v>
      </c>
      <c r="CC36" s="263">
        <f t="shared" si="21"/>
        <v>1.1107682813946314</v>
      </c>
      <c r="CD36" s="46" t="s">
        <v>42</v>
      </c>
      <c r="CE36" s="23" t="s">
        <v>2182</v>
      </c>
      <c r="CF36" s="17">
        <v>0.52</v>
      </c>
      <c r="CG36" s="289">
        <f t="shared" si="22"/>
        <v>0.64177722925023151</v>
      </c>
      <c r="CH36" s="17" t="s">
        <v>48</v>
      </c>
      <c r="CI36" s="20" t="s">
        <v>2183</v>
      </c>
      <c r="CJ36" s="37">
        <v>0.06</v>
      </c>
      <c r="CK36" s="672">
        <f t="shared" si="23"/>
        <v>7.4051218759642087E-2</v>
      </c>
      <c r="CL36" s="46" t="s">
        <v>70</v>
      </c>
      <c r="CM36" s="23" t="s">
        <v>2184</v>
      </c>
      <c r="CN36" s="17">
        <v>0.89</v>
      </c>
      <c r="CO36" s="183">
        <f t="shared" si="24"/>
        <v>1.0984264116013578</v>
      </c>
      <c r="CP36" s="17" t="s">
        <v>42</v>
      </c>
      <c r="CQ36" s="20" t="s">
        <v>2185</v>
      </c>
      <c r="CR36" s="37">
        <v>0.56999999999999995</v>
      </c>
      <c r="CS36" s="198">
        <f t="shared" si="25"/>
        <v>0.70348657821659988</v>
      </c>
      <c r="CT36" s="21" t="s">
        <v>356</v>
      </c>
      <c r="CU36" s="23" t="s">
        <v>2186</v>
      </c>
      <c r="CV36" s="17">
        <v>0.81</v>
      </c>
      <c r="CW36" s="231">
        <f t="shared" si="26"/>
        <v>0.99969145325516828</v>
      </c>
      <c r="CX36" s="17" t="s">
        <v>108</v>
      </c>
      <c r="CY36" s="20" t="s">
        <v>2187</v>
      </c>
      <c r="CZ36" s="37">
        <v>0.71</v>
      </c>
      <c r="DA36" s="145">
        <f t="shared" si="27"/>
        <v>0.87627275532243143</v>
      </c>
      <c r="DB36" s="21" t="s">
        <v>1994</v>
      </c>
      <c r="DC36" s="23" t="s">
        <v>2188</v>
      </c>
      <c r="DD36" s="17">
        <v>0.79</v>
      </c>
      <c r="DE36" s="186">
        <f t="shared" si="28"/>
        <v>0.97500771366862093</v>
      </c>
      <c r="DF36" s="17" t="s">
        <v>108</v>
      </c>
      <c r="DG36" s="20" t="s">
        <v>2189</v>
      </c>
      <c r="DH36" s="37">
        <v>0.79</v>
      </c>
      <c r="DI36" s="186">
        <f t="shared" si="29"/>
        <v>0.97500771366862093</v>
      </c>
      <c r="DJ36" s="21" t="s">
        <v>42</v>
      </c>
      <c r="DK36" s="28"/>
      <c r="DL36" s="17">
        <v>0.2</v>
      </c>
      <c r="DM36" s="238">
        <f t="shared" si="30"/>
        <v>0.24683739586547365</v>
      </c>
      <c r="DN36" s="17" t="s">
        <v>42</v>
      </c>
      <c r="DO36" s="51" t="s">
        <v>2124</v>
      </c>
      <c r="DP36" s="21">
        <v>1.02</v>
      </c>
      <c r="DQ36" s="332">
        <f t="shared" si="31"/>
        <v>1.2588707189139157</v>
      </c>
      <c r="DR36" s="53" t="s">
        <v>108</v>
      </c>
      <c r="DS36" s="54" t="s">
        <v>2190</v>
      </c>
      <c r="DT36" s="53">
        <v>0.48</v>
      </c>
      <c r="DU36" s="494">
        <f t="shared" si="32"/>
        <v>0.5924097500771367</v>
      </c>
      <c r="DV36" s="56" t="s">
        <v>48</v>
      </c>
      <c r="DW36" s="57" t="s">
        <v>2191</v>
      </c>
      <c r="DX36" s="53">
        <v>0.5</v>
      </c>
      <c r="DY36" s="480">
        <f t="shared" si="33"/>
        <v>0.61709348966368416</v>
      </c>
      <c r="DZ36" s="53" t="s">
        <v>48</v>
      </c>
      <c r="EA36" s="54" t="s">
        <v>2191</v>
      </c>
      <c r="EB36" s="56">
        <v>0.5</v>
      </c>
      <c r="EC36" s="480">
        <f t="shared" si="34"/>
        <v>0.61709348966368416</v>
      </c>
      <c r="ED36" s="56" t="s">
        <v>42</v>
      </c>
      <c r="EE36" s="57" t="s">
        <v>2192</v>
      </c>
      <c r="EF36" s="53">
        <v>0.51</v>
      </c>
      <c r="EG36" s="215">
        <f t="shared" si="35"/>
        <v>0.62943535945695783</v>
      </c>
      <c r="EH36" s="53" t="s">
        <v>42</v>
      </c>
      <c r="EI36" s="57" t="s">
        <v>2193</v>
      </c>
      <c r="EJ36" s="53">
        <v>1.19</v>
      </c>
      <c r="EK36" s="371">
        <f t="shared" si="36"/>
        <v>1.468682505399568</v>
      </c>
      <c r="EL36" s="56" t="s">
        <v>42</v>
      </c>
      <c r="EM36" s="57" t="s">
        <v>2194</v>
      </c>
      <c r="EN36" s="53">
        <v>1.1399999999999999</v>
      </c>
      <c r="EO36" s="105">
        <f t="shared" si="37"/>
        <v>1.4069731564331998</v>
      </c>
      <c r="EP36" s="53" t="s">
        <v>48</v>
      </c>
      <c r="EQ36" s="23" t="s">
        <v>2195</v>
      </c>
      <c r="ER36" s="53">
        <v>0.61</v>
      </c>
      <c r="ES36" s="242">
        <f t="shared" si="38"/>
        <v>0.75285405738969458</v>
      </c>
      <c r="ET36" s="53" t="s">
        <v>48</v>
      </c>
      <c r="EU36" s="20" t="s">
        <v>2196</v>
      </c>
      <c r="EV36" s="53">
        <v>1.1299999999999999</v>
      </c>
      <c r="EW36" s="670">
        <f t="shared" si="39"/>
        <v>1.394631286639926</v>
      </c>
      <c r="EX36" s="21" t="s">
        <v>48</v>
      </c>
      <c r="EY36" s="57" t="s">
        <v>2197</v>
      </c>
      <c r="EZ36" s="53">
        <v>0.9</v>
      </c>
      <c r="FA36" s="263">
        <f t="shared" si="40"/>
        <v>1.1107682813946314</v>
      </c>
      <c r="FB36" s="40"/>
      <c r="FC36" s="40"/>
      <c r="FD36" s="53">
        <v>1.23</v>
      </c>
      <c r="FE36" s="673">
        <f t="shared" si="41"/>
        <v>1.5180499845726629</v>
      </c>
      <c r="FF36" s="21" t="s">
        <v>42</v>
      </c>
      <c r="FG36" s="64"/>
      <c r="FH36" s="17">
        <v>1.05</v>
      </c>
      <c r="FI36" s="339">
        <f t="shared" si="42"/>
        <v>1.2958963282937368</v>
      </c>
      <c r="FJ36" s="17" t="s">
        <v>46</v>
      </c>
      <c r="FK36" s="51" t="s">
        <v>2198</v>
      </c>
      <c r="FL36" s="17">
        <v>0.95</v>
      </c>
      <c r="FM36" s="271">
        <f t="shared" si="43"/>
        <v>1.1724776303609998</v>
      </c>
      <c r="FN36" s="21" t="s">
        <v>42</v>
      </c>
      <c r="FO36" s="51" t="s">
        <v>2199</v>
      </c>
      <c r="FP36" s="17">
        <v>0.5</v>
      </c>
      <c r="FQ36" s="480">
        <f t="shared" si="44"/>
        <v>0.61709348966368416</v>
      </c>
      <c r="FR36" s="17" t="s">
        <v>285</v>
      </c>
      <c r="FS36" s="51" t="s">
        <v>2135</v>
      </c>
      <c r="FT36" s="17">
        <v>1.05</v>
      </c>
      <c r="FU36" s="339">
        <f t="shared" si="45"/>
        <v>1.2958963282937368</v>
      </c>
      <c r="FV36" s="17" t="s">
        <v>46</v>
      </c>
      <c r="FW36" s="51" t="s">
        <v>2200</v>
      </c>
      <c r="FX36" s="17">
        <v>1.21</v>
      </c>
      <c r="FY36" s="114">
        <f t="shared" si="46"/>
        <v>1.4933662449861156</v>
      </c>
      <c r="FZ36" s="17" t="s">
        <v>48</v>
      </c>
      <c r="GA36" s="51" t="s">
        <v>2201</v>
      </c>
      <c r="GB36" s="53">
        <v>0.64</v>
      </c>
      <c r="GC36" s="545">
        <f t="shared" si="47"/>
        <v>0.78987966676951571</v>
      </c>
      <c r="GD36" s="21" t="s">
        <v>70</v>
      </c>
      <c r="GE36" s="63"/>
      <c r="GF36" s="17">
        <v>0.85</v>
      </c>
      <c r="GG36" s="153">
        <f t="shared" si="48"/>
        <v>1.0490589324282629</v>
      </c>
      <c r="GH36" s="17" t="s">
        <v>414</v>
      </c>
      <c r="GI36" s="51" t="s">
        <v>2202</v>
      </c>
      <c r="GJ36" s="17">
        <v>1.1399999999999999</v>
      </c>
      <c r="GK36" s="105">
        <f t="shared" si="49"/>
        <v>1.4069731564331998</v>
      </c>
      <c r="GL36" s="17" t="s">
        <v>70</v>
      </c>
      <c r="GM36" s="274"/>
      <c r="GN36" s="17">
        <v>0.52</v>
      </c>
      <c r="GO36" s="289">
        <f t="shared" si="50"/>
        <v>0.64177722925023151</v>
      </c>
      <c r="GP36" s="17" t="s">
        <v>70</v>
      </c>
      <c r="GQ36" s="51" t="s">
        <v>2203</v>
      </c>
      <c r="GR36" s="17">
        <v>0.84</v>
      </c>
      <c r="GS36" s="206">
        <f t="shared" si="51"/>
        <v>1.0367170626349893</v>
      </c>
      <c r="GT36" s="17" t="s">
        <v>70</v>
      </c>
      <c r="GU36" s="51" t="s">
        <v>2204</v>
      </c>
      <c r="GV36" s="17">
        <v>1.02</v>
      </c>
      <c r="GW36" s="332">
        <f t="shared" si="52"/>
        <v>1.2588707189139157</v>
      </c>
      <c r="GX36" s="17" t="s">
        <v>1620</v>
      </c>
      <c r="GY36" s="67" t="s">
        <v>2205</v>
      </c>
      <c r="GZ36" s="17">
        <v>0.57999999999999996</v>
      </c>
      <c r="HA36" s="291">
        <f t="shared" si="53"/>
        <v>0.71582844800987355</v>
      </c>
      <c r="HB36" s="17" t="s">
        <v>48</v>
      </c>
      <c r="HC36" s="20" t="s">
        <v>2206</v>
      </c>
      <c r="HD36" s="17">
        <v>0.81</v>
      </c>
      <c r="HE36" s="231">
        <f t="shared" si="54"/>
        <v>0.99969145325516828</v>
      </c>
      <c r="HF36" s="17" t="s">
        <v>48</v>
      </c>
      <c r="HG36" s="20" t="s">
        <v>2207</v>
      </c>
      <c r="HH36" s="17">
        <v>0.85</v>
      </c>
      <c r="HI36" s="153">
        <f t="shared" si="55"/>
        <v>1.0490589324282629</v>
      </c>
      <c r="HJ36" s="17" t="s">
        <v>42</v>
      </c>
      <c r="HK36" s="20" t="s">
        <v>2208</v>
      </c>
      <c r="HL36" s="17">
        <v>0.85</v>
      </c>
      <c r="HM36" s="153">
        <f t="shared" si="56"/>
        <v>1.0490589324282629</v>
      </c>
      <c r="HN36" s="17" t="s">
        <v>48</v>
      </c>
      <c r="HO36" s="20" t="s">
        <v>2145</v>
      </c>
      <c r="HP36" s="17">
        <v>0.67</v>
      </c>
      <c r="HQ36" s="629">
        <f t="shared" si="57"/>
        <v>0.82690527614933673</v>
      </c>
      <c r="HR36" s="17" t="s">
        <v>42</v>
      </c>
      <c r="HS36" s="73" t="s">
        <v>2209</v>
      </c>
      <c r="HT36" s="17">
        <v>1.19</v>
      </c>
      <c r="HU36" s="371">
        <f t="shared" si="58"/>
        <v>1.468682505399568</v>
      </c>
      <c r="HV36" s="17" t="s">
        <v>70</v>
      </c>
      <c r="HW36" s="75" t="s">
        <v>2210</v>
      </c>
      <c r="HX36" s="17">
        <v>0.68</v>
      </c>
      <c r="HY36" s="78">
        <f t="shared" si="59"/>
        <v>0.83924714594261041</v>
      </c>
      <c r="HZ36" s="21" t="s">
        <v>42</v>
      </c>
      <c r="IA36" s="75" t="s">
        <v>2211</v>
      </c>
      <c r="IB36" s="17">
        <v>0.7</v>
      </c>
      <c r="IC36" s="461">
        <f t="shared" si="60"/>
        <v>0.86393088552915775</v>
      </c>
      <c r="ID36" s="17" t="s">
        <v>70</v>
      </c>
      <c r="IE36" s="51" t="s">
        <v>2212</v>
      </c>
      <c r="IF36" s="17">
        <v>0.61</v>
      </c>
      <c r="IG36" s="242">
        <f t="shared" si="61"/>
        <v>0.75285405738969458</v>
      </c>
      <c r="IH36" s="17" t="s">
        <v>46</v>
      </c>
      <c r="II36" s="67" t="s">
        <v>2213</v>
      </c>
      <c r="IJ36" s="17">
        <v>0.9</v>
      </c>
      <c r="IK36" s="263">
        <f t="shared" si="62"/>
        <v>1.1107682813946314</v>
      </c>
      <c r="IL36" s="17" t="s">
        <v>48</v>
      </c>
      <c r="IM36" s="51" t="s">
        <v>2214</v>
      </c>
      <c r="IN36" s="236">
        <v>0.87</v>
      </c>
      <c r="IO36" s="265">
        <f t="shared" si="63"/>
        <v>1.0737426720148104</v>
      </c>
      <c r="IP36" s="17" t="s">
        <v>46</v>
      </c>
      <c r="IQ36" s="51" t="s">
        <v>2215</v>
      </c>
      <c r="IR36" s="17">
        <v>1.1499999999999999</v>
      </c>
      <c r="IS36" s="52">
        <f t="shared" si="64"/>
        <v>1.4193150262264733</v>
      </c>
      <c r="IT36" s="17" t="s">
        <v>42</v>
      </c>
      <c r="IU36" s="75" t="s">
        <v>2216</v>
      </c>
      <c r="IV36" s="17">
        <v>0.44</v>
      </c>
      <c r="IW36" s="449">
        <f t="shared" si="65"/>
        <v>0.543042270904042</v>
      </c>
      <c r="IX36" s="17" t="s">
        <v>46</v>
      </c>
      <c r="IY36" s="51" t="s">
        <v>2153</v>
      </c>
      <c r="IZ36" s="17">
        <v>0.94</v>
      </c>
      <c r="JA36" s="139">
        <f t="shared" si="66"/>
        <v>1.160135760567726</v>
      </c>
      <c r="JB36" s="17" t="s">
        <v>48</v>
      </c>
      <c r="JC36" s="51" t="s">
        <v>2217</v>
      </c>
      <c r="JD36" s="17">
        <v>0.83</v>
      </c>
      <c r="JE36" s="368">
        <f t="shared" si="67"/>
        <v>1.0243751928417155</v>
      </c>
      <c r="JF36" s="17" t="s">
        <v>46</v>
      </c>
      <c r="JG36" s="51" t="s">
        <v>2218</v>
      </c>
      <c r="JH36" s="17">
        <v>0.64</v>
      </c>
      <c r="JI36" s="545">
        <f t="shared" si="68"/>
        <v>0.78987966676951571</v>
      </c>
      <c r="JJ36" s="17" t="s">
        <v>179</v>
      </c>
      <c r="JK36" s="51" t="s">
        <v>2219</v>
      </c>
      <c r="JL36" s="21">
        <v>0.4</v>
      </c>
      <c r="JM36" s="304">
        <f t="shared" si="69"/>
        <v>0.4936747917309473</v>
      </c>
      <c r="JN36" s="21" t="s">
        <v>42</v>
      </c>
      <c r="JO36" s="75" t="s">
        <v>2220</v>
      </c>
      <c r="JP36" s="21">
        <v>0.4</v>
      </c>
      <c r="JQ36" s="304">
        <f t="shared" si="70"/>
        <v>0.4936747917309473</v>
      </c>
      <c r="JR36" s="21" t="s">
        <v>108</v>
      </c>
      <c r="JS36" s="40"/>
      <c r="JT36" s="21">
        <v>0.52</v>
      </c>
      <c r="JU36" s="289">
        <f t="shared" si="71"/>
        <v>0.64177722925023151</v>
      </c>
      <c r="JV36" s="21" t="s">
        <v>70</v>
      </c>
      <c r="JW36" s="75" t="s">
        <v>2221</v>
      </c>
      <c r="JX36" s="17">
        <v>0.79</v>
      </c>
      <c r="JY36" s="186">
        <f t="shared" si="72"/>
        <v>0.97500771366862093</v>
      </c>
      <c r="JZ36" s="51" t="s">
        <v>48</v>
      </c>
      <c r="KA36" s="51" t="s">
        <v>2222</v>
      </c>
      <c r="KB36" s="21">
        <v>1.21</v>
      </c>
      <c r="KC36" s="114">
        <f t="shared" si="73"/>
        <v>1.4933662449861156</v>
      </c>
      <c r="KD36" s="75" t="s">
        <v>48</v>
      </c>
      <c r="KE36" s="75" t="s">
        <v>2223</v>
      </c>
      <c r="KF36" s="17">
        <v>0.6</v>
      </c>
      <c r="KG36" s="425">
        <f t="shared" si="74"/>
        <v>0.7405121875964209</v>
      </c>
      <c r="KH36" s="51" t="s">
        <v>48</v>
      </c>
      <c r="KI36" s="51" t="s">
        <v>2224</v>
      </c>
      <c r="KJ36" s="21">
        <v>0.67</v>
      </c>
      <c r="KK36" s="629">
        <f t="shared" si="75"/>
        <v>0.82690527614933673</v>
      </c>
      <c r="KL36" s="75" t="s">
        <v>42</v>
      </c>
      <c r="KM36" s="75" t="s">
        <v>2225</v>
      </c>
      <c r="KN36" s="17">
        <v>0.8</v>
      </c>
      <c r="KO36" s="61">
        <f t="shared" si="76"/>
        <v>0.98734958346189461</v>
      </c>
      <c r="KP36" s="51" t="s">
        <v>46</v>
      </c>
      <c r="KQ36" s="51" t="s">
        <v>2226</v>
      </c>
      <c r="KR36" s="21">
        <v>0.85</v>
      </c>
      <c r="KS36" s="153">
        <f t="shared" si="77"/>
        <v>1.0490589324282629</v>
      </c>
      <c r="KT36" s="75" t="s">
        <v>48</v>
      </c>
      <c r="KU36" s="75" t="s">
        <v>2227</v>
      </c>
      <c r="KV36" s="82">
        <v>0.88</v>
      </c>
      <c r="KW36" s="414">
        <f t="shared" si="78"/>
        <v>1.086084541808084</v>
      </c>
      <c r="KX36" s="51" t="s">
        <v>179</v>
      </c>
      <c r="KY36" s="51" t="s">
        <v>2228</v>
      </c>
      <c r="KZ36" s="83">
        <v>0.32</v>
      </c>
      <c r="LA36" s="161">
        <f t="shared" si="79"/>
        <v>0.39493983338475785</v>
      </c>
      <c r="LB36" s="75" t="s">
        <v>70</v>
      </c>
      <c r="LC36" s="75" t="s">
        <v>2229</v>
      </c>
      <c r="LD36" s="82">
        <v>0.82</v>
      </c>
      <c r="LE36" s="111">
        <f t="shared" si="80"/>
        <v>1.012033323048442</v>
      </c>
      <c r="LF36" s="51" t="s">
        <v>46</v>
      </c>
      <c r="LG36" s="51" t="s">
        <v>2230</v>
      </c>
      <c r="LH36" s="83">
        <v>0.46</v>
      </c>
      <c r="LI36" s="84"/>
      <c r="LJ36" s="85"/>
      <c r="LK36" s="85"/>
      <c r="LL36" s="86">
        <f t="shared" si="81"/>
        <v>0.81101265822784796</v>
      </c>
      <c r="LM36" s="86">
        <f t="shared" si="82"/>
        <v>0.92476978304978941</v>
      </c>
      <c r="LN36" s="86">
        <f t="shared" si="90"/>
        <v>1.0375831978328245</v>
      </c>
      <c r="LO36" s="86">
        <f t="shared" si="94"/>
        <v>0.92038903653888982</v>
      </c>
      <c r="LP36" s="86">
        <f t="shared" si="95"/>
        <v>6.8752334935069048E-2</v>
      </c>
      <c r="LQ36" s="87">
        <f t="shared" si="96"/>
        <v>0</v>
      </c>
      <c r="LR36" s="86">
        <f t="shared" si="97"/>
        <v>0.95650092305803824</v>
      </c>
      <c r="LS36" s="84">
        <v>1</v>
      </c>
      <c r="LT36" s="87">
        <f t="shared" si="100"/>
        <v>0</v>
      </c>
      <c r="LU36" s="87">
        <f t="shared" si="92"/>
        <v>2</v>
      </c>
      <c r="LV36" s="86">
        <f t="shared" si="98"/>
        <v>0.96</v>
      </c>
      <c r="LW36" s="519" t="s">
        <v>3811</v>
      </c>
      <c r="LX36" s="5" t="str">
        <f t="shared" si="87"/>
        <v/>
      </c>
      <c r="LY36" s="5" t="str">
        <f t="shared" si="102"/>
        <v/>
      </c>
      <c r="LZ36" s="5"/>
      <c r="MA36" s="67" t="str">
        <f t="shared" si="99"/>
        <v>GIRO ESPORTE</v>
      </c>
      <c r="MB36" s="89" t="s">
        <v>3808</v>
      </c>
    </row>
    <row r="37" spans="1:340" x14ac:dyDescent="0.2">
      <c r="A37" s="16">
        <v>0.77361111111111114</v>
      </c>
      <c r="B37" s="674">
        <f t="shared" si="0"/>
        <v>0.82699999999999996</v>
      </c>
      <c r="C37" s="675">
        <f t="shared" si="1"/>
        <v>-9.3107617896009631E-2</v>
      </c>
      <c r="D37" s="17">
        <v>0.75</v>
      </c>
      <c r="E37" s="492">
        <f t="shared" si="2"/>
        <v>0.90689238210399037</v>
      </c>
      <c r="F37" s="17" t="s">
        <v>70</v>
      </c>
      <c r="G37" s="20" t="s">
        <v>2231</v>
      </c>
      <c r="H37" s="21">
        <v>0.94</v>
      </c>
      <c r="I37" s="443">
        <f t="shared" si="3"/>
        <v>1.1366384522370012</v>
      </c>
      <c r="J37" s="21" t="s">
        <v>42</v>
      </c>
      <c r="K37" s="23" t="s">
        <v>2232</v>
      </c>
      <c r="L37" s="17">
        <v>1.1299999999999999</v>
      </c>
      <c r="M37" s="645">
        <f t="shared" si="4"/>
        <v>1.366384522370012</v>
      </c>
      <c r="N37" s="17" t="s">
        <v>356</v>
      </c>
      <c r="O37" s="20" t="s">
        <v>2233</v>
      </c>
      <c r="P37" s="21">
        <v>0.86</v>
      </c>
      <c r="Q37" s="307">
        <f t="shared" si="5"/>
        <v>1.0399032648125757</v>
      </c>
      <c r="R37" s="21" t="s">
        <v>70</v>
      </c>
      <c r="S37" s="23" t="s">
        <v>2234</v>
      </c>
      <c r="T37" s="17">
        <v>0.74</v>
      </c>
      <c r="U37" s="108">
        <f t="shared" si="6"/>
        <v>0.89480048367593712</v>
      </c>
      <c r="V37" s="17" t="s">
        <v>46</v>
      </c>
      <c r="W37" s="5"/>
      <c r="X37" s="21">
        <v>0.97</v>
      </c>
      <c r="Y37" s="560">
        <f t="shared" si="7"/>
        <v>1.1729141475211609</v>
      </c>
      <c r="Z37" s="21" t="s">
        <v>70</v>
      </c>
      <c r="AA37" s="28"/>
      <c r="AB37" s="17">
        <v>1</v>
      </c>
      <c r="AC37" s="625">
        <f t="shared" si="8"/>
        <v>1.2091898428053205</v>
      </c>
      <c r="AD37" s="17" t="s">
        <v>42</v>
      </c>
      <c r="AE37" s="20" t="s">
        <v>2235</v>
      </c>
      <c r="AF37" s="21">
        <v>0.76</v>
      </c>
      <c r="AG37" s="110">
        <f t="shared" si="9"/>
        <v>0.91898428053204362</v>
      </c>
      <c r="AH37" s="21" t="s">
        <v>42</v>
      </c>
      <c r="AI37" s="23" t="s">
        <v>2236</v>
      </c>
      <c r="AJ37" s="17">
        <v>1.01</v>
      </c>
      <c r="AK37" s="48">
        <f t="shared" si="10"/>
        <v>1.2212817412333736</v>
      </c>
      <c r="AL37" s="17" t="s">
        <v>42</v>
      </c>
      <c r="AM37" s="20" t="s">
        <v>2237</v>
      </c>
      <c r="AN37" s="21">
        <v>1.4</v>
      </c>
      <c r="AO37" s="617">
        <f t="shared" si="11"/>
        <v>1.6928657799274487</v>
      </c>
      <c r="AP37" s="21" t="s">
        <v>42</v>
      </c>
      <c r="AQ37" s="23" t="s">
        <v>2238</v>
      </c>
      <c r="AR37" s="17">
        <v>0.96</v>
      </c>
      <c r="AS37" s="205">
        <f t="shared" si="12"/>
        <v>1.1608222490931077</v>
      </c>
      <c r="AT37" s="17" t="s">
        <v>48</v>
      </c>
      <c r="AU37" s="20" t="s">
        <v>2239</v>
      </c>
      <c r="AV37" s="21">
        <v>1.1100000000000001</v>
      </c>
      <c r="AW37" s="229">
        <f t="shared" si="13"/>
        <v>1.3422007255139059</v>
      </c>
      <c r="AX37" s="21" t="s">
        <v>108</v>
      </c>
      <c r="AY37" s="23" t="s">
        <v>2240</v>
      </c>
      <c r="AZ37" s="17">
        <v>1.18</v>
      </c>
      <c r="BA37" s="112">
        <f t="shared" si="14"/>
        <v>1.4268440145102781</v>
      </c>
      <c r="BB37" s="17" t="s">
        <v>42</v>
      </c>
      <c r="BC37" s="20" t="s">
        <v>2241</v>
      </c>
      <c r="BD37" s="17">
        <v>1.1000000000000001</v>
      </c>
      <c r="BE37" s="488">
        <f t="shared" si="15"/>
        <v>1.3301088270858528</v>
      </c>
      <c r="BF37" s="17" t="s">
        <v>70</v>
      </c>
      <c r="BG37" s="20" t="s">
        <v>2242</v>
      </c>
      <c r="BH37" s="37">
        <v>1.37</v>
      </c>
      <c r="BI37" s="565">
        <f t="shared" si="16"/>
        <v>1.6565900846432893</v>
      </c>
      <c r="BJ37" s="37" t="s">
        <v>179</v>
      </c>
      <c r="BK37" s="38" t="s">
        <v>2243</v>
      </c>
      <c r="BL37" s="17">
        <v>0.82</v>
      </c>
      <c r="BM37" s="122">
        <f t="shared" si="17"/>
        <v>0.99153567110036278</v>
      </c>
      <c r="BN37" s="17" t="s">
        <v>48</v>
      </c>
      <c r="BO37" s="40"/>
      <c r="BP37" s="17">
        <v>0.71</v>
      </c>
      <c r="BQ37" s="272">
        <f t="shared" si="18"/>
        <v>0.85852478839177748</v>
      </c>
      <c r="BR37" s="17" t="s">
        <v>46</v>
      </c>
      <c r="BS37" s="41"/>
      <c r="BT37" s="37">
        <v>0.81</v>
      </c>
      <c r="BU37" s="389">
        <f t="shared" si="19"/>
        <v>0.97944377267230964</v>
      </c>
      <c r="BV37" s="46" t="s">
        <v>42</v>
      </c>
      <c r="BW37" s="23" t="s">
        <v>2244</v>
      </c>
      <c r="BX37" s="17">
        <v>0.57999999999999996</v>
      </c>
      <c r="BY37" s="154">
        <f t="shared" si="20"/>
        <v>0.7013301088270858</v>
      </c>
      <c r="BZ37" s="17" t="s">
        <v>42</v>
      </c>
      <c r="CA37" s="20" t="s">
        <v>2245</v>
      </c>
      <c r="CB37" s="37">
        <v>0.97</v>
      </c>
      <c r="CC37" s="560">
        <f t="shared" si="21"/>
        <v>1.1729141475211609</v>
      </c>
      <c r="CD37" s="46" t="s">
        <v>42</v>
      </c>
      <c r="CE37" s="23" t="s">
        <v>2246</v>
      </c>
      <c r="CF37" s="17">
        <v>0.52</v>
      </c>
      <c r="CG37" s="215">
        <f t="shared" si="22"/>
        <v>0.62877871825876663</v>
      </c>
      <c r="CH37" s="17" t="s">
        <v>46</v>
      </c>
      <c r="CI37" s="20" t="s">
        <v>2247</v>
      </c>
      <c r="CJ37" s="37">
        <v>0.2</v>
      </c>
      <c r="CK37" s="676">
        <f t="shared" si="23"/>
        <v>0.24183796856106413</v>
      </c>
      <c r="CL37" s="46" t="s">
        <v>70</v>
      </c>
      <c r="CM37" s="23" t="s">
        <v>2248</v>
      </c>
      <c r="CN37" s="17">
        <v>0.89</v>
      </c>
      <c r="CO37" s="176">
        <f t="shared" si="24"/>
        <v>1.0761789600967353</v>
      </c>
      <c r="CP37" s="17" t="s">
        <v>42</v>
      </c>
      <c r="CQ37" s="20" t="s">
        <v>2249</v>
      </c>
      <c r="CR37" s="37">
        <v>0.5</v>
      </c>
      <c r="CS37" s="247">
        <f t="shared" si="25"/>
        <v>0.60459492140266025</v>
      </c>
      <c r="CT37" s="21" t="s">
        <v>356</v>
      </c>
      <c r="CU37" s="23" t="s">
        <v>2250</v>
      </c>
      <c r="CV37" s="17">
        <v>0.81</v>
      </c>
      <c r="CW37" s="389">
        <f t="shared" si="26"/>
        <v>0.97944377267230964</v>
      </c>
      <c r="CX37" s="17" t="s">
        <v>108</v>
      </c>
      <c r="CY37" s="20" t="s">
        <v>2251</v>
      </c>
      <c r="CZ37" s="37">
        <v>0.77</v>
      </c>
      <c r="DA37" s="191">
        <f t="shared" si="27"/>
        <v>0.93107617896009676</v>
      </c>
      <c r="DB37" s="21" t="s">
        <v>1994</v>
      </c>
      <c r="DC37" s="23" t="s">
        <v>2252</v>
      </c>
      <c r="DD37" s="17">
        <v>0.84</v>
      </c>
      <c r="DE37" s="200">
        <f t="shared" si="28"/>
        <v>1.0157194679564692</v>
      </c>
      <c r="DF37" s="17" t="s">
        <v>108</v>
      </c>
      <c r="DG37" s="20" t="s">
        <v>2253</v>
      </c>
      <c r="DH37" s="37">
        <v>0.91</v>
      </c>
      <c r="DI37" s="183">
        <f t="shared" si="29"/>
        <v>1.1003627569528416</v>
      </c>
      <c r="DJ37" s="21" t="s">
        <v>42</v>
      </c>
      <c r="DK37" s="28"/>
      <c r="DL37" s="17">
        <v>0.2</v>
      </c>
      <c r="DM37" s="676">
        <f t="shared" si="30"/>
        <v>0.24183796856106413</v>
      </c>
      <c r="DN37" s="17" t="s">
        <v>70</v>
      </c>
      <c r="DO37" s="51" t="s">
        <v>2254</v>
      </c>
      <c r="DP37" s="21">
        <v>1.02</v>
      </c>
      <c r="DQ37" s="458">
        <f t="shared" si="31"/>
        <v>1.233373639661427</v>
      </c>
      <c r="DR37" s="53" t="s">
        <v>48</v>
      </c>
      <c r="DS37" s="54" t="s">
        <v>2255</v>
      </c>
      <c r="DT37" s="53">
        <v>0.48</v>
      </c>
      <c r="DU37" s="184">
        <f t="shared" si="32"/>
        <v>0.58041112454655386</v>
      </c>
      <c r="DV37" s="56" t="s">
        <v>48</v>
      </c>
      <c r="DW37" s="57" t="s">
        <v>2191</v>
      </c>
      <c r="DX37" s="53">
        <v>0.63</v>
      </c>
      <c r="DY37" s="356">
        <f t="shared" si="33"/>
        <v>0.76178960096735193</v>
      </c>
      <c r="DZ37" s="53" t="s">
        <v>48</v>
      </c>
      <c r="EA37" s="54" t="s">
        <v>2191</v>
      </c>
      <c r="EB37" s="56">
        <v>0.5</v>
      </c>
      <c r="EC37" s="247">
        <f t="shared" si="34"/>
        <v>0.60459492140266025</v>
      </c>
      <c r="ED37" s="56" t="s">
        <v>48</v>
      </c>
      <c r="EE37" s="57" t="s">
        <v>2256</v>
      </c>
      <c r="EF37" s="53">
        <v>0.51</v>
      </c>
      <c r="EG37" s="480">
        <f t="shared" si="35"/>
        <v>0.6166868198307135</v>
      </c>
      <c r="EH37" s="53" t="s">
        <v>42</v>
      </c>
      <c r="EI37" s="57" t="s">
        <v>2193</v>
      </c>
      <c r="EJ37" s="53">
        <v>1.1299999999999999</v>
      </c>
      <c r="EK37" s="645">
        <f t="shared" si="36"/>
        <v>1.366384522370012</v>
      </c>
      <c r="EL37" s="56" t="s">
        <v>179</v>
      </c>
      <c r="EM37" s="57" t="s">
        <v>2257</v>
      </c>
      <c r="EN37" s="53">
        <v>1.1399999999999999</v>
      </c>
      <c r="EO37" s="152">
        <f t="shared" si="37"/>
        <v>1.3784764207980653</v>
      </c>
      <c r="EP37" s="53" t="s">
        <v>48</v>
      </c>
      <c r="EQ37" s="23" t="s">
        <v>2258</v>
      </c>
      <c r="ER37" s="53">
        <v>0.67</v>
      </c>
      <c r="ES37" s="159">
        <f t="shared" si="38"/>
        <v>0.81015719467956482</v>
      </c>
      <c r="ET37" s="53" t="s">
        <v>48</v>
      </c>
      <c r="EU37" s="20" t="s">
        <v>2259</v>
      </c>
      <c r="EV37" s="53">
        <v>1.1299999999999999</v>
      </c>
      <c r="EW37" s="645">
        <f t="shared" si="39"/>
        <v>1.366384522370012</v>
      </c>
      <c r="EX37" s="21" t="s">
        <v>42</v>
      </c>
      <c r="EY37" s="57" t="s">
        <v>2260</v>
      </c>
      <c r="EZ37" s="53">
        <v>1.02</v>
      </c>
      <c r="FA37" s="458">
        <f t="shared" si="40"/>
        <v>1.233373639661427</v>
      </c>
      <c r="FB37" s="40"/>
      <c r="FC37" s="40"/>
      <c r="FD37" s="53">
        <v>1.1599999999999999</v>
      </c>
      <c r="FE37" s="105">
        <f t="shared" si="41"/>
        <v>1.4026602176541716</v>
      </c>
      <c r="FF37" s="21" t="s">
        <v>42</v>
      </c>
      <c r="FG37" s="64"/>
      <c r="FH37" s="17">
        <v>1.05</v>
      </c>
      <c r="FI37" s="261">
        <f t="shared" si="42"/>
        <v>1.2696493349455866</v>
      </c>
      <c r="FJ37" s="17" t="s">
        <v>46</v>
      </c>
      <c r="FK37" s="51" t="s">
        <v>2261</v>
      </c>
      <c r="FL37" s="17">
        <v>0.95</v>
      </c>
      <c r="FM37" s="131">
        <f t="shared" si="43"/>
        <v>1.1487303506650544</v>
      </c>
      <c r="FN37" s="21" t="s">
        <v>48</v>
      </c>
      <c r="FO37" s="51" t="s">
        <v>2262</v>
      </c>
      <c r="FP37" s="17">
        <v>0.5</v>
      </c>
      <c r="FQ37" s="247">
        <f t="shared" si="44"/>
        <v>0.60459492140266025</v>
      </c>
      <c r="FR37" s="17" t="s">
        <v>285</v>
      </c>
      <c r="FS37" s="51" t="s">
        <v>2263</v>
      </c>
      <c r="FT37" s="17">
        <v>0.97</v>
      </c>
      <c r="FU37" s="560">
        <f t="shared" si="45"/>
        <v>1.1729141475211609</v>
      </c>
      <c r="FV37" s="17" t="s">
        <v>46</v>
      </c>
      <c r="FW37" s="51" t="s">
        <v>2136</v>
      </c>
      <c r="FX37" s="17">
        <v>1.34</v>
      </c>
      <c r="FY37" s="677">
        <f t="shared" si="46"/>
        <v>1.6203143893591296</v>
      </c>
      <c r="FZ37" s="17" t="s">
        <v>46</v>
      </c>
      <c r="GA37" s="51" t="s">
        <v>2264</v>
      </c>
      <c r="GB37" s="53">
        <v>0.71</v>
      </c>
      <c r="GC37" s="272">
        <f t="shared" si="47"/>
        <v>0.85852478839177748</v>
      </c>
      <c r="GD37" s="21" t="s">
        <v>70</v>
      </c>
      <c r="GE37" s="63"/>
      <c r="GF37" s="17">
        <v>0.91</v>
      </c>
      <c r="GG37" s="183">
        <f t="shared" si="48"/>
        <v>1.1003627569528416</v>
      </c>
      <c r="GH37" s="17" t="s">
        <v>42</v>
      </c>
      <c r="GI37" s="51" t="s">
        <v>2265</v>
      </c>
      <c r="GJ37" s="17">
        <v>1.07</v>
      </c>
      <c r="GK37" s="339">
        <f t="shared" si="49"/>
        <v>1.2938331318016929</v>
      </c>
      <c r="GL37" s="17" t="s">
        <v>42</v>
      </c>
      <c r="GM37" s="67" t="s">
        <v>2266</v>
      </c>
      <c r="GN37" s="17">
        <v>0.59</v>
      </c>
      <c r="GO37" s="129">
        <f t="shared" si="50"/>
        <v>0.71342200725513905</v>
      </c>
      <c r="GP37" s="17" t="s">
        <v>70</v>
      </c>
      <c r="GQ37" s="51" t="s">
        <v>2267</v>
      </c>
      <c r="GR37" s="17">
        <v>0.83</v>
      </c>
      <c r="GS37" s="17">
        <f t="shared" si="51"/>
        <v>1.003627569528416</v>
      </c>
      <c r="GT37" s="17" t="s">
        <v>70</v>
      </c>
      <c r="GU37" s="51" t="s">
        <v>2268</v>
      </c>
      <c r="GV37" s="17">
        <v>0.96</v>
      </c>
      <c r="GW37" s="205">
        <f t="shared" si="52"/>
        <v>1.1608222490931077</v>
      </c>
      <c r="GX37" s="17" t="s">
        <v>48</v>
      </c>
      <c r="GY37" s="67" t="s">
        <v>2269</v>
      </c>
      <c r="GZ37" s="17">
        <v>0.57999999999999996</v>
      </c>
      <c r="HA37" s="154">
        <f t="shared" si="53"/>
        <v>0.7013301088270858</v>
      </c>
      <c r="HB37" s="17" t="s">
        <v>48</v>
      </c>
      <c r="HC37" s="20" t="s">
        <v>2270</v>
      </c>
      <c r="HD37" s="17">
        <v>0.92</v>
      </c>
      <c r="HE37" s="263">
        <f t="shared" si="54"/>
        <v>1.1124546553808949</v>
      </c>
      <c r="HF37" s="17" t="s">
        <v>46</v>
      </c>
      <c r="HG37" s="20" t="s">
        <v>2271</v>
      </c>
      <c r="HH37" s="17">
        <v>0.85</v>
      </c>
      <c r="HI37" s="141">
        <f t="shared" si="55"/>
        <v>1.0278113663845223</v>
      </c>
      <c r="HJ37" s="164" t="s">
        <v>42</v>
      </c>
      <c r="HK37" s="20" t="s">
        <v>2272</v>
      </c>
      <c r="HL37" s="17">
        <v>0.78</v>
      </c>
      <c r="HM37" s="121">
        <f t="shared" si="56"/>
        <v>0.94316807738815001</v>
      </c>
      <c r="HN37" s="17" t="s">
        <v>48</v>
      </c>
      <c r="HO37" s="20" t="s">
        <v>2273</v>
      </c>
      <c r="HP37" s="17">
        <v>0.8</v>
      </c>
      <c r="HQ37" s="433">
        <f t="shared" si="57"/>
        <v>0.9673518742442565</v>
      </c>
      <c r="HR37" s="17" t="s">
        <v>42</v>
      </c>
      <c r="HS37" s="73" t="s">
        <v>2274</v>
      </c>
      <c r="HT37" s="17">
        <v>1.26</v>
      </c>
      <c r="HU37" s="214">
        <f t="shared" si="58"/>
        <v>1.5235792019347039</v>
      </c>
      <c r="HV37" s="17" t="s">
        <v>70</v>
      </c>
      <c r="HW37" s="75" t="s">
        <v>2210</v>
      </c>
      <c r="HX37" s="17">
        <v>0.68</v>
      </c>
      <c r="HY37" s="378">
        <f t="shared" si="59"/>
        <v>0.82224909310761796</v>
      </c>
      <c r="HZ37" s="21" t="s">
        <v>42</v>
      </c>
      <c r="IA37" s="75" t="s">
        <v>2275</v>
      </c>
      <c r="IB37" s="17">
        <v>0.7</v>
      </c>
      <c r="IC37" s="497">
        <f t="shared" si="60"/>
        <v>0.84643288996372434</v>
      </c>
      <c r="ID37" s="17" t="s">
        <v>70</v>
      </c>
      <c r="IE37" s="51" t="s">
        <v>2276</v>
      </c>
      <c r="IF37" s="17">
        <v>0.61</v>
      </c>
      <c r="IG37" s="425">
        <f t="shared" si="61"/>
        <v>0.73760580411124543</v>
      </c>
      <c r="IH37" s="17" t="s">
        <v>46</v>
      </c>
      <c r="II37" s="67" t="s">
        <v>2277</v>
      </c>
      <c r="IJ37" s="17">
        <v>0.9</v>
      </c>
      <c r="IK37" s="444">
        <f t="shared" si="62"/>
        <v>1.0882708585247884</v>
      </c>
      <c r="IL37" s="17" t="s">
        <v>48</v>
      </c>
      <c r="IM37" s="51" t="s">
        <v>2278</v>
      </c>
      <c r="IN37" s="17">
        <v>0.87</v>
      </c>
      <c r="IO37" s="535">
        <f t="shared" si="63"/>
        <v>1.0519951632406288</v>
      </c>
      <c r="IP37" s="17" t="s">
        <v>46</v>
      </c>
      <c r="IQ37" s="51" t="s">
        <v>2279</v>
      </c>
      <c r="IR37" s="17">
        <v>1.04</v>
      </c>
      <c r="IS37" s="332">
        <f t="shared" si="64"/>
        <v>1.2575574365175333</v>
      </c>
      <c r="IT37" s="17" t="s">
        <v>42</v>
      </c>
      <c r="IU37" s="75" t="s">
        <v>2216</v>
      </c>
      <c r="IV37" s="17">
        <v>0.44</v>
      </c>
      <c r="IW37" s="380">
        <f t="shared" si="65"/>
        <v>0.53204353083434097</v>
      </c>
      <c r="IX37" s="17" t="s">
        <v>46</v>
      </c>
      <c r="IY37" s="51" t="s">
        <v>2280</v>
      </c>
      <c r="IZ37" s="17">
        <v>0.88</v>
      </c>
      <c r="JA37" s="334">
        <f t="shared" si="66"/>
        <v>1.0640870616686819</v>
      </c>
      <c r="JB37" s="17" t="s">
        <v>48</v>
      </c>
      <c r="JC37" s="51" t="s">
        <v>2281</v>
      </c>
      <c r="JD37" s="17">
        <v>0.97</v>
      </c>
      <c r="JE37" s="560">
        <f t="shared" si="67"/>
        <v>1.1729141475211609</v>
      </c>
      <c r="JF37" s="17" t="s">
        <v>46</v>
      </c>
      <c r="JG37" s="51" t="s">
        <v>2282</v>
      </c>
      <c r="JH37" s="17">
        <v>0.64</v>
      </c>
      <c r="JI37" s="217">
        <f t="shared" si="68"/>
        <v>0.77388149939540518</v>
      </c>
      <c r="JJ37" s="17" t="s">
        <v>179</v>
      </c>
      <c r="JK37" s="51" t="s">
        <v>2283</v>
      </c>
      <c r="JL37" s="21">
        <v>0.6</v>
      </c>
      <c r="JM37" s="203">
        <f t="shared" si="69"/>
        <v>0.7255139056831923</v>
      </c>
      <c r="JN37" s="21" t="s">
        <v>42</v>
      </c>
      <c r="JO37" s="75" t="s">
        <v>2284</v>
      </c>
      <c r="JP37" s="21">
        <v>0.4</v>
      </c>
      <c r="JQ37" s="123">
        <f t="shared" si="70"/>
        <v>0.48367593712212825</v>
      </c>
      <c r="JR37" s="21" t="s">
        <v>108</v>
      </c>
      <c r="JS37" s="40"/>
      <c r="JT37" s="21">
        <v>0.52</v>
      </c>
      <c r="JU37" s="215">
        <f t="shared" si="71"/>
        <v>0.62877871825876663</v>
      </c>
      <c r="JV37" s="21" t="s">
        <v>70</v>
      </c>
      <c r="JW37" s="75" t="s">
        <v>2285</v>
      </c>
      <c r="JX37" s="17">
        <v>0.91</v>
      </c>
      <c r="JY37" s="183">
        <f t="shared" si="72"/>
        <v>1.1003627569528416</v>
      </c>
      <c r="JZ37" s="51" t="s">
        <v>48</v>
      </c>
      <c r="KA37" s="51" t="s">
        <v>2286</v>
      </c>
      <c r="KB37" s="21">
        <v>1.27</v>
      </c>
      <c r="KC37" s="373">
        <f t="shared" si="73"/>
        <v>1.535671100362757</v>
      </c>
      <c r="KD37" s="75" t="s">
        <v>48</v>
      </c>
      <c r="KE37" s="75" t="s">
        <v>2287</v>
      </c>
      <c r="KF37" s="17">
        <v>0.53</v>
      </c>
      <c r="KG37" s="289">
        <f t="shared" si="74"/>
        <v>0.64087061668681988</v>
      </c>
      <c r="KH37" s="51" t="s">
        <v>48</v>
      </c>
      <c r="KI37" s="51" t="s">
        <v>2288</v>
      </c>
      <c r="KJ37" s="21">
        <v>0.67</v>
      </c>
      <c r="KK37" s="159">
        <f t="shared" si="75"/>
        <v>0.81015719467956482</v>
      </c>
      <c r="KL37" s="75" t="s">
        <v>46</v>
      </c>
      <c r="KM37" s="75" t="s">
        <v>2289</v>
      </c>
      <c r="KN37" s="17">
        <v>0.8</v>
      </c>
      <c r="KO37" s="433">
        <f t="shared" si="76"/>
        <v>0.9673518742442565</v>
      </c>
      <c r="KP37" s="51" t="s">
        <v>46</v>
      </c>
      <c r="KQ37" s="51" t="s">
        <v>2226</v>
      </c>
      <c r="KR37" s="21">
        <v>0.85</v>
      </c>
      <c r="KS37" s="141">
        <f t="shared" si="77"/>
        <v>1.0278113663845223</v>
      </c>
      <c r="KT37" s="75" t="s">
        <v>42</v>
      </c>
      <c r="KU37" s="75" t="s">
        <v>2290</v>
      </c>
      <c r="KV37" s="82">
        <v>1.01</v>
      </c>
      <c r="KW37" s="48">
        <f t="shared" si="78"/>
        <v>1.2212817412333736</v>
      </c>
      <c r="KX37" s="51" t="s">
        <v>179</v>
      </c>
      <c r="KY37" s="51" t="s">
        <v>2291</v>
      </c>
      <c r="KZ37" s="83">
        <v>0.32</v>
      </c>
      <c r="LA37" s="532">
        <f t="shared" si="79"/>
        <v>0.38694074969770259</v>
      </c>
      <c r="LB37" s="75" t="s">
        <v>285</v>
      </c>
      <c r="LC37" s="75" t="s">
        <v>2292</v>
      </c>
      <c r="LD37" s="82">
        <v>0.75</v>
      </c>
      <c r="LE37" s="492">
        <f t="shared" si="80"/>
        <v>0.90689238210399037</v>
      </c>
      <c r="LF37" s="51" t="s">
        <v>46</v>
      </c>
      <c r="LG37" s="51" t="s">
        <v>2293</v>
      </c>
      <c r="LH37" s="83">
        <v>0.53</v>
      </c>
      <c r="LI37" s="84"/>
      <c r="LJ37" s="85"/>
      <c r="LK37" s="85"/>
      <c r="LL37" s="86">
        <f t="shared" si="81"/>
        <v>0.82797468354430359</v>
      </c>
      <c r="LM37" s="86">
        <f t="shared" si="82"/>
        <v>0.90582479743158562</v>
      </c>
      <c r="LN37" s="86">
        <f t="shared" si="90"/>
        <v>1.0342651562215588</v>
      </c>
      <c r="LO37" s="86">
        <f t="shared" si="94"/>
        <v>0.92977955110226462</v>
      </c>
      <c r="LP37" s="86">
        <f t="shared" si="95"/>
        <v>-1.3918429877966654E-2</v>
      </c>
      <c r="LQ37" s="87">
        <f t="shared" si="96"/>
        <v>0</v>
      </c>
      <c r="LR37" s="86">
        <f t="shared" si="97"/>
        <v>0.94758695403393345</v>
      </c>
      <c r="LS37" s="84">
        <v>1</v>
      </c>
      <c r="LT37" s="87">
        <f t="shared" si="100"/>
        <v>1</v>
      </c>
      <c r="LU37" s="87">
        <f t="shared" si="92"/>
        <v>1</v>
      </c>
      <c r="LV37" s="86">
        <f t="shared" si="98"/>
        <v>0.92</v>
      </c>
      <c r="LW37" s="89" t="s">
        <v>3810</v>
      </c>
      <c r="LX37" s="5" t="str">
        <f t="shared" si="87"/>
        <v/>
      </c>
      <c r="LY37" s="5" t="str">
        <f t="shared" si="102"/>
        <v/>
      </c>
      <c r="LZ37" s="5"/>
      <c r="MA37" s="67" t="str">
        <f t="shared" si="99"/>
        <v>SANTOS</v>
      </c>
      <c r="MB37" s="89" t="s">
        <v>3808</v>
      </c>
    </row>
    <row r="38" spans="1:340" x14ac:dyDescent="0.2">
      <c r="A38" s="16">
        <v>0.77430555555555558</v>
      </c>
      <c r="B38" s="678">
        <f t="shared" si="0"/>
        <v>0.82499999999999996</v>
      </c>
      <c r="C38" s="679">
        <f t="shared" si="1"/>
        <v>-6.0606060606060996E-3</v>
      </c>
      <c r="D38" s="17">
        <v>0.82</v>
      </c>
      <c r="E38" s="251">
        <f t="shared" si="2"/>
        <v>0.9939393939393939</v>
      </c>
      <c r="F38" s="17" t="s">
        <v>70</v>
      </c>
      <c r="G38" s="20" t="s">
        <v>2294</v>
      </c>
      <c r="H38" s="21">
        <v>1.01</v>
      </c>
      <c r="I38" s="48">
        <f t="shared" si="3"/>
        <v>1.2242424242424244</v>
      </c>
      <c r="J38" s="21" t="s">
        <v>42</v>
      </c>
      <c r="K38" s="23" t="s">
        <v>2295</v>
      </c>
      <c r="L38" s="17">
        <v>1.1299999999999999</v>
      </c>
      <c r="M38" s="34">
        <f t="shared" si="4"/>
        <v>1.3696969696969696</v>
      </c>
      <c r="N38" s="17" t="s">
        <v>70</v>
      </c>
      <c r="O38" s="20" t="s">
        <v>2296</v>
      </c>
      <c r="P38" s="21">
        <v>0.86</v>
      </c>
      <c r="Q38" s="364">
        <f t="shared" si="5"/>
        <v>1.0424242424242425</v>
      </c>
      <c r="R38" s="21" t="s">
        <v>70</v>
      </c>
      <c r="S38" s="23" t="s">
        <v>2297</v>
      </c>
      <c r="T38" s="17">
        <v>0.74</v>
      </c>
      <c r="U38" s="108">
        <f t="shared" si="6"/>
        <v>0.89696969696969697</v>
      </c>
      <c r="V38" s="17" t="s">
        <v>46</v>
      </c>
      <c r="W38" s="5"/>
      <c r="X38" s="21">
        <v>0.97</v>
      </c>
      <c r="Y38" s="680">
        <f t="shared" si="7"/>
        <v>1.1757575757575758</v>
      </c>
      <c r="Z38" s="21" t="s">
        <v>70</v>
      </c>
      <c r="AA38" s="28"/>
      <c r="AB38" s="17">
        <v>0.94</v>
      </c>
      <c r="AC38" s="195">
        <f t="shared" si="8"/>
        <v>1.1393939393939394</v>
      </c>
      <c r="AD38" s="17" t="s">
        <v>42</v>
      </c>
      <c r="AE38" s="20" t="s">
        <v>2235</v>
      </c>
      <c r="AF38" s="21">
        <v>0.76</v>
      </c>
      <c r="AG38" s="110">
        <f t="shared" si="9"/>
        <v>0.92121212121212126</v>
      </c>
      <c r="AH38" s="21" t="s">
        <v>42</v>
      </c>
      <c r="AI38" s="23" t="s">
        <v>2298</v>
      </c>
      <c r="AJ38" s="17">
        <v>0.94</v>
      </c>
      <c r="AK38" s="195">
        <f t="shared" si="10"/>
        <v>1.1393939393939394</v>
      </c>
      <c r="AL38" s="17" t="s">
        <v>42</v>
      </c>
      <c r="AM38" s="20" t="s">
        <v>2299</v>
      </c>
      <c r="AN38" s="21">
        <v>1.26</v>
      </c>
      <c r="AO38" s="293">
        <f t="shared" si="11"/>
        <v>1.5272727272727273</v>
      </c>
      <c r="AP38" s="21" t="s">
        <v>42</v>
      </c>
      <c r="AQ38" s="23" t="s">
        <v>2300</v>
      </c>
      <c r="AR38" s="17">
        <v>0.96</v>
      </c>
      <c r="AS38" s="205">
        <f t="shared" si="12"/>
        <v>1.1636363636363636</v>
      </c>
      <c r="AT38" s="17" t="s">
        <v>48</v>
      </c>
      <c r="AU38" s="20" t="s">
        <v>2301</v>
      </c>
      <c r="AV38" s="21">
        <v>1.18</v>
      </c>
      <c r="AW38" s="643">
        <f t="shared" si="13"/>
        <v>1.4303030303030304</v>
      </c>
      <c r="AX38" s="21" t="s">
        <v>46</v>
      </c>
      <c r="AY38" s="23" t="s">
        <v>2302</v>
      </c>
      <c r="AZ38" s="17">
        <v>1.18</v>
      </c>
      <c r="BA38" s="643">
        <f t="shared" si="14"/>
        <v>1.4303030303030304</v>
      </c>
      <c r="BB38" s="17" t="s">
        <v>42</v>
      </c>
      <c r="BC38" s="20" t="s">
        <v>2303</v>
      </c>
      <c r="BD38" s="17">
        <v>1.1000000000000001</v>
      </c>
      <c r="BE38" s="98">
        <f t="shared" si="15"/>
        <v>1.3333333333333335</v>
      </c>
      <c r="BF38" s="17" t="s">
        <v>70</v>
      </c>
      <c r="BG38" s="20" t="s">
        <v>2304</v>
      </c>
      <c r="BH38" s="37">
        <v>1.37</v>
      </c>
      <c r="BI38" s="597">
        <f t="shared" si="16"/>
        <v>1.6606060606060609</v>
      </c>
      <c r="BJ38" s="37" t="s">
        <v>179</v>
      </c>
      <c r="BK38" s="38" t="s">
        <v>2305</v>
      </c>
      <c r="BL38" s="17">
        <v>0.68</v>
      </c>
      <c r="BM38" s="629">
        <f t="shared" si="17"/>
        <v>0.82424242424242433</v>
      </c>
      <c r="BN38" s="17" t="s">
        <v>48</v>
      </c>
      <c r="BO38" s="40"/>
      <c r="BP38" s="17">
        <v>0.71</v>
      </c>
      <c r="BQ38" s="324">
        <f t="shared" si="18"/>
        <v>0.8606060606060606</v>
      </c>
      <c r="BR38" s="17" t="s">
        <v>46</v>
      </c>
      <c r="BS38" s="41"/>
      <c r="BT38" s="37">
        <v>0.81</v>
      </c>
      <c r="BU38" s="284">
        <f t="shared" si="19"/>
        <v>0.98181818181818192</v>
      </c>
      <c r="BV38" s="46" t="s">
        <v>42</v>
      </c>
      <c r="BW38" s="23" t="s">
        <v>2306</v>
      </c>
      <c r="BX38" s="17">
        <v>0.57999999999999996</v>
      </c>
      <c r="BY38" s="198">
        <f t="shared" si="20"/>
        <v>0.70303030303030301</v>
      </c>
      <c r="BZ38" s="17" t="s">
        <v>42</v>
      </c>
      <c r="CA38" s="20" t="s">
        <v>2307</v>
      </c>
      <c r="CB38" s="37">
        <v>1.0900000000000001</v>
      </c>
      <c r="CC38" s="42">
        <f t="shared" si="21"/>
        <v>1.3212121212121213</v>
      </c>
      <c r="CD38" s="46" t="s">
        <v>42</v>
      </c>
      <c r="CE38" s="23" t="s">
        <v>2308</v>
      </c>
      <c r="CF38" s="17">
        <v>0.46</v>
      </c>
      <c r="CG38" s="187">
        <f t="shared" si="22"/>
        <v>0.55757575757575761</v>
      </c>
      <c r="CH38" s="17" t="s">
        <v>46</v>
      </c>
      <c r="CI38" s="20" t="s">
        <v>2309</v>
      </c>
      <c r="CJ38" s="37">
        <v>0.2</v>
      </c>
      <c r="CK38" s="676">
        <f t="shared" si="23"/>
        <v>0.24242424242424246</v>
      </c>
      <c r="CL38" s="46" t="s">
        <v>70</v>
      </c>
      <c r="CM38" s="23" t="s">
        <v>2310</v>
      </c>
      <c r="CN38" s="17">
        <v>0.75</v>
      </c>
      <c r="CO38" s="492">
        <f t="shared" si="24"/>
        <v>0.90909090909090917</v>
      </c>
      <c r="CP38" s="17" t="s">
        <v>42</v>
      </c>
      <c r="CQ38" s="20" t="s">
        <v>2311</v>
      </c>
      <c r="CR38" s="37">
        <v>0.56000000000000005</v>
      </c>
      <c r="CS38" s="312">
        <f t="shared" si="25"/>
        <v>0.67878787878787894</v>
      </c>
      <c r="CT38" s="21" t="s">
        <v>46</v>
      </c>
      <c r="CU38" s="23" t="s">
        <v>2312</v>
      </c>
      <c r="CV38" s="17">
        <v>0.69</v>
      </c>
      <c r="CW38" s="415">
        <f t="shared" si="26"/>
        <v>0.83636363636363631</v>
      </c>
      <c r="CX38" s="17" t="s">
        <v>42</v>
      </c>
      <c r="CY38" s="20" t="s">
        <v>2313</v>
      </c>
      <c r="CZ38" s="37">
        <v>0.77</v>
      </c>
      <c r="DA38" s="24">
        <f t="shared" si="27"/>
        <v>0.93333333333333346</v>
      </c>
      <c r="DB38" s="21" t="s">
        <v>1994</v>
      </c>
      <c r="DC38" s="23" t="s">
        <v>2314</v>
      </c>
      <c r="DD38" s="17">
        <v>0.73</v>
      </c>
      <c r="DE38" s="436">
        <f t="shared" si="28"/>
        <v>0.88484848484848488</v>
      </c>
      <c r="DF38" s="17" t="s">
        <v>42</v>
      </c>
      <c r="DG38" s="20" t="s">
        <v>2315</v>
      </c>
      <c r="DH38" s="37">
        <v>0.91</v>
      </c>
      <c r="DI38" s="49">
        <f t="shared" si="29"/>
        <v>1.103030303030303</v>
      </c>
      <c r="DJ38" s="21" t="s">
        <v>42</v>
      </c>
      <c r="DK38" s="28"/>
      <c r="DL38" s="17">
        <v>0.32</v>
      </c>
      <c r="DM38" s="532">
        <f t="shared" si="30"/>
        <v>0.38787878787878793</v>
      </c>
      <c r="DN38" s="17" t="s">
        <v>70</v>
      </c>
      <c r="DO38" s="51" t="s">
        <v>2316</v>
      </c>
      <c r="DP38" s="21">
        <v>0.95</v>
      </c>
      <c r="DQ38" s="44">
        <f t="shared" si="31"/>
        <v>1.1515151515151516</v>
      </c>
      <c r="DR38" s="53" t="s">
        <v>48</v>
      </c>
      <c r="DS38" s="54" t="s">
        <v>2317</v>
      </c>
      <c r="DT38" s="53">
        <v>0.49</v>
      </c>
      <c r="DU38" s="494">
        <f t="shared" si="32"/>
        <v>0.59393939393939399</v>
      </c>
      <c r="DV38" s="56" t="s">
        <v>48</v>
      </c>
      <c r="DW38" s="57" t="s">
        <v>2318</v>
      </c>
      <c r="DX38" s="53">
        <v>0.56999999999999995</v>
      </c>
      <c r="DY38" s="354">
        <f t="shared" si="33"/>
        <v>0.69090909090909092</v>
      </c>
      <c r="DZ38" s="53" t="s">
        <v>48</v>
      </c>
      <c r="EA38" s="54" t="s">
        <v>2318</v>
      </c>
      <c r="EB38" s="56">
        <v>0.57999999999999996</v>
      </c>
      <c r="EC38" s="198">
        <f t="shared" si="34"/>
        <v>0.70303030303030301</v>
      </c>
      <c r="ED38" s="56" t="s">
        <v>48</v>
      </c>
      <c r="EE38" s="57" t="s">
        <v>2256</v>
      </c>
      <c r="EF38" s="53">
        <v>0.56999999999999995</v>
      </c>
      <c r="EG38" s="354">
        <f t="shared" si="35"/>
        <v>0.69090909090909092</v>
      </c>
      <c r="EH38" s="53" t="s">
        <v>42</v>
      </c>
      <c r="EI38" s="57" t="s">
        <v>2319</v>
      </c>
      <c r="EJ38" s="53">
        <v>1.27</v>
      </c>
      <c r="EK38" s="681">
        <f t="shared" si="36"/>
        <v>1.5393939393939395</v>
      </c>
      <c r="EL38" s="56" t="s">
        <v>179</v>
      </c>
      <c r="EM38" s="57" t="s">
        <v>2320</v>
      </c>
      <c r="EN38" s="53">
        <v>1.0900000000000001</v>
      </c>
      <c r="EO38" s="42">
        <f t="shared" si="37"/>
        <v>1.3212121212121213</v>
      </c>
      <c r="EP38" s="53" t="s">
        <v>48</v>
      </c>
      <c r="EQ38" s="23" t="s">
        <v>2321</v>
      </c>
      <c r="ER38" s="53">
        <v>0.72</v>
      </c>
      <c r="ES38" s="115">
        <f t="shared" si="38"/>
        <v>0.8727272727272728</v>
      </c>
      <c r="ET38" s="53" t="s">
        <v>48</v>
      </c>
      <c r="EU38" s="20" t="s">
        <v>2322</v>
      </c>
      <c r="EV38" s="53">
        <v>1.2</v>
      </c>
      <c r="EW38" s="453">
        <f t="shared" si="39"/>
        <v>1.4545454545454546</v>
      </c>
      <c r="EX38" s="21" t="s">
        <v>42</v>
      </c>
      <c r="EY38" s="57" t="s">
        <v>2323</v>
      </c>
      <c r="EZ38" s="53">
        <v>1.02</v>
      </c>
      <c r="FA38" s="621">
        <f t="shared" si="40"/>
        <v>1.2363636363636366</v>
      </c>
      <c r="FB38" s="40"/>
      <c r="FC38" s="40"/>
      <c r="FD38" s="53">
        <v>1.22</v>
      </c>
      <c r="FE38" s="666">
        <f t="shared" si="41"/>
        <v>1.4787878787878788</v>
      </c>
      <c r="FF38" s="21" t="s">
        <v>42</v>
      </c>
      <c r="FG38" s="64"/>
      <c r="FH38" s="17">
        <v>0.98</v>
      </c>
      <c r="FI38" s="403">
        <f t="shared" si="42"/>
        <v>1.187878787878788</v>
      </c>
      <c r="FJ38" s="17" t="s">
        <v>46</v>
      </c>
      <c r="FK38" s="51" t="s">
        <v>2324</v>
      </c>
      <c r="FL38" s="17">
        <v>0.88</v>
      </c>
      <c r="FM38" s="404">
        <f t="shared" si="43"/>
        <v>1.0666666666666667</v>
      </c>
      <c r="FN38" s="21" t="s">
        <v>48</v>
      </c>
      <c r="FO38" s="51" t="s">
        <v>2325</v>
      </c>
      <c r="FP38" s="17">
        <v>0.5</v>
      </c>
      <c r="FQ38" s="247">
        <f t="shared" si="44"/>
        <v>0.60606060606060608</v>
      </c>
      <c r="FR38" s="17" t="s">
        <v>285</v>
      </c>
      <c r="FS38" s="51" t="s">
        <v>2326</v>
      </c>
      <c r="FT38" s="17">
        <v>0.97</v>
      </c>
      <c r="FU38" s="680">
        <f t="shared" si="45"/>
        <v>1.1757575757575758</v>
      </c>
      <c r="FV38" s="17" t="s">
        <v>46</v>
      </c>
      <c r="FW38" s="51" t="s">
        <v>2200</v>
      </c>
      <c r="FX38" s="17">
        <v>1.34</v>
      </c>
      <c r="FY38" s="221">
        <f t="shared" si="46"/>
        <v>1.6242424242424245</v>
      </c>
      <c r="FZ38" s="17" t="s">
        <v>42</v>
      </c>
      <c r="GA38" s="51" t="s">
        <v>2327</v>
      </c>
      <c r="GB38" s="53">
        <v>0.71</v>
      </c>
      <c r="GC38" s="324">
        <f t="shared" si="47"/>
        <v>0.8606060606060606</v>
      </c>
      <c r="GD38" s="21" t="s">
        <v>70</v>
      </c>
      <c r="GE38" s="63"/>
      <c r="GF38" s="17">
        <v>0.91</v>
      </c>
      <c r="GG38" s="49">
        <f t="shared" si="48"/>
        <v>1.103030303030303</v>
      </c>
      <c r="GH38" s="17" t="s">
        <v>42</v>
      </c>
      <c r="GI38" s="51" t="s">
        <v>2328</v>
      </c>
      <c r="GJ38" s="17">
        <v>1.07</v>
      </c>
      <c r="GK38" s="360">
        <f t="shared" si="49"/>
        <v>1.2969696969696971</v>
      </c>
      <c r="GL38" s="17" t="s">
        <v>42</v>
      </c>
      <c r="GM38" s="67" t="s">
        <v>2266</v>
      </c>
      <c r="GN38" s="17">
        <v>0.59</v>
      </c>
      <c r="GO38" s="291">
        <f t="shared" si="50"/>
        <v>0.7151515151515152</v>
      </c>
      <c r="GP38" s="82" t="s">
        <v>48</v>
      </c>
      <c r="GQ38" s="40"/>
      <c r="GR38" s="17">
        <v>0.89</v>
      </c>
      <c r="GS38" s="176">
        <f t="shared" si="51"/>
        <v>1.0787878787878789</v>
      </c>
      <c r="GT38" s="17" t="s">
        <v>70</v>
      </c>
      <c r="GU38" s="51" t="s">
        <v>2329</v>
      </c>
      <c r="GV38" s="17">
        <v>1.01</v>
      </c>
      <c r="GW38" s="48">
        <f t="shared" si="52"/>
        <v>1.2242424242424244</v>
      </c>
      <c r="GX38" s="17" t="s">
        <v>48</v>
      </c>
      <c r="GY38" s="67" t="s">
        <v>2330</v>
      </c>
      <c r="GZ38" s="17">
        <v>0.57999999999999996</v>
      </c>
      <c r="HA38" s="198">
        <f t="shared" si="53"/>
        <v>0.70303030303030301</v>
      </c>
      <c r="HB38" s="17" t="s">
        <v>48</v>
      </c>
      <c r="HC38" s="20" t="s">
        <v>2331</v>
      </c>
      <c r="HD38" s="17">
        <v>0.98</v>
      </c>
      <c r="HE38" s="403">
        <f t="shared" si="54"/>
        <v>1.187878787878788</v>
      </c>
      <c r="HF38" s="17" t="s">
        <v>46</v>
      </c>
      <c r="HG38" s="20" t="s">
        <v>2332</v>
      </c>
      <c r="HH38" s="17">
        <v>0.85</v>
      </c>
      <c r="HI38" s="682">
        <f t="shared" si="55"/>
        <v>1.0303030303030303</v>
      </c>
      <c r="HJ38" s="236" t="s">
        <v>42</v>
      </c>
      <c r="HK38" s="20" t="s">
        <v>2333</v>
      </c>
      <c r="HL38" s="17">
        <v>0.71</v>
      </c>
      <c r="HM38" s="324">
        <f t="shared" si="56"/>
        <v>0.8606060606060606</v>
      </c>
      <c r="HN38" s="17" t="s">
        <v>285</v>
      </c>
      <c r="HO38" s="20" t="s">
        <v>2334</v>
      </c>
      <c r="HP38" s="17">
        <v>0.8</v>
      </c>
      <c r="HQ38" s="409">
        <f t="shared" si="57"/>
        <v>0.96969696969696983</v>
      </c>
      <c r="HR38" s="17" t="s">
        <v>42</v>
      </c>
      <c r="HS38" s="73" t="s">
        <v>2335</v>
      </c>
      <c r="HT38" s="17">
        <v>1.32</v>
      </c>
      <c r="HU38" s="260">
        <f t="shared" si="58"/>
        <v>1.6</v>
      </c>
      <c r="HV38" s="17" t="s">
        <v>46</v>
      </c>
      <c r="HW38" s="75" t="s">
        <v>2336</v>
      </c>
      <c r="HX38" s="17">
        <v>0.75</v>
      </c>
      <c r="HY38" s="492">
        <f t="shared" si="59"/>
        <v>0.90909090909090917</v>
      </c>
      <c r="HZ38" s="21" t="s">
        <v>48</v>
      </c>
      <c r="IA38" s="75" t="s">
        <v>2337</v>
      </c>
      <c r="IB38" s="17">
        <v>0.7</v>
      </c>
      <c r="IC38" s="288">
        <f t="shared" si="60"/>
        <v>0.84848484848484851</v>
      </c>
      <c r="ID38" s="17" t="s">
        <v>70</v>
      </c>
      <c r="IE38" s="51" t="s">
        <v>2338</v>
      </c>
      <c r="IF38" s="17">
        <v>0.56000000000000005</v>
      </c>
      <c r="IG38" s="312">
        <f t="shared" si="61"/>
        <v>0.67878787878787894</v>
      </c>
      <c r="IH38" s="17" t="s">
        <v>46</v>
      </c>
      <c r="II38" s="67" t="s">
        <v>2339</v>
      </c>
      <c r="IJ38" s="17">
        <v>0.95</v>
      </c>
      <c r="IK38" s="44">
        <f t="shared" si="62"/>
        <v>1.1515151515151516</v>
      </c>
      <c r="IL38" s="17" t="s">
        <v>48</v>
      </c>
      <c r="IM38" s="51" t="s">
        <v>2340</v>
      </c>
      <c r="IN38" s="17">
        <v>0.93</v>
      </c>
      <c r="IO38" s="367">
        <f t="shared" si="63"/>
        <v>1.1272727272727274</v>
      </c>
      <c r="IP38" s="17" t="s">
        <v>46</v>
      </c>
      <c r="IQ38" s="51" t="s">
        <v>2341</v>
      </c>
      <c r="IR38" s="17">
        <v>0.97</v>
      </c>
      <c r="IS38" s="680">
        <f t="shared" si="64"/>
        <v>1.1757575757575758</v>
      </c>
      <c r="IT38" s="17" t="s">
        <v>42</v>
      </c>
      <c r="IU38" s="75" t="s">
        <v>2342</v>
      </c>
      <c r="IV38" s="17">
        <v>0.43</v>
      </c>
      <c r="IW38" s="208">
        <f t="shared" si="65"/>
        <v>0.52121212121212124</v>
      </c>
      <c r="IX38" s="17" t="s">
        <v>46</v>
      </c>
      <c r="IY38" s="51" t="s">
        <v>2343</v>
      </c>
      <c r="IZ38" s="17">
        <v>0.81</v>
      </c>
      <c r="JA38" s="284">
        <f t="shared" si="66"/>
        <v>0.98181818181818192</v>
      </c>
      <c r="JB38" s="17" t="s">
        <v>46</v>
      </c>
      <c r="JC38" s="51" t="s">
        <v>2344</v>
      </c>
      <c r="JD38" s="17">
        <v>0.85</v>
      </c>
      <c r="JE38" s="682">
        <f t="shared" si="67"/>
        <v>1.0303030303030303</v>
      </c>
      <c r="JF38" s="17" t="s">
        <v>46</v>
      </c>
      <c r="JG38" s="51" t="s">
        <v>2345</v>
      </c>
      <c r="JH38" s="17">
        <v>0.71</v>
      </c>
      <c r="JI38" s="324">
        <f t="shared" si="68"/>
        <v>0.8606060606060606</v>
      </c>
      <c r="JJ38" s="17" t="s">
        <v>179</v>
      </c>
      <c r="JK38" s="51" t="s">
        <v>2346</v>
      </c>
      <c r="JL38" s="21">
        <v>0.6</v>
      </c>
      <c r="JM38" s="203">
        <f t="shared" si="69"/>
        <v>0.72727272727272729</v>
      </c>
      <c r="JN38" s="21" t="s">
        <v>42</v>
      </c>
      <c r="JO38" s="75" t="s">
        <v>2347</v>
      </c>
      <c r="JP38" s="21">
        <v>0.4</v>
      </c>
      <c r="JQ38" s="123">
        <f t="shared" si="70"/>
        <v>0.48484848484848492</v>
      </c>
      <c r="JR38" s="21" t="s">
        <v>66</v>
      </c>
      <c r="JS38" s="51" t="s">
        <v>2348</v>
      </c>
      <c r="JT38" s="21">
        <v>0.52</v>
      </c>
      <c r="JU38" s="215">
        <f t="shared" si="71"/>
        <v>0.63030303030303036</v>
      </c>
      <c r="JV38" s="21" t="s">
        <v>70</v>
      </c>
      <c r="JW38" s="75" t="s">
        <v>2349</v>
      </c>
      <c r="JX38" s="17">
        <v>0.85</v>
      </c>
      <c r="JY38" s="682">
        <f t="shared" si="72"/>
        <v>1.0303030303030303</v>
      </c>
      <c r="JZ38" s="51" t="s">
        <v>48</v>
      </c>
      <c r="KA38" s="51" t="s">
        <v>2350</v>
      </c>
      <c r="KB38" s="21">
        <v>1.27</v>
      </c>
      <c r="KC38" s="681">
        <f t="shared" si="73"/>
        <v>1.5393939393939395</v>
      </c>
      <c r="KD38" s="75" t="s">
        <v>179</v>
      </c>
      <c r="KE38" s="75" t="s">
        <v>2351</v>
      </c>
      <c r="KF38" s="17">
        <v>0.53</v>
      </c>
      <c r="KG38" s="289">
        <f t="shared" si="74"/>
        <v>0.64242424242424245</v>
      </c>
      <c r="KH38" s="51" t="s">
        <v>48</v>
      </c>
      <c r="KI38" s="51" t="s">
        <v>2352</v>
      </c>
      <c r="KJ38" s="21">
        <v>0.67</v>
      </c>
      <c r="KK38" s="223">
        <f t="shared" si="75"/>
        <v>0.81212121212121224</v>
      </c>
      <c r="KL38" s="75" t="s">
        <v>46</v>
      </c>
      <c r="KM38" s="75" t="s">
        <v>2353</v>
      </c>
      <c r="KN38" s="17">
        <v>0.8</v>
      </c>
      <c r="KO38" s="409">
        <f t="shared" si="76"/>
        <v>0.96969696969696983</v>
      </c>
      <c r="KP38" s="51" t="s">
        <v>46</v>
      </c>
      <c r="KQ38" s="51" t="s">
        <v>2354</v>
      </c>
      <c r="KR38" s="21">
        <v>0.85</v>
      </c>
      <c r="KS38" s="682">
        <f t="shared" si="77"/>
        <v>1.0303030303030303</v>
      </c>
      <c r="KT38" s="75" t="s">
        <v>70</v>
      </c>
      <c r="KU38" s="75" t="s">
        <v>2355</v>
      </c>
      <c r="KV38" s="82">
        <v>1.01</v>
      </c>
      <c r="KW38" s="48">
        <f t="shared" si="78"/>
        <v>1.2242424242424244</v>
      </c>
      <c r="KX38" s="51" t="s">
        <v>179</v>
      </c>
      <c r="KY38" s="51" t="s">
        <v>2356</v>
      </c>
      <c r="KZ38" s="83">
        <v>0.38</v>
      </c>
      <c r="LA38" s="113">
        <f t="shared" si="79"/>
        <v>0.46060606060606063</v>
      </c>
      <c r="LB38" s="75" t="s">
        <v>285</v>
      </c>
      <c r="LC38" s="75" t="s">
        <v>2357</v>
      </c>
      <c r="LD38" s="82">
        <v>0.75</v>
      </c>
      <c r="LE38" s="492">
        <f t="shared" si="80"/>
        <v>0.90909090909090917</v>
      </c>
      <c r="LF38" s="51" t="s">
        <v>46</v>
      </c>
      <c r="LG38" s="51" t="s">
        <v>2358</v>
      </c>
      <c r="LH38" s="83">
        <v>0.46</v>
      </c>
      <c r="LI38" s="84"/>
      <c r="LJ38" s="85"/>
      <c r="LK38" s="85"/>
      <c r="LL38" s="86">
        <f t="shared" si="81"/>
        <v>0.82506329113924037</v>
      </c>
      <c r="LM38" s="86">
        <f t="shared" si="82"/>
        <v>0.9938631482049709</v>
      </c>
      <c r="LN38" s="86">
        <f t="shared" si="90"/>
        <v>1.0305954316847024</v>
      </c>
      <c r="LO38" s="86">
        <f t="shared" si="94"/>
        <v>0.91678134495860875</v>
      </c>
      <c r="LP38" s="86">
        <f t="shared" si="95"/>
        <v>-2.6365259207809855E-2</v>
      </c>
      <c r="LQ38" s="87">
        <f t="shared" si="96"/>
        <v>0</v>
      </c>
      <c r="LR38" s="86">
        <f t="shared" si="97"/>
        <v>0.93339806391725144</v>
      </c>
      <c r="LS38" s="84">
        <v>1</v>
      </c>
      <c r="LT38" s="87">
        <f t="shared" si="100"/>
        <v>0</v>
      </c>
      <c r="LU38" s="87">
        <f t="shared" si="92"/>
        <v>2</v>
      </c>
      <c r="LV38" s="86">
        <f t="shared" si="98"/>
        <v>0.96</v>
      </c>
      <c r="LW38" s="581" t="s">
        <v>3815</v>
      </c>
      <c r="LX38" s="89" t="str">
        <f t="shared" si="87"/>
        <v>—</v>
      </c>
      <c r="LY38" s="89" t="str">
        <f t="shared" si="102"/>
        <v>Queda moderada — repetir melhor 1aM</v>
      </c>
      <c r="LZ38" s="5"/>
      <c r="MA38" s="67" t="str">
        <f t="shared" si="99"/>
        <v>SANTOS</v>
      </c>
      <c r="MB38" s="89" t="s">
        <v>3808</v>
      </c>
    </row>
    <row r="39" spans="1:340" x14ac:dyDescent="0.2">
      <c r="A39" s="16">
        <v>0.77500000000000002</v>
      </c>
      <c r="B39" s="683">
        <f t="shared" si="0"/>
        <v>0.8367500000000001</v>
      </c>
      <c r="C39" s="684">
        <f t="shared" si="1"/>
        <v>-0.10367493277562012</v>
      </c>
      <c r="D39" s="17">
        <v>0.75</v>
      </c>
      <c r="E39" s="108">
        <f t="shared" si="2"/>
        <v>0.89632506722437988</v>
      </c>
      <c r="F39" s="17" t="s">
        <v>42</v>
      </c>
      <c r="G39" s="20" t="s">
        <v>2359</v>
      </c>
      <c r="H39" s="21">
        <v>1.06</v>
      </c>
      <c r="I39" s="261">
        <f t="shared" si="3"/>
        <v>1.2668060950104569</v>
      </c>
      <c r="J39" s="21" t="s">
        <v>48</v>
      </c>
      <c r="K39" s="23" t="s">
        <v>2360</v>
      </c>
      <c r="L39" s="17">
        <v>1.1299999999999999</v>
      </c>
      <c r="M39" s="613">
        <f t="shared" si="4"/>
        <v>1.3504631012847323</v>
      </c>
      <c r="N39" s="17" t="s">
        <v>70</v>
      </c>
      <c r="O39" s="20" t="s">
        <v>2361</v>
      </c>
      <c r="P39" s="21">
        <v>0.86</v>
      </c>
      <c r="Q39" s="141">
        <f t="shared" si="5"/>
        <v>1.0277860770839555</v>
      </c>
      <c r="R39" s="21" t="s">
        <v>70</v>
      </c>
      <c r="S39" s="23" t="s">
        <v>2362</v>
      </c>
      <c r="T39" s="17">
        <v>0.8</v>
      </c>
      <c r="U39" s="194">
        <f t="shared" si="6"/>
        <v>0.95608007170600529</v>
      </c>
      <c r="V39" s="17" t="s">
        <v>46</v>
      </c>
      <c r="W39" s="5"/>
      <c r="X39" s="21">
        <v>1.04</v>
      </c>
      <c r="Y39" s="106">
        <f t="shared" si="7"/>
        <v>1.2429040932178068</v>
      </c>
      <c r="Z39" s="21" t="s">
        <v>70</v>
      </c>
      <c r="AA39" s="28"/>
      <c r="AB39" s="17">
        <v>0.94</v>
      </c>
      <c r="AC39" s="475">
        <f t="shared" si="8"/>
        <v>1.1233940842545562</v>
      </c>
      <c r="AD39" s="17" t="s">
        <v>42</v>
      </c>
      <c r="AE39" s="20" t="s">
        <v>2363</v>
      </c>
      <c r="AF39" s="21">
        <v>0.76</v>
      </c>
      <c r="AG39" s="492">
        <f t="shared" si="9"/>
        <v>0.90827606812070505</v>
      </c>
      <c r="AH39" s="21" t="s">
        <v>42</v>
      </c>
      <c r="AI39" s="23" t="s">
        <v>2364</v>
      </c>
      <c r="AJ39" s="17">
        <v>1.01</v>
      </c>
      <c r="AK39" s="285">
        <f t="shared" si="10"/>
        <v>1.2070510905288316</v>
      </c>
      <c r="AL39" s="17" t="s">
        <v>108</v>
      </c>
      <c r="AM39" s="20" t="s">
        <v>2365</v>
      </c>
      <c r="AN39" s="21">
        <v>1.26</v>
      </c>
      <c r="AO39" s="343">
        <f t="shared" si="11"/>
        <v>1.5058261129369583</v>
      </c>
      <c r="AP39" s="21" t="s">
        <v>42</v>
      </c>
      <c r="AQ39" s="23" t="s">
        <v>2300</v>
      </c>
      <c r="AR39" s="17">
        <v>1.02</v>
      </c>
      <c r="AS39" s="107">
        <f t="shared" si="12"/>
        <v>1.2190020914251567</v>
      </c>
      <c r="AT39" s="17" t="s">
        <v>48</v>
      </c>
      <c r="AU39" s="20" t="s">
        <v>2366</v>
      </c>
      <c r="AV39" s="21">
        <v>1.18</v>
      </c>
      <c r="AW39" s="432">
        <f t="shared" si="13"/>
        <v>1.4102181057663576</v>
      </c>
      <c r="AX39" s="21" t="s">
        <v>46</v>
      </c>
      <c r="AY39" s="23" t="s">
        <v>2367</v>
      </c>
      <c r="AZ39" s="17">
        <v>1.18</v>
      </c>
      <c r="BA39" s="432">
        <f t="shared" si="14"/>
        <v>1.4102181057663576</v>
      </c>
      <c r="BB39" s="17" t="s">
        <v>42</v>
      </c>
      <c r="BC39" s="20" t="s">
        <v>2368</v>
      </c>
      <c r="BD39" s="17">
        <v>1.03</v>
      </c>
      <c r="BE39" s="685">
        <f t="shared" si="15"/>
        <v>1.2309530923214818</v>
      </c>
      <c r="BF39" s="17" t="s">
        <v>70</v>
      </c>
      <c r="BG39" s="20" t="s">
        <v>2369</v>
      </c>
      <c r="BH39" s="37">
        <v>1.37</v>
      </c>
      <c r="BI39" s="190">
        <f t="shared" si="16"/>
        <v>1.6372871227965342</v>
      </c>
      <c r="BJ39" s="37" t="s">
        <v>70</v>
      </c>
      <c r="BK39" s="38" t="s">
        <v>2370</v>
      </c>
      <c r="BL39" s="17">
        <v>0.68</v>
      </c>
      <c r="BM39" s="223">
        <f t="shared" si="17"/>
        <v>0.81266806095010458</v>
      </c>
      <c r="BN39" s="17" t="s">
        <v>48</v>
      </c>
      <c r="BO39" s="40"/>
      <c r="BP39" s="17">
        <v>0.71</v>
      </c>
      <c r="BQ39" s="288">
        <f t="shared" si="18"/>
        <v>0.84852106363907964</v>
      </c>
      <c r="BR39" s="17" t="s">
        <v>46</v>
      </c>
      <c r="BS39" s="41"/>
      <c r="BT39" s="37">
        <v>0.87</v>
      </c>
      <c r="BU39" s="206">
        <f t="shared" si="19"/>
        <v>1.0397370779802808</v>
      </c>
      <c r="BV39" s="46" t="s">
        <v>42</v>
      </c>
      <c r="BW39" s="23" t="s">
        <v>2371</v>
      </c>
      <c r="BX39" s="17">
        <v>0.63</v>
      </c>
      <c r="BY39" s="242">
        <f t="shared" si="20"/>
        <v>0.75291305646847917</v>
      </c>
      <c r="BZ39" s="17" t="s">
        <v>42</v>
      </c>
      <c r="CA39" s="20" t="s">
        <v>2372</v>
      </c>
      <c r="CB39" s="37">
        <v>1.0900000000000001</v>
      </c>
      <c r="CC39" s="529">
        <f t="shared" si="21"/>
        <v>1.3026590976994323</v>
      </c>
      <c r="CD39" s="46" t="s">
        <v>42</v>
      </c>
      <c r="CE39" s="23" t="s">
        <v>2373</v>
      </c>
      <c r="CF39" s="17">
        <v>0.51</v>
      </c>
      <c r="CG39" s="313">
        <f t="shared" si="22"/>
        <v>0.60950104571257835</v>
      </c>
      <c r="CH39" s="17" t="s">
        <v>46</v>
      </c>
      <c r="CI39" s="20" t="s">
        <v>2374</v>
      </c>
      <c r="CJ39" s="37">
        <v>0.18</v>
      </c>
      <c r="CK39" s="428">
        <f t="shared" si="23"/>
        <v>0.21511801613385118</v>
      </c>
      <c r="CL39" s="46" t="s">
        <v>48</v>
      </c>
      <c r="CM39" s="23" t="s">
        <v>2375</v>
      </c>
      <c r="CN39" s="17">
        <v>0.87</v>
      </c>
      <c r="CO39" s="206">
        <f t="shared" si="24"/>
        <v>1.0397370779802808</v>
      </c>
      <c r="CP39" s="17" t="s">
        <v>42</v>
      </c>
      <c r="CQ39" s="20" t="s">
        <v>2376</v>
      </c>
      <c r="CR39" s="37">
        <v>0.63</v>
      </c>
      <c r="CS39" s="242">
        <f t="shared" si="25"/>
        <v>0.75291305646847917</v>
      </c>
      <c r="CT39" s="21" t="s">
        <v>46</v>
      </c>
      <c r="CU39" s="23" t="s">
        <v>2377</v>
      </c>
      <c r="CV39" s="17">
        <v>0.69</v>
      </c>
      <c r="CW39" s="629">
        <f t="shared" si="26"/>
        <v>0.82461906184642952</v>
      </c>
      <c r="CX39" s="17" t="s">
        <v>42</v>
      </c>
      <c r="CY39" s="20" t="s">
        <v>2378</v>
      </c>
      <c r="CZ39" s="37">
        <v>0.77</v>
      </c>
      <c r="DA39" s="110">
        <f t="shared" si="27"/>
        <v>0.92022706901703011</v>
      </c>
      <c r="DB39" s="21" t="s">
        <v>1994</v>
      </c>
      <c r="DC39" s="23" t="s">
        <v>2379</v>
      </c>
      <c r="DD39" s="17">
        <v>0.85</v>
      </c>
      <c r="DE39" s="200">
        <f t="shared" si="28"/>
        <v>1.0158350761876305</v>
      </c>
      <c r="DF39" s="17" t="s">
        <v>42</v>
      </c>
      <c r="DG39" s="20" t="s">
        <v>2380</v>
      </c>
      <c r="DH39" s="37">
        <v>0.91</v>
      </c>
      <c r="DI39" s="414">
        <f t="shared" si="29"/>
        <v>1.087541081565581</v>
      </c>
      <c r="DJ39" s="21" t="s">
        <v>42</v>
      </c>
      <c r="DK39" s="28"/>
      <c r="DL39" s="17">
        <v>0.38</v>
      </c>
      <c r="DM39" s="290">
        <f t="shared" si="30"/>
        <v>0.45413803406035252</v>
      </c>
      <c r="DN39" s="17" t="s">
        <v>70</v>
      </c>
      <c r="DO39" s="51" t="s">
        <v>2381</v>
      </c>
      <c r="DP39" s="21">
        <v>0.95</v>
      </c>
      <c r="DQ39" s="338">
        <f t="shared" si="31"/>
        <v>1.1353450851508813</v>
      </c>
      <c r="DR39" s="53" t="s">
        <v>48</v>
      </c>
      <c r="DS39" s="54" t="s">
        <v>2382</v>
      </c>
      <c r="DT39" s="53">
        <v>0.56000000000000005</v>
      </c>
      <c r="DU39" s="411">
        <f t="shared" si="32"/>
        <v>0.66925605019420376</v>
      </c>
      <c r="DV39" s="56" t="s">
        <v>46</v>
      </c>
      <c r="DW39" s="57" t="s">
        <v>2383</v>
      </c>
      <c r="DX39" s="53">
        <v>0.56999999999999995</v>
      </c>
      <c r="DY39" s="312">
        <f t="shared" si="33"/>
        <v>0.6812070510905287</v>
      </c>
      <c r="DZ39" s="53" t="s">
        <v>48</v>
      </c>
      <c r="EA39" s="54" t="s">
        <v>2383</v>
      </c>
      <c r="EB39" s="56">
        <v>0.64</v>
      </c>
      <c r="EC39" s="202">
        <f t="shared" si="34"/>
        <v>0.76486405736480423</v>
      </c>
      <c r="ED39" s="56" t="s">
        <v>48</v>
      </c>
      <c r="EE39" s="57" t="s">
        <v>2384</v>
      </c>
      <c r="EF39" s="53">
        <v>0.51</v>
      </c>
      <c r="EG39" s="313">
        <f t="shared" si="35"/>
        <v>0.60950104571257835</v>
      </c>
      <c r="EH39" s="53" t="s">
        <v>46</v>
      </c>
      <c r="EI39" s="57" t="s">
        <v>2385</v>
      </c>
      <c r="EJ39" s="53">
        <v>1.27</v>
      </c>
      <c r="EK39" s="673">
        <f t="shared" si="36"/>
        <v>1.5177771138332834</v>
      </c>
      <c r="EL39" s="56" t="s">
        <v>48</v>
      </c>
      <c r="EM39" s="57" t="s">
        <v>2386</v>
      </c>
      <c r="EN39" s="53">
        <v>1.1000000000000001</v>
      </c>
      <c r="EO39" s="369">
        <f t="shared" si="37"/>
        <v>1.3146100985957574</v>
      </c>
      <c r="EP39" s="53" t="s">
        <v>48</v>
      </c>
      <c r="EQ39" s="23" t="s">
        <v>2387</v>
      </c>
      <c r="ER39" s="53">
        <v>0.72</v>
      </c>
      <c r="ES39" s="324">
        <f t="shared" si="38"/>
        <v>0.8604720645354047</v>
      </c>
      <c r="ET39" s="53" t="s">
        <v>48</v>
      </c>
      <c r="EU39" s="20" t="s">
        <v>2388</v>
      </c>
      <c r="EV39" s="53">
        <v>1.28</v>
      </c>
      <c r="EW39" s="554">
        <f t="shared" si="39"/>
        <v>1.5297281147296085</v>
      </c>
      <c r="EX39" s="21" t="s">
        <v>42</v>
      </c>
      <c r="EY39" s="57" t="s">
        <v>2389</v>
      </c>
      <c r="EZ39" s="53">
        <v>1.02</v>
      </c>
      <c r="FA39" s="107">
        <f t="shared" si="40"/>
        <v>1.2190020914251567</v>
      </c>
      <c r="FB39" s="40"/>
      <c r="FC39" s="40"/>
      <c r="FD39" s="53">
        <v>1.23</v>
      </c>
      <c r="FE39" s="103">
        <f t="shared" si="41"/>
        <v>1.4699731102479832</v>
      </c>
      <c r="FF39" s="21" t="s">
        <v>42</v>
      </c>
      <c r="FG39" s="64"/>
      <c r="FH39" s="17">
        <v>0.91</v>
      </c>
      <c r="FI39" s="414">
        <f t="shared" si="42"/>
        <v>1.087541081565581</v>
      </c>
      <c r="FJ39" s="17" t="s">
        <v>46</v>
      </c>
      <c r="FK39" s="51" t="s">
        <v>2390</v>
      </c>
      <c r="FL39" s="17">
        <v>0.94</v>
      </c>
      <c r="FM39" s="475">
        <f t="shared" si="43"/>
        <v>1.1233940842545562</v>
      </c>
      <c r="FN39" s="21" t="s">
        <v>48</v>
      </c>
      <c r="FO39" s="51" t="s">
        <v>2391</v>
      </c>
      <c r="FP39" s="17">
        <v>0.57999999999999996</v>
      </c>
      <c r="FQ39" s="354">
        <f t="shared" si="44"/>
        <v>0.69315805198685376</v>
      </c>
      <c r="FR39" s="17" t="s">
        <v>285</v>
      </c>
      <c r="FS39" s="51" t="s">
        <v>2392</v>
      </c>
      <c r="FT39" s="164">
        <v>0.9</v>
      </c>
      <c r="FU39" s="176">
        <f t="shared" si="45"/>
        <v>1.075590080669256</v>
      </c>
      <c r="FV39" s="17" t="s">
        <v>42</v>
      </c>
      <c r="FW39" s="51" t="s">
        <v>2393</v>
      </c>
      <c r="FX39" s="17">
        <v>1.34</v>
      </c>
      <c r="FY39" s="260">
        <f t="shared" si="46"/>
        <v>1.6014341201075588</v>
      </c>
      <c r="FZ39" s="17" t="s">
        <v>42</v>
      </c>
      <c r="GA39" s="51" t="s">
        <v>2394</v>
      </c>
      <c r="GB39" s="53">
        <v>0.64</v>
      </c>
      <c r="GC39" s="202">
        <f t="shared" si="47"/>
        <v>0.76486405736480423</v>
      </c>
      <c r="GD39" s="21" t="s">
        <v>70</v>
      </c>
      <c r="GE39" s="63"/>
      <c r="GF39" s="17">
        <v>0.86</v>
      </c>
      <c r="GG39" s="141">
        <f t="shared" si="48"/>
        <v>1.0277860770839555</v>
      </c>
      <c r="GH39" s="17" t="s">
        <v>42</v>
      </c>
      <c r="GI39" s="51" t="s">
        <v>2328</v>
      </c>
      <c r="GJ39" s="17">
        <v>1.2</v>
      </c>
      <c r="GK39" s="335">
        <f t="shared" si="49"/>
        <v>1.4341201075590078</v>
      </c>
      <c r="GL39" s="17" t="s">
        <v>42</v>
      </c>
      <c r="GM39" s="67" t="s">
        <v>2395</v>
      </c>
      <c r="GN39" s="17">
        <v>0.59</v>
      </c>
      <c r="GO39" s="198">
        <f t="shared" si="50"/>
        <v>0.70510905288317882</v>
      </c>
      <c r="GP39" s="82" t="s">
        <v>48</v>
      </c>
      <c r="GQ39" s="40"/>
      <c r="GR39" s="17">
        <v>0.82</v>
      </c>
      <c r="GS39" s="389">
        <f t="shared" si="51"/>
        <v>0.97998207349865529</v>
      </c>
      <c r="GT39" s="17" t="s">
        <v>42</v>
      </c>
      <c r="GU39" s="51" t="s">
        <v>2396</v>
      </c>
      <c r="GV39" s="17">
        <v>1.02</v>
      </c>
      <c r="GW39" s="107">
        <f t="shared" si="52"/>
        <v>1.2190020914251567</v>
      </c>
      <c r="GX39" s="17" t="s">
        <v>48</v>
      </c>
      <c r="GY39" s="67" t="s">
        <v>2397</v>
      </c>
      <c r="GZ39" s="17">
        <v>0.65</v>
      </c>
      <c r="HA39" s="344">
        <f t="shared" si="53"/>
        <v>0.77681505826112929</v>
      </c>
      <c r="HB39" s="17" t="s">
        <v>48</v>
      </c>
      <c r="HC39" s="20" t="s">
        <v>2398</v>
      </c>
      <c r="HD39" s="17">
        <v>0.87</v>
      </c>
      <c r="HE39" s="206">
        <f t="shared" si="54"/>
        <v>1.0397370779802808</v>
      </c>
      <c r="HF39" s="17" t="s">
        <v>46</v>
      </c>
      <c r="HG39" s="20" t="s">
        <v>2399</v>
      </c>
      <c r="HH39" s="17">
        <v>0.78</v>
      </c>
      <c r="HI39" s="191">
        <f t="shared" si="55"/>
        <v>0.93217806991335517</v>
      </c>
      <c r="HJ39" s="17" t="s">
        <v>42</v>
      </c>
      <c r="HK39" s="20" t="s">
        <v>2400</v>
      </c>
      <c r="HL39" s="17">
        <v>0.7</v>
      </c>
      <c r="HM39" s="415">
        <f t="shared" si="56"/>
        <v>0.83657006274275458</v>
      </c>
      <c r="HN39" s="17" t="s">
        <v>285</v>
      </c>
      <c r="HO39" s="20" t="s">
        <v>2401</v>
      </c>
      <c r="HP39" s="17">
        <v>0.8</v>
      </c>
      <c r="HQ39" s="194">
        <f t="shared" si="57"/>
        <v>0.95608007170600529</v>
      </c>
      <c r="HR39" s="17" t="s">
        <v>42</v>
      </c>
      <c r="HS39" s="73" t="s">
        <v>2402</v>
      </c>
      <c r="HT39" s="17">
        <v>1.25</v>
      </c>
      <c r="HU39" s="114">
        <f t="shared" si="58"/>
        <v>1.4938751120406333</v>
      </c>
      <c r="HV39" s="17" t="s">
        <v>46</v>
      </c>
      <c r="HW39" s="75" t="s">
        <v>2403</v>
      </c>
      <c r="HX39" s="17">
        <v>0.75</v>
      </c>
      <c r="HY39" s="108">
        <f t="shared" si="59"/>
        <v>0.89632506722437988</v>
      </c>
      <c r="HZ39" s="21" t="s">
        <v>48</v>
      </c>
      <c r="IA39" s="75" t="s">
        <v>2404</v>
      </c>
      <c r="IB39" s="17">
        <v>0.68</v>
      </c>
      <c r="IC39" s="223">
        <f t="shared" si="60"/>
        <v>0.81266806095010458</v>
      </c>
      <c r="ID39" s="17" t="s">
        <v>48</v>
      </c>
      <c r="IE39" s="51" t="s">
        <v>2405</v>
      </c>
      <c r="IF39" s="17">
        <v>0.63</v>
      </c>
      <c r="IG39" s="242">
        <f t="shared" si="61"/>
        <v>0.75291305646847917</v>
      </c>
      <c r="IH39" s="17" t="s">
        <v>46</v>
      </c>
      <c r="II39" s="51" t="s">
        <v>2406</v>
      </c>
      <c r="IJ39" s="17">
        <v>1.02</v>
      </c>
      <c r="IK39" s="107">
        <f t="shared" si="62"/>
        <v>1.2190020914251567</v>
      </c>
      <c r="IL39" s="17" t="s">
        <v>48</v>
      </c>
      <c r="IM39" s="51" t="s">
        <v>2407</v>
      </c>
      <c r="IN39" s="17">
        <v>0.93</v>
      </c>
      <c r="IO39" s="263">
        <f t="shared" si="63"/>
        <v>1.1114430833582312</v>
      </c>
      <c r="IP39" s="17" t="s">
        <v>46</v>
      </c>
      <c r="IQ39" s="51" t="s">
        <v>2408</v>
      </c>
      <c r="IR39" s="17">
        <v>0.97</v>
      </c>
      <c r="IS39" s="230">
        <f t="shared" si="64"/>
        <v>1.1592470869435314</v>
      </c>
      <c r="IT39" s="17" t="s">
        <v>42</v>
      </c>
      <c r="IU39" s="75" t="s">
        <v>2409</v>
      </c>
      <c r="IV39" s="17">
        <v>0.43</v>
      </c>
      <c r="IW39" s="509">
        <f t="shared" si="65"/>
        <v>0.51389303854197776</v>
      </c>
      <c r="IX39" s="17" t="s">
        <v>46</v>
      </c>
      <c r="IY39" s="274"/>
      <c r="IZ39" s="17">
        <v>0.81</v>
      </c>
      <c r="JA39" s="433">
        <f t="shared" si="66"/>
        <v>0.96803107260233034</v>
      </c>
      <c r="JB39" s="17" t="s">
        <v>46</v>
      </c>
      <c r="JC39" s="51" t="s">
        <v>2410</v>
      </c>
      <c r="JD39" s="17">
        <v>0.85</v>
      </c>
      <c r="JE39" s="200">
        <f t="shared" si="67"/>
        <v>1.0158350761876305</v>
      </c>
      <c r="JF39" s="17" t="s">
        <v>46</v>
      </c>
      <c r="JG39" s="51" t="s">
        <v>2411</v>
      </c>
      <c r="JH39" s="17">
        <v>0.71</v>
      </c>
      <c r="JI39" s="288">
        <f t="shared" si="68"/>
        <v>0.84852106363907964</v>
      </c>
      <c r="JJ39" s="17" t="s">
        <v>414</v>
      </c>
      <c r="JK39" s="51" t="s">
        <v>2412</v>
      </c>
      <c r="JL39" s="21">
        <v>0.6</v>
      </c>
      <c r="JM39" s="291">
        <f t="shared" si="69"/>
        <v>0.71706005377950388</v>
      </c>
      <c r="JN39" s="21" t="s">
        <v>66</v>
      </c>
      <c r="JO39" s="75" t="s">
        <v>2413</v>
      </c>
      <c r="JP39" s="21">
        <v>0.4</v>
      </c>
      <c r="JQ39" s="686">
        <f t="shared" si="70"/>
        <v>0.47804003585300264</v>
      </c>
      <c r="JR39" s="21" t="s">
        <v>66</v>
      </c>
      <c r="JS39" s="51" t="s">
        <v>2414</v>
      </c>
      <c r="JT39" s="21">
        <v>0.65</v>
      </c>
      <c r="JU39" s="344">
        <f t="shared" si="71"/>
        <v>0.77681505826112929</v>
      </c>
      <c r="JV39" s="21" t="s">
        <v>70</v>
      </c>
      <c r="JW39" s="75" t="s">
        <v>2415</v>
      </c>
      <c r="JX39" s="17">
        <v>0.85</v>
      </c>
      <c r="JY39" s="200">
        <f t="shared" si="72"/>
        <v>1.0158350761876305</v>
      </c>
      <c r="JZ39" s="51" t="s">
        <v>48</v>
      </c>
      <c r="KA39" s="51" t="s">
        <v>2416</v>
      </c>
      <c r="KB39" s="21">
        <v>1.1399999999999999</v>
      </c>
      <c r="KC39" s="226">
        <f t="shared" si="73"/>
        <v>1.3624141021810574</v>
      </c>
      <c r="KD39" s="75" t="s">
        <v>46</v>
      </c>
      <c r="KE39" s="75" t="s">
        <v>2417</v>
      </c>
      <c r="KF39" s="17">
        <v>0.53</v>
      </c>
      <c r="KG39" s="382">
        <f t="shared" si="74"/>
        <v>0.63340304750522847</v>
      </c>
      <c r="KH39" s="51" t="s">
        <v>48</v>
      </c>
      <c r="KI39" s="51" t="s">
        <v>2352</v>
      </c>
      <c r="KJ39" s="21">
        <v>0.74</v>
      </c>
      <c r="KK39" s="436">
        <f t="shared" si="75"/>
        <v>0.88437406632805482</v>
      </c>
      <c r="KL39" s="75" t="s">
        <v>46</v>
      </c>
      <c r="KM39" s="75" t="s">
        <v>2418</v>
      </c>
      <c r="KN39" s="17">
        <v>0.88</v>
      </c>
      <c r="KO39" s="535">
        <f t="shared" si="76"/>
        <v>1.0516880788766059</v>
      </c>
      <c r="KP39" s="51" t="s">
        <v>46</v>
      </c>
      <c r="KQ39" s="51" t="s">
        <v>2419</v>
      </c>
      <c r="KR39" s="21">
        <v>0.85</v>
      </c>
      <c r="KS39" s="200">
        <f t="shared" si="77"/>
        <v>1.0158350761876305</v>
      </c>
      <c r="KT39" s="75" t="s">
        <v>70</v>
      </c>
      <c r="KU39" s="75" t="s">
        <v>2420</v>
      </c>
      <c r="KV39" s="82">
        <v>1.01</v>
      </c>
      <c r="KW39" s="285">
        <f t="shared" si="78"/>
        <v>1.2070510905288316</v>
      </c>
      <c r="KX39" s="51" t="s">
        <v>179</v>
      </c>
      <c r="KY39" s="51" t="s">
        <v>2421</v>
      </c>
      <c r="KZ39" s="83">
        <v>0.38</v>
      </c>
      <c r="LA39" s="290">
        <f t="shared" si="79"/>
        <v>0.45413803406035252</v>
      </c>
      <c r="LB39" s="75" t="s">
        <v>285</v>
      </c>
      <c r="LC39" s="75" t="s">
        <v>2357</v>
      </c>
      <c r="LD39" s="82">
        <v>0.75</v>
      </c>
      <c r="LE39" s="108">
        <f t="shared" si="80"/>
        <v>0.89632506722437988</v>
      </c>
      <c r="LF39" s="51" t="s">
        <v>46</v>
      </c>
      <c r="LG39" s="51" t="s">
        <v>2422</v>
      </c>
      <c r="LH39" s="83">
        <v>0.52</v>
      </c>
      <c r="LI39" s="84"/>
      <c r="LJ39" s="85"/>
      <c r="LK39" s="85"/>
      <c r="LL39" s="86">
        <f t="shared" si="81"/>
        <v>0.83784810126582299</v>
      </c>
      <c r="LM39" s="86">
        <f t="shared" si="82"/>
        <v>0.89515032482248047</v>
      </c>
      <c r="LN39" s="86">
        <f t="shared" si="90"/>
        <v>1.0295750904769321</v>
      </c>
      <c r="LO39" s="86">
        <f t="shared" si="94"/>
        <v>0.95363296994191904</v>
      </c>
      <c r="LP39" s="86">
        <f t="shared" si="95"/>
        <v>6.9093365155181496E-2</v>
      </c>
      <c r="LQ39" s="87">
        <f t="shared" si="96"/>
        <v>0</v>
      </c>
      <c r="LR39" s="86">
        <f t="shared" si="97"/>
        <v>0.98723143447480921</v>
      </c>
      <c r="LS39" s="84">
        <v>1</v>
      </c>
      <c r="LT39" s="87">
        <f t="shared" si="100"/>
        <v>1</v>
      </c>
      <c r="LU39" s="87">
        <f t="shared" si="92"/>
        <v>1</v>
      </c>
      <c r="LV39" s="86">
        <f t="shared" si="98"/>
        <v>0.92</v>
      </c>
      <c r="LW39" s="89" t="s">
        <v>3810</v>
      </c>
      <c r="LX39" s="5" t="str">
        <f t="shared" si="87"/>
        <v/>
      </c>
      <c r="LY39" s="5" t="str">
        <f t="shared" si="102"/>
        <v/>
      </c>
      <c r="LZ39" s="5"/>
      <c r="MA39" s="67" t="str">
        <f t="shared" si="99"/>
        <v>CORINTHIANS</v>
      </c>
      <c r="MB39" s="89" t="s">
        <v>3808</v>
      </c>
    </row>
    <row r="40" spans="1:340" x14ac:dyDescent="0.2">
      <c r="A40" s="16">
        <v>0.77569444444444446</v>
      </c>
      <c r="B40" s="687">
        <f t="shared" si="0"/>
        <v>0.83937499999999987</v>
      </c>
      <c r="C40" s="688">
        <f t="shared" si="1"/>
        <v>-0.10647803425167524</v>
      </c>
      <c r="D40" s="17">
        <v>0.75</v>
      </c>
      <c r="E40" s="199">
        <f t="shared" si="2"/>
        <v>0.89352196574832476</v>
      </c>
      <c r="F40" s="17" t="s">
        <v>42</v>
      </c>
      <c r="G40" s="20" t="s">
        <v>2423</v>
      </c>
      <c r="H40" s="21">
        <v>1.07</v>
      </c>
      <c r="I40" s="689">
        <f t="shared" si="3"/>
        <v>1.2747580044676101</v>
      </c>
      <c r="J40" s="21" t="s">
        <v>48</v>
      </c>
      <c r="K40" s="23" t="s">
        <v>2424</v>
      </c>
      <c r="L40" s="17">
        <v>1.2</v>
      </c>
      <c r="M40" s="643">
        <f t="shared" si="4"/>
        <v>1.4296351451973195</v>
      </c>
      <c r="N40" s="17" t="s">
        <v>70</v>
      </c>
      <c r="O40" s="20" t="s">
        <v>2425</v>
      </c>
      <c r="P40" s="21">
        <v>0.92</v>
      </c>
      <c r="Q40" s="385">
        <f t="shared" si="5"/>
        <v>1.0960536113179451</v>
      </c>
      <c r="R40" s="21" t="s">
        <v>70</v>
      </c>
      <c r="S40" s="23" t="s">
        <v>2426</v>
      </c>
      <c r="T40" s="17">
        <v>0.8</v>
      </c>
      <c r="U40" s="194">
        <f t="shared" si="6"/>
        <v>0.9530900967982131</v>
      </c>
      <c r="V40" s="17" t="s">
        <v>46</v>
      </c>
      <c r="W40" s="5"/>
      <c r="X40" s="21">
        <v>1.04</v>
      </c>
      <c r="Y40" s="243">
        <f t="shared" si="7"/>
        <v>1.239017125837677</v>
      </c>
      <c r="Z40" s="21" t="s">
        <v>70</v>
      </c>
      <c r="AA40" s="28"/>
      <c r="AB40" s="17">
        <v>0.94</v>
      </c>
      <c r="AC40" s="192">
        <f t="shared" si="8"/>
        <v>1.1198808637379003</v>
      </c>
      <c r="AD40" s="17" t="s">
        <v>108</v>
      </c>
      <c r="AE40" s="20" t="s">
        <v>2427</v>
      </c>
      <c r="AF40" s="21">
        <v>0.83</v>
      </c>
      <c r="AG40" s="122">
        <f t="shared" si="9"/>
        <v>0.98883097542814602</v>
      </c>
      <c r="AH40" s="21" t="s">
        <v>42</v>
      </c>
      <c r="AI40" s="23" t="s">
        <v>2428</v>
      </c>
      <c r="AJ40" s="17">
        <v>1.01</v>
      </c>
      <c r="AK40" s="81">
        <f t="shared" si="10"/>
        <v>1.2032762472077441</v>
      </c>
      <c r="AL40" s="17" t="s">
        <v>108</v>
      </c>
      <c r="AM40" s="20" t="s">
        <v>2429</v>
      </c>
      <c r="AN40" s="21">
        <v>1.26</v>
      </c>
      <c r="AO40" s="690">
        <f t="shared" si="11"/>
        <v>1.5011169024571855</v>
      </c>
      <c r="AP40" s="21" t="s">
        <v>108</v>
      </c>
      <c r="AQ40" s="28"/>
      <c r="AR40" s="17">
        <v>1.02</v>
      </c>
      <c r="AS40" s="361">
        <f t="shared" si="12"/>
        <v>1.2151898734177218</v>
      </c>
      <c r="AT40" s="17" t="s">
        <v>48</v>
      </c>
      <c r="AU40" s="20" t="s">
        <v>2430</v>
      </c>
      <c r="AV40" s="21">
        <v>1.18</v>
      </c>
      <c r="AW40" s="105">
        <f t="shared" si="13"/>
        <v>1.4058078927773643</v>
      </c>
      <c r="AX40" s="21" t="s">
        <v>46</v>
      </c>
      <c r="AY40" s="23" t="s">
        <v>2431</v>
      </c>
      <c r="AZ40" s="17">
        <v>1.1200000000000001</v>
      </c>
      <c r="BA40" s="98">
        <f t="shared" si="14"/>
        <v>1.3343261355174985</v>
      </c>
      <c r="BB40" s="17" t="s">
        <v>42</v>
      </c>
      <c r="BC40" s="20" t="s">
        <v>2432</v>
      </c>
      <c r="BD40" s="17">
        <v>0.97</v>
      </c>
      <c r="BE40" s="691">
        <f t="shared" si="15"/>
        <v>1.1556217423678334</v>
      </c>
      <c r="BF40" s="17" t="s">
        <v>70</v>
      </c>
      <c r="BG40" s="20" t="s">
        <v>2433</v>
      </c>
      <c r="BH40" s="37">
        <v>1.37</v>
      </c>
      <c r="BI40" s="345">
        <f t="shared" si="16"/>
        <v>1.6321667907669402</v>
      </c>
      <c r="BJ40" s="37" t="s">
        <v>70</v>
      </c>
      <c r="BK40" s="38" t="s">
        <v>2434</v>
      </c>
      <c r="BL40" s="17">
        <v>0.68</v>
      </c>
      <c r="BM40" s="159">
        <f t="shared" si="17"/>
        <v>0.81012658227848122</v>
      </c>
      <c r="BN40" s="17" t="s">
        <v>48</v>
      </c>
      <c r="BO40" s="40"/>
      <c r="BP40" s="17">
        <v>0.71</v>
      </c>
      <c r="BQ40" s="497">
        <f t="shared" si="18"/>
        <v>0.84586746090841414</v>
      </c>
      <c r="BR40" s="17" t="s">
        <v>70</v>
      </c>
      <c r="BS40" s="41"/>
      <c r="BT40" s="37">
        <v>0.93</v>
      </c>
      <c r="BU40" s="474">
        <f t="shared" si="19"/>
        <v>1.1079672375279228</v>
      </c>
      <c r="BV40" s="46" t="s">
        <v>42</v>
      </c>
      <c r="BW40" s="23" t="s">
        <v>2371</v>
      </c>
      <c r="BX40" s="17">
        <v>0.63</v>
      </c>
      <c r="BY40" s="242">
        <f t="shared" si="20"/>
        <v>0.75055845122859277</v>
      </c>
      <c r="BZ40" s="17" t="s">
        <v>42</v>
      </c>
      <c r="CA40" s="20" t="s">
        <v>2435</v>
      </c>
      <c r="CB40" s="37">
        <v>1.0900000000000001</v>
      </c>
      <c r="CC40" s="360">
        <f t="shared" si="21"/>
        <v>1.2985852568875655</v>
      </c>
      <c r="CD40" s="46" t="s">
        <v>42</v>
      </c>
      <c r="CE40" s="23" t="s">
        <v>2436</v>
      </c>
      <c r="CF40" s="17">
        <v>0.51</v>
      </c>
      <c r="CG40" s="247">
        <f t="shared" si="22"/>
        <v>0.60759493670886089</v>
      </c>
      <c r="CH40" s="17" t="s">
        <v>46</v>
      </c>
      <c r="CI40" s="20" t="s">
        <v>2437</v>
      </c>
      <c r="CJ40" s="37">
        <v>0.18</v>
      </c>
      <c r="CK40" s="428">
        <f t="shared" si="23"/>
        <v>0.21444527177959793</v>
      </c>
      <c r="CL40" s="46" t="s">
        <v>48</v>
      </c>
      <c r="CM40" s="23" t="s">
        <v>2438</v>
      </c>
      <c r="CN40" s="17">
        <v>0.94</v>
      </c>
      <c r="CO40" s="192">
        <f t="shared" si="24"/>
        <v>1.1198808637379003</v>
      </c>
      <c r="CP40" s="17" t="s">
        <v>42</v>
      </c>
      <c r="CQ40" s="20" t="s">
        <v>2439</v>
      </c>
      <c r="CR40" s="37">
        <v>0.62</v>
      </c>
      <c r="CS40" s="425">
        <f t="shared" si="25"/>
        <v>0.73864482501861517</v>
      </c>
      <c r="CT40" s="21" t="s">
        <v>42</v>
      </c>
      <c r="CU40" s="23" t="s">
        <v>2440</v>
      </c>
      <c r="CV40" s="17">
        <v>0.82</v>
      </c>
      <c r="CW40" s="389">
        <f t="shared" si="26"/>
        <v>0.97691734921816842</v>
      </c>
      <c r="CX40" s="17" t="s">
        <v>42</v>
      </c>
      <c r="CY40" s="20" t="s">
        <v>2441</v>
      </c>
      <c r="CZ40" s="37">
        <v>0.84</v>
      </c>
      <c r="DA40" s="17">
        <f t="shared" si="27"/>
        <v>1.0007446016381236</v>
      </c>
      <c r="DB40" s="21" t="s">
        <v>1994</v>
      </c>
      <c r="DC40" s="23" t="s">
        <v>2314</v>
      </c>
      <c r="DD40" s="17">
        <v>0.86</v>
      </c>
      <c r="DE40" s="368">
        <f t="shared" si="28"/>
        <v>1.024571854058079</v>
      </c>
      <c r="DF40" s="17" t="s">
        <v>42</v>
      </c>
      <c r="DG40" s="20" t="s">
        <v>2442</v>
      </c>
      <c r="DH40" s="37">
        <v>0.91</v>
      </c>
      <c r="DI40" s="591">
        <f t="shared" si="29"/>
        <v>1.0841399851079674</v>
      </c>
      <c r="DJ40" s="21" t="s">
        <v>42</v>
      </c>
      <c r="DK40" s="28"/>
      <c r="DL40" s="17">
        <v>0.38</v>
      </c>
      <c r="DM40" s="290">
        <f t="shared" si="30"/>
        <v>0.45271779597915124</v>
      </c>
      <c r="DN40" s="17" t="s">
        <v>70</v>
      </c>
      <c r="DO40" s="51" t="s">
        <v>2443</v>
      </c>
      <c r="DP40" s="21">
        <v>0.89</v>
      </c>
      <c r="DQ40" s="570">
        <f t="shared" si="31"/>
        <v>1.0603127326880122</v>
      </c>
      <c r="DR40" s="53" t="s">
        <v>42</v>
      </c>
      <c r="DS40" s="54" t="s">
        <v>2444</v>
      </c>
      <c r="DT40" s="53">
        <v>0.56000000000000005</v>
      </c>
      <c r="DU40" s="411">
        <f t="shared" si="32"/>
        <v>0.66716306775874923</v>
      </c>
      <c r="DV40" s="56" t="s">
        <v>46</v>
      </c>
      <c r="DW40" s="57" t="s">
        <v>2445</v>
      </c>
      <c r="DX40" s="53">
        <v>0.64</v>
      </c>
      <c r="DY40" s="356">
        <f t="shared" si="33"/>
        <v>0.76247207743857048</v>
      </c>
      <c r="DZ40" s="53" t="s">
        <v>42</v>
      </c>
      <c r="EA40" s="54" t="s">
        <v>2445</v>
      </c>
      <c r="EB40" s="56">
        <v>0.7</v>
      </c>
      <c r="EC40" s="514">
        <f t="shared" si="34"/>
        <v>0.83395383469843642</v>
      </c>
      <c r="ED40" s="56" t="s">
        <v>48</v>
      </c>
      <c r="EE40" s="57" t="s">
        <v>2446</v>
      </c>
      <c r="EF40" s="53">
        <v>0.51</v>
      </c>
      <c r="EG40" s="247">
        <f t="shared" si="35"/>
        <v>0.60759493670886089</v>
      </c>
      <c r="EH40" s="53" t="s">
        <v>46</v>
      </c>
      <c r="EI40" s="57" t="s">
        <v>2447</v>
      </c>
      <c r="EJ40" s="53">
        <v>1.33</v>
      </c>
      <c r="EK40" s="35">
        <f t="shared" si="36"/>
        <v>1.5845122859270293</v>
      </c>
      <c r="EL40" s="56" t="s">
        <v>48</v>
      </c>
      <c r="EM40" s="57" t="s">
        <v>2448</v>
      </c>
      <c r="EN40" s="53">
        <v>1.03</v>
      </c>
      <c r="EO40" s="434">
        <f t="shared" si="37"/>
        <v>1.2271034996276995</v>
      </c>
      <c r="EP40" s="53" t="s">
        <v>48</v>
      </c>
      <c r="EQ40" s="23" t="s">
        <v>2449</v>
      </c>
      <c r="ER40" s="53">
        <v>0.67</v>
      </c>
      <c r="ES40" s="491">
        <f t="shared" si="38"/>
        <v>0.79821295606850351</v>
      </c>
      <c r="ET40" s="53" t="s">
        <v>48</v>
      </c>
      <c r="EU40" s="20" t="s">
        <v>2259</v>
      </c>
      <c r="EV40" s="53">
        <v>1.22</v>
      </c>
      <c r="EW40" s="453">
        <f t="shared" si="39"/>
        <v>1.4534623976172749</v>
      </c>
      <c r="EX40" s="21" t="s">
        <v>42</v>
      </c>
      <c r="EY40" s="57" t="s">
        <v>2450</v>
      </c>
      <c r="EZ40" s="53">
        <v>1.01</v>
      </c>
      <c r="FA40" s="81">
        <f t="shared" si="40"/>
        <v>1.2032762472077441</v>
      </c>
      <c r="FB40" s="40"/>
      <c r="FC40" s="40"/>
      <c r="FD40" s="53">
        <v>1.17</v>
      </c>
      <c r="FE40" s="692">
        <f t="shared" si="41"/>
        <v>1.3938942665673866</v>
      </c>
      <c r="FF40" s="21" t="s">
        <v>42</v>
      </c>
      <c r="FG40" s="64"/>
      <c r="FH40" s="17">
        <v>0.91</v>
      </c>
      <c r="FI40" s="591">
        <f t="shared" si="42"/>
        <v>1.0841399851079674</v>
      </c>
      <c r="FJ40" s="17" t="s">
        <v>42</v>
      </c>
      <c r="FK40" s="51" t="s">
        <v>2451</v>
      </c>
      <c r="FL40" s="17">
        <v>0.94</v>
      </c>
      <c r="FM40" s="192">
        <f t="shared" si="43"/>
        <v>1.1198808637379003</v>
      </c>
      <c r="FN40" s="21" t="s">
        <v>48</v>
      </c>
      <c r="FO40" s="51" t="s">
        <v>2391</v>
      </c>
      <c r="FP40" s="17">
        <v>0.62</v>
      </c>
      <c r="FQ40" s="425">
        <f t="shared" si="44"/>
        <v>0.73864482501861517</v>
      </c>
      <c r="FR40" s="17" t="s">
        <v>285</v>
      </c>
      <c r="FS40" s="51" t="s">
        <v>2452</v>
      </c>
      <c r="FT40" s="204">
        <v>0.83</v>
      </c>
      <c r="FU40" s="122">
        <f t="shared" si="45"/>
        <v>0.98883097542814602</v>
      </c>
      <c r="FV40" s="17" t="s">
        <v>42</v>
      </c>
      <c r="FW40" s="51" t="s">
        <v>2453</v>
      </c>
      <c r="FX40" s="17">
        <v>1.41</v>
      </c>
      <c r="FY40" s="693">
        <f t="shared" si="46"/>
        <v>1.6798212956068506</v>
      </c>
      <c r="FZ40" s="17" t="s">
        <v>42</v>
      </c>
      <c r="GA40" s="51" t="s">
        <v>2454</v>
      </c>
      <c r="GB40" s="53">
        <v>0.64</v>
      </c>
      <c r="GC40" s="356">
        <f t="shared" si="47"/>
        <v>0.76247207743857048</v>
      </c>
      <c r="GD40" s="21" t="s">
        <v>70</v>
      </c>
      <c r="GE40" s="63"/>
      <c r="GF40" s="17">
        <v>0.91</v>
      </c>
      <c r="GG40" s="591">
        <f t="shared" si="48"/>
        <v>1.0841399851079674</v>
      </c>
      <c r="GH40" s="17" t="s">
        <v>42</v>
      </c>
      <c r="GI40" s="51" t="s">
        <v>2455</v>
      </c>
      <c r="GJ40" s="17">
        <v>1.2</v>
      </c>
      <c r="GK40" s="643">
        <f t="shared" si="49"/>
        <v>1.4296351451973195</v>
      </c>
      <c r="GL40" s="82" t="s">
        <v>46</v>
      </c>
      <c r="GM40" s="67" t="s">
        <v>2456</v>
      </c>
      <c r="GN40" s="17">
        <v>0.57999999999999996</v>
      </c>
      <c r="GO40" s="354">
        <f t="shared" si="50"/>
        <v>0.69099032017870443</v>
      </c>
      <c r="GP40" s="82" t="s">
        <v>48</v>
      </c>
      <c r="GQ40" s="40"/>
      <c r="GR40" s="17">
        <v>0.76</v>
      </c>
      <c r="GS40" s="300">
        <f t="shared" si="51"/>
        <v>0.90543559195830248</v>
      </c>
      <c r="GT40" s="17" t="s">
        <v>42</v>
      </c>
      <c r="GU40" s="51" t="s">
        <v>2457</v>
      </c>
      <c r="GV40" s="17">
        <v>1.02</v>
      </c>
      <c r="GW40" s="361">
        <f t="shared" si="52"/>
        <v>1.2151898734177218</v>
      </c>
      <c r="GX40" s="17" t="s">
        <v>48</v>
      </c>
      <c r="GY40" s="67" t="s">
        <v>2458</v>
      </c>
      <c r="GZ40" s="17">
        <v>0.72</v>
      </c>
      <c r="HA40" s="272">
        <f t="shared" si="53"/>
        <v>0.85778108711839174</v>
      </c>
      <c r="HB40" s="17" t="s">
        <v>48</v>
      </c>
      <c r="HC40" s="20" t="s">
        <v>2459</v>
      </c>
      <c r="HD40" s="17">
        <v>0.87</v>
      </c>
      <c r="HE40" s="601">
        <f t="shared" si="54"/>
        <v>1.0364854802680568</v>
      </c>
      <c r="HF40" s="17" t="s">
        <v>46</v>
      </c>
      <c r="HG40" s="20" t="s">
        <v>2399</v>
      </c>
      <c r="HH40" s="17">
        <v>0.72</v>
      </c>
      <c r="HI40" s="272">
        <f t="shared" si="55"/>
        <v>0.85778108711839174</v>
      </c>
      <c r="HJ40" s="17" t="s">
        <v>42</v>
      </c>
      <c r="HK40" s="20" t="s">
        <v>2460</v>
      </c>
      <c r="HL40" s="17">
        <v>0.7</v>
      </c>
      <c r="HM40" s="514">
        <f t="shared" si="56"/>
        <v>0.83395383469843642</v>
      </c>
      <c r="HN40" s="17" t="s">
        <v>42</v>
      </c>
      <c r="HO40" s="20" t="s">
        <v>2461</v>
      </c>
      <c r="HP40" s="17">
        <v>0.74</v>
      </c>
      <c r="HQ40" s="510">
        <f t="shared" si="57"/>
        <v>0.88160833953834716</v>
      </c>
      <c r="HR40" s="17" t="s">
        <v>42</v>
      </c>
      <c r="HS40" s="73" t="s">
        <v>2462</v>
      </c>
      <c r="HT40" s="17">
        <v>1.25</v>
      </c>
      <c r="HU40" s="50">
        <f t="shared" si="58"/>
        <v>1.4892032762472081</v>
      </c>
      <c r="HV40" s="17" t="s">
        <v>46</v>
      </c>
      <c r="HW40" s="75" t="s">
        <v>2463</v>
      </c>
      <c r="HX40" s="17">
        <v>0.81</v>
      </c>
      <c r="HY40" s="433">
        <f t="shared" si="59"/>
        <v>0.96500372300819082</v>
      </c>
      <c r="HZ40" s="21" t="s">
        <v>48</v>
      </c>
      <c r="IA40" s="75" t="s">
        <v>2464</v>
      </c>
      <c r="IB40" s="17">
        <v>0.75</v>
      </c>
      <c r="IC40" s="199">
        <f t="shared" si="60"/>
        <v>0.89352196574832476</v>
      </c>
      <c r="ID40" s="17" t="s">
        <v>48</v>
      </c>
      <c r="IE40" s="51" t="s">
        <v>2465</v>
      </c>
      <c r="IF40" s="17">
        <v>0.7</v>
      </c>
      <c r="IG40" s="514">
        <f t="shared" si="61"/>
        <v>0.83395383469843642</v>
      </c>
      <c r="IH40" s="17" t="s">
        <v>46</v>
      </c>
      <c r="II40" s="51" t="s">
        <v>2466</v>
      </c>
      <c r="IJ40" s="17">
        <v>0.89</v>
      </c>
      <c r="IK40" s="570">
        <f t="shared" si="62"/>
        <v>1.0603127326880122</v>
      </c>
      <c r="IL40" s="17" t="s">
        <v>856</v>
      </c>
      <c r="IM40" s="51" t="s">
        <v>2407</v>
      </c>
      <c r="IN40" s="17">
        <v>0.93</v>
      </c>
      <c r="IO40" s="474">
        <f t="shared" si="63"/>
        <v>1.1079672375279228</v>
      </c>
      <c r="IP40" s="17" t="s">
        <v>46</v>
      </c>
      <c r="IQ40" s="51" t="s">
        <v>2467</v>
      </c>
      <c r="IR40" s="17">
        <v>0.85</v>
      </c>
      <c r="IS40" s="111">
        <f t="shared" si="64"/>
        <v>1.0126582278481013</v>
      </c>
      <c r="IT40" s="17" t="s">
        <v>42</v>
      </c>
      <c r="IU40" s="75" t="s">
        <v>2468</v>
      </c>
      <c r="IV40" s="17">
        <v>0.43</v>
      </c>
      <c r="IW40" s="350">
        <f t="shared" si="65"/>
        <v>0.51228592702903952</v>
      </c>
      <c r="IX40" s="17" t="s">
        <v>42</v>
      </c>
      <c r="IY40" s="51" t="s">
        <v>2469</v>
      </c>
      <c r="IZ40" s="17">
        <v>0.87</v>
      </c>
      <c r="JA40" s="601">
        <f t="shared" si="66"/>
        <v>1.0364854802680568</v>
      </c>
      <c r="JB40" s="17" t="s">
        <v>46</v>
      </c>
      <c r="JC40" s="51" t="s">
        <v>2470</v>
      </c>
      <c r="JD40" s="17">
        <v>0.78</v>
      </c>
      <c r="JE40" s="652">
        <f t="shared" si="67"/>
        <v>0.92926284437825779</v>
      </c>
      <c r="JF40" s="17" t="s">
        <v>46</v>
      </c>
      <c r="JG40" s="51" t="s">
        <v>2471</v>
      </c>
      <c r="JH40" s="17">
        <v>0.71</v>
      </c>
      <c r="JI40" s="497">
        <f t="shared" si="68"/>
        <v>0.84586746090841414</v>
      </c>
      <c r="JJ40" s="17" t="s">
        <v>66</v>
      </c>
      <c r="JK40" s="51" t="s">
        <v>2472</v>
      </c>
      <c r="JL40" s="21">
        <v>0.6</v>
      </c>
      <c r="JM40" s="291">
        <f t="shared" si="69"/>
        <v>0.71481757259865975</v>
      </c>
      <c r="JN40" s="21" t="s">
        <v>46</v>
      </c>
      <c r="JO40" s="75" t="s">
        <v>2473</v>
      </c>
      <c r="JP40" s="21">
        <v>0.4</v>
      </c>
      <c r="JQ40" s="686">
        <f t="shared" si="70"/>
        <v>0.47654504839910655</v>
      </c>
      <c r="JR40" s="21" t="s">
        <v>48</v>
      </c>
      <c r="JS40" s="51" t="s">
        <v>2474</v>
      </c>
      <c r="JT40" s="21">
        <v>0.65</v>
      </c>
      <c r="JU40" s="217">
        <f t="shared" si="71"/>
        <v>0.7743857036485482</v>
      </c>
      <c r="JV40" s="21" t="s">
        <v>70</v>
      </c>
      <c r="JW40" s="75" t="s">
        <v>2475</v>
      </c>
      <c r="JX40" s="17">
        <v>0.85</v>
      </c>
      <c r="JY40" s="111">
        <f t="shared" si="72"/>
        <v>1.0126582278481013</v>
      </c>
      <c r="JZ40" s="51" t="s">
        <v>48</v>
      </c>
      <c r="KA40" s="51" t="s">
        <v>2476</v>
      </c>
      <c r="KB40" s="21">
        <v>1.21</v>
      </c>
      <c r="KC40" s="79">
        <f t="shared" si="73"/>
        <v>1.4415487714072972</v>
      </c>
      <c r="KD40" s="75" t="s">
        <v>46</v>
      </c>
      <c r="KE40" s="75" t="s">
        <v>2477</v>
      </c>
      <c r="KF40" s="17">
        <v>0.6</v>
      </c>
      <c r="KG40" s="291">
        <f t="shared" si="74"/>
        <v>0.71481757259865975</v>
      </c>
      <c r="KH40" s="51" t="s">
        <v>48</v>
      </c>
      <c r="KI40" s="51" t="s">
        <v>2478</v>
      </c>
      <c r="KJ40" s="21">
        <v>0.67</v>
      </c>
      <c r="KK40" s="491">
        <f t="shared" si="75"/>
        <v>0.79821295606850351</v>
      </c>
      <c r="KL40" s="75" t="s">
        <v>46</v>
      </c>
      <c r="KM40" s="75" t="s">
        <v>2418</v>
      </c>
      <c r="KN40" s="17">
        <v>0.88</v>
      </c>
      <c r="KO40" s="395">
        <f t="shared" si="76"/>
        <v>1.0483991064780345</v>
      </c>
      <c r="KP40" s="51" t="s">
        <v>48</v>
      </c>
      <c r="KQ40" s="51" t="s">
        <v>2479</v>
      </c>
      <c r="KR40" s="21">
        <v>0.79</v>
      </c>
      <c r="KS40" s="121">
        <f t="shared" si="77"/>
        <v>0.9411764705882355</v>
      </c>
      <c r="KT40" s="75" t="s">
        <v>70</v>
      </c>
      <c r="KU40" s="75" t="s">
        <v>2480</v>
      </c>
      <c r="KV40" s="82">
        <v>1</v>
      </c>
      <c r="KW40" s="664">
        <f t="shared" si="78"/>
        <v>1.1913626209977664</v>
      </c>
      <c r="KX40" s="51" t="s">
        <v>179</v>
      </c>
      <c r="KY40" s="51" t="s">
        <v>2481</v>
      </c>
      <c r="KZ40" s="83">
        <v>0.38</v>
      </c>
      <c r="LA40" s="290">
        <f t="shared" si="79"/>
        <v>0.45271779597915124</v>
      </c>
      <c r="LB40" s="75" t="s">
        <v>179</v>
      </c>
      <c r="LC40" s="75" t="s">
        <v>2482</v>
      </c>
      <c r="LD40" s="82">
        <v>0.75</v>
      </c>
      <c r="LE40" s="199">
        <f t="shared" si="80"/>
        <v>0.89352196574832476</v>
      </c>
      <c r="LF40" s="51" t="s">
        <v>46</v>
      </c>
      <c r="LG40" s="51" t="s">
        <v>2483</v>
      </c>
      <c r="LH40" s="83">
        <v>0.52</v>
      </c>
      <c r="LI40" s="84"/>
      <c r="LJ40" s="85"/>
      <c r="LK40" s="85"/>
      <c r="LL40" s="86">
        <f t="shared" si="81"/>
        <v>0.84050632911392398</v>
      </c>
      <c r="LM40" s="86">
        <f t="shared" si="82"/>
        <v>0.89231927710843384</v>
      </c>
      <c r="LN40" s="86">
        <f t="shared" si="90"/>
        <v>1.0259419887024874</v>
      </c>
      <c r="LO40" s="86">
        <f t="shared" si="94"/>
        <v>0.92689906635904862</v>
      </c>
      <c r="LP40" s="86">
        <f t="shared" si="95"/>
        <v>-1.0674472609105146E-2</v>
      </c>
      <c r="LQ40" s="87">
        <f t="shared" si="96"/>
        <v>0</v>
      </c>
      <c r="LR40" s="86">
        <f t="shared" si="97"/>
        <v>0.93875673162905704</v>
      </c>
      <c r="LS40" s="84">
        <v>1</v>
      </c>
      <c r="LT40" s="87">
        <f t="shared" si="100"/>
        <v>0</v>
      </c>
      <c r="LU40" s="87">
        <f t="shared" si="92"/>
        <v>2</v>
      </c>
      <c r="LV40" s="86">
        <f t="shared" si="98"/>
        <v>0.96</v>
      </c>
      <c r="LW40" s="89" t="s">
        <v>3811</v>
      </c>
      <c r="LX40" s="5" t="str">
        <f t="shared" si="87"/>
        <v/>
      </c>
      <c r="LY40" s="5" t="str">
        <f t="shared" si="102"/>
        <v/>
      </c>
      <c r="LZ40" s="5"/>
      <c r="MA40" s="67" t="str">
        <f t="shared" si="99"/>
        <v>CORINTHIANS</v>
      </c>
      <c r="MB40" s="89" t="s">
        <v>3808</v>
      </c>
    </row>
    <row r="41" spans="1:340" x14ac:dyDescent="0.2">
      <c r="A41" s="16">
        <v>0.77638888888888891</v>
      </c>
      <c r="B41" s="687">
        <f t="shared" si="0"/>
        <v>0.84024999999999983</v>
      </c>
      <c r="C41" s="688">
        <f t="shared" si="1"/>
        <v>-0.10740850937221047</v>
      </c>
      <c r="D41" s="17">
        <v>0.75</v>
      </c>
      <c r="E41" s="199">
        <f t="shared" si="2"/>
        <v>0.89259149062778953</v>
      </c>
      <c r="F41" s="17" t="s">
        <v>42</v>
      </c>
      <c r="G41" s="20" t="s">
        <v>2484</v>
      </c>
      <c r="H41" s="21">
        <v>1.04</v>
      </c>
      <c r="I41" s="621">
        <f t="shared" si="3"/>
        <v>1.2377268670038681</v>
      </c>
      <c r="J41" s="21" t="s">
        <v>48</v>
      </c>
      <c r="K41" s="23" t="s">
        <v>2485</v>
      </c>
      <c r="L41" s="17">
        <v>1.25</v>
      </c>
      <c r="M41" s="169">
        <f t="shared" si="4"/>
        <v>1.4876524843796493</v>
      </c>
      <c r="N41" s="17" t="s">
        <v>70</v>
      </c>
      <c r="O41" s="20" t="s">
        <v>2486</v>
      </c>
      <c r="P41" s="21">
        <v>0.99</v>
      </c>
      <c r="Q41" s="25">
        <f t="shared" si="5"/>
        <v>1.1782207676286822</v>
      </c>
      <c r="R41" s="21" t="s">
        <v>48</v>
      </c>
      <c r="S41" s="23" t="s">
        <v>2487</v>
      </c>
      <c r="T41" s="17">
        <v>0.73</v>
      </c>
      <c r="U41" s="282">
        <f t="shared" si="6"/>
        <v>0.86878905087771507</v>
      </c>
      <c r="V41" s="17" t="s">
        <v>46</v>
      </c>
      <c r="W41" s="5"/>
      <c r="X41" s="21">
        <v>1.04</v>
      </c>
      <c r="Y41" s="621">
        <f t="shared" si="7"/>
        <v>1.2377268670038681</v>
      </c>
      <c r="Z41" s="21" t="s">
        <v>66</v>
      </c>
      <c r="AA41" s="28"/>
      <c r="AB41" s="17">
        <v>0.86</v>
      </c>
      <c r="AC41" s="368">
        <f t="shared" si="8"/>
        <v>1.0235049092531987</v>
      </c>
      <c r="AD41" s="17" t="s">
        <v>70</v>
      </c>
      <c r="AE41" s="20" t="s">
        <v>2488</v>
      </c>
      <c r="AF41" s="21">
        <v>0.83</v>
      </c>
      <c r="AG41" s="61">
        <f t="shared" si="9"/>
        <v>0.98780124962808702</v>
      </c>
      <c r="AH41" s="21" t="s">
        <v>42</v>
      </c>
      <c r="AI41" s="23" t="s">
        <v>2489</v>
      </c>
      <c r="AJ41" s="17">
        <v>1.01</v>
      </c>
      <c r="AK41" s="81">
        <f t="shared" si="10"/>
        <v>1.2020232073787567</v>
      </c>
      <c r="AL41" s="17" t="s">
        <v>46</v>
      </c>
      <c r="AM41" s="20" t="s">
        <v>2490</v>
      </c>
      <c r="AN41" s="21">
        <v>1.26</v>
      </c>
      <c r="AO41" s="694">
        <f t="shared" si="11"/>
        <v>1.4995537042546865</v>
      </c>
      <c r="AP41" s="21" t="s">
        <v>108</v>
      </c>
      <c r="AQ41" s="28"/>
      <c r="AR41" s="17">
        <v>1.1000000000000001</v>
      </c>
      <c r="AS41" s="315">
        <f t="shared" si="12"/>
        <v>1.3091341862540915</v>
      </c>
      <c r="AT41" s="17" t="s">
        <v>48</v>
      </c>
      <c r="AU41" s="20" t="s">
        <v>2491</v>
      </c>
      <c r="AV41" s="21">
        <v>1.18</v>
      </c>
      <c r="AW41" s="105">
        <f t="shared" si="13"/>
        <v>1.4043439452543889</v>
      </c>
      <c r="AX41" s="21" t="s">
        <v>66</v>
      </c>
      <c r="AY41" s="23" t="s">
        <v>2492</v>
      </c>
      <c r="AZ41" s="17">
        <v>1.19</v>
      </c>
      <c r="BA41" s="308">
        <f t="shared" si="14"/>
        <v>1.4162451651294259</v>
      </c>
      <c r="BB41" s="17" t="s">
        <v>42</v>
      </c>
      <c r="BC41" s="20" t="s">
        <v>2493</v>
      </c>
      <c r="BD41" s="17">
        <v>0.97</v>
      </c>
      <c r="BE41" s="402">
        <f t="shared" si="15"/>
        <v>1.1544183278786078</v>
      </c>
      <c r="BF41" s="17" t="s">
        <v>70</v>
      </c>
      <c r="BG41" s="20" t="s">
        <v>2494</v>
      </c>
      <c r="BH41" s="37">
        <v>1.29</v>
      </c>
      <c r="BI41" s="209">
        <f t="shared" si="16"/>
        <v>1.5352573638797979</v>
      </c>
      <c r="BJ41" s="37" t="s">
        <v>70</v>
      </c>
      <c r="BK41" s="38" t="s">
        <v>2495</v>
      </c>
      <c r="BL41" s="17">
        <v>0.68</v>
      </c>
      <c r="BM41" s="159">
        <f t="shared" si="17"/>
        <v>0.80928295150252927</v>
      </c>
      <c r="BN41" s="17" t="s">
        <v>48</v>
      </c>
      <c r="BO41" s="40"/>
      <c r="BP41" s="17">
        <v>0.71</v>
      </c>
      <c r="BQ41" s="497">
        <f t="shared" si="18"/>
        <v>0.84498661112764073</v>
      </c>
      <c r="BR41" s="17" t="s">
        <v>70</v>
      </c>
      <c r="BS41" s="41"/>
      <c r="BT41" s="37">
        <v>0.86</v>
      </c>
      <c r="BU41" s="368">
        <f t="shared" si="19"/>
        <v>1.0235049092531987</v>
      </c>
      <c r="BV41" s="46" t="s">
        <v>66</v>
      </c>
      <c r="BW41" s="23" t="s">
        <v>2496</v>
      </c>
      <c r="BX41" s="17">
        <v>0.56000000000000005</v>
      </c>
      <c r="BY41" s="178">
        <f t="shared" si="20"/>
        <v>0.66646831300208287</v>
      </c>
      <c r="BZ41" s="17" t="s">
        <v>42</v>
      </c>
      <c r="CA41" s="20" t="s">
        <v>2497</v>
      </c>
      <c r="CB41" s="37">
        <v>0.95</v>
      </c>
      <c r="CC41" s="33">
        <f t="shared" si="21"/>
        <v>1.1306158881285333</v>
      </c>
      <c r="CD41" s="46" t="s">
        <v>42</v>
      </c>
      <c r="CE41" s="23" t="s">
        <v>2498</v>
      </c>
      <c r="CF41" s="17">
        <v>0.51</v>
      </c>
      <c r="CG41" s="247">
        <f t="shared" si="22"/>
        <v>0.60696221362689684</v>
      </c>
      <c r="CH41" s="17" t="s">
        <v>48</v>
      </c>
      <c r="CI41" s="20" t="s">
        <v>2499</v>
      </c>
      <c r="CJ41" s="37">
        <v>0.39</v>
      </c>
      <c r="CK41" s="316">
        <f t="shared" si="23"/>
        <v>0.46414757512645055</v>
      </c>
      <c r="CL41" s="46" t="s">
        <v>48</v>
      </c>
      <c r="CM41" s="23" t="s">
        <v>2500</v>
      </c>
      <c r="CN41" s="17">
        <v>0.88</v>
      </c>
      <c r="CO41" s="395">
        <f t="shared" si="24"/>
        <v>1.0473073490032732</v>
      </c>
      <c r="CP41" s="17" t="s">
        <v>356</v>
      </c>
      <c r="CQ41" s="20" t="s">
        <v>2501</v>
      </c>
      <c r="CR41" s="37">
        <v>0.62</v>
      </c>
      <c r="CS41" s="425">
        <f t="shared" si="25"/>
        <v>0.73787563225230601</v>
      </c>
      <c r="CT41" s="21" t="s">
        <v>42</v>
      </c>
      <c r="CU41" s="23" t="s">
        <v>2502</v>
      </c>
      <c r="CV41" s="17">
        <v>0.88</v>
      </c>
      <c r="CW41" s="395">
        <f t="shared" si="26"/>
        <v>1.0473073490032732</v>
      </c>
      <c r="CX41" s="17" t="s">
        <v>42</v>
      </c>
      <c r="CY41" s="20" t="s">
        <v>2503</v>
      </c>
      <c r="CZ41" s="37">
        <v>0.77</v>
      </c>
      <c r="DA41" s="227">
        <f t="shared" si="27"/>
        <v>0.91639393037786399</v>
      </c>
      <c r="DB41" s="21" t="s">
        <v>1994</v>
      </c>
      <c r="DC41" s="23" t="s">
        <v>2379</v>
      </c>
      <c r="DD41" s="17">
        <v>1.01</v>
      </c>
      <c r="DE41" s="81">
        <f t="shared" si="28"/>
        <v>1.2020232073787567</v>
      </c>
      <c r="DF41" s="17" t="s">
        <v>46</v>
      </c>
      <c r="DG41" s="20" t="s">
        <v>2504</v>
      </c>
      <c r="DH41" s="37">
        <v>0.98</v>
      </c>
      <c r="DI41" s="448">
        <f t="shared" si="29"/>
        <v>1.166319547753645</v>
      </c>
      <c r="DJ41" s="21" t="s">
        <v>66</v>
      </c>
      <c r="DK41" s="28"/>
      <c r="DL41" s="17">
        <v>0.26</v>
      </c>
      <c r="DM41" s="158">
        <f t="shared" si="30"/>
        <v>0.30943171675096703</v>
      </c>
      <c r="DN41" s="17" t="s">
        <v>70</v>
      </c>
      <c r="DO41" s="51" t="s">
        <v>2443</v>
      </c>
      <c r="DP41" s="21">
        <v>0.89</v>
      </c>
      <c r="DQ41" s="482">
        <f t="shared" si="31"/>
        <v>1.0592085688783102</v>
      </c>
      <c r="DR41" s="53" t="s">
        <v>42</v>
      </c>
      <c r="DS41" s="54" t="s">
        <v>2505</v>
      </c>
      <c r="DT41" s="53">
        <v>0.62</v>
      </c>
      <c r="DU41" s="425">
        <f t="shared" si="32"/>
        <v>0.73787563225230601</v>
      </c>
      <c r="DV41" s="56" t="s">
        <v>48</v>
      </c>
      <c r="DW41" s="57" t="s">
        <v>2506</v>
      </c>
      <c r="DX41" s="53">
        <v>0.64</v>
      </c>
      <c r="DY41" s="356">
        <f t="shared" si="33"/>
        <v>0.76167807200238047</v>
      </c>
      <c r="DZ41" s="53" t="s">
        <v>42</v>
      </c>
      <c r="EA41" s="54" t="s">
        <v>2506</v>
      </c>
      <c r="EB41" s="56">
        <v>0.7</v>
      </c>
      <c r="EC41" s="514">
        <f t="shared" si="34"/>
        <v>0.8330853912526035</v>
      </c>
      <c r="ED41" s="56" t="s">
        <v>48</v>
      </c>
      <c r="EE41" s="57" t="s">
        <v>2507</v>
      </c>
      <c r="EF41" s="53">
        <v>0.51</v>
      </c>
      <c r="EG41" s="247">
        <f t="shared" si="35"/>
        <v>0.60696221362689684</v>
      </c>
      <c r="EH41" s="53" t="s">
        <v>46</v>
      </c>
      <c r="EI41" s="57" t="s">
        <v>2508</v>
      </c>
      <c r="EJ41" s="53">
        <v>1.34</v>
      </c>
      <c r="EK41" s="168">
        <f t="shared" si="36"/>
        <v>1.5947634632549841</v>
      </c>
      <c r="EL41" s="56" t="s">
        <v>48</v>
      </c>
      <c r="EM41" s="57" t="s">
        <v>2509</v>
      </c>
      <c r="EN41" s="53">
        <v>0.97</v>
      </c>
      <c r="EO41" s="402">
        <f t="shared" si="37"/>
        <v>1.1544183278786078</v>
      </c>
      <c r="EP41" s="53" t="s">
        <v>48</v>
      </c>
      <c r="EQ41" s="23" t="s">
        <v>2387</v>
      </c>
      <c r="ER41" s="53">
        <v>0.72</v>
      </c>
      <c r="ES41" s="272">
        <f t="shared" si="38"/>
        <v>0.85688783100267796</v>
      </c>
      <c r="ET41" s="53" t="s">
        <v>48</v>
      </c>
      <c r="EU41" s="20" t="s">
        <v>2322</v>
      </c>
      <c r="EV41" s="53">
        <v>1.29</v>
      </c>
      <c r="EW41" s="209">
        <f t="shared" si="39"/>
        <v>1.5352573638797979</v>
      </c>
      <c r="EX41" s="21" t="s">
        <v>42</v>
      </c>
      <c r="EY41" s="57" t="s">
        <v>2510</v>
      </c>
      <c r="EZ41" s="53">
        <v>1.01</v>
      </c>
      <c r="FA41" s="81">
        <f t="shared" si="40"/>
        <v>1.2020232073787567</v>
      </c>
      <c r="FB41" s="40"/>
      <c r="FC41" s="40"/>
      <c r="FD41" s="53">
        <v>1.1100000000000001</v>
      </c>
      <c r="FE41" s="294">
        <f t="shared" si="41"/>
        <v>1.3210354061291285</v>
      </c>
      <c r="FF41" s="21" t="s">
        <v>66</v>
      </c>
      <c r="FG41" s="64"/>
      <c r="FH41" s="17">
        <v>0.91</v>
      </c>
      <c r="FI41" s="27">
        <f t="shared" si="42"/>
        <v>1.0830110086283846</v>
      </c>
      <c r="FJ41" s="17" t="s">
        <v>42</v>
      </c>
      <c r="FK41" s="51" t="s">
        <v>2511</v>
      </c>
      <c r="FL41" s="17">
        <v>0.86</v>
      </c>
      <c r="FM41" s="368">
        <f t="shared" si="43"/>
        <v>1.0235049092531987</v>
      </c>
      <c r="FN41" s="21" t="s">
        <v>48</v>
      </c>
      <c r="FO41" s="51" t="s">
        <v>2512</v>
      </c>
      <c r="FP41" s="17">
        <v>0.63</v>
      </c>
      <c r="FQ41" s="242">
        <f t="shared" si="44"/>
        <v>0.74977685212734324</v>
      </c>
      <c r="FR41" s="17" t="s">
        <v>285</v>
      </c>
      <c r="FS41" s="51" t="s">
        <v>2513</v>
      </c>
      <c r="FT41" s="236">
        <v>0.83</v>
      </c>
      <c r="FU41" s="61">
        <f t="shared" si="45"/>
        <v>0.98780124962808702</v>
      </c>
      <c r="FV41" s="17" t="s">
        <v>42</v>
      </c>
      <c r="FW41" s="51" t="s">
        <v>2514</v>
      </c>
      <c r="FX41" s="17">
        <v>1.41</v>
      </c>
      <c r="FY41" s="283">
        <f t="shared" si="46"/>
        <v>1.6780720023802442</v>
      </c>
      <c r="FZ41" s="17" t="s">
        <v>42</v>
      </c>
      <c r="GA41" s="51" t="s">
        <v>2515</v>
      </c>
      <c r="GB41" s="53">
        <v>0.64</v>
      </c>
      <c r="GC41" s="356">
        <f t="shared" si="47"/>
        <v>0.76167807200238047</v>
      </c>
      <c r="GD41" s="21" t="s">
        <v>70</v>
      </c>
      <c r="GE41" s="63"/>
      <c r="GF41" s="17">
        <v>0.91</v>
      </c>
      <c r="GG41" s="27">
        <f t="shared" si="48"/>
        <v>1.0830110086283846</v>
      </c>
      <c r="GH41" s="17" t="s">
        <v>42</v>
      </c>
      <c r="GI41" s="51" t="s">
        <v>2516</v>
      </c>
      <c r="GJ41" s="17">
        <v>1.2</v>
      </c>
      <c r="GK41" s="659">
        <f t="shared" si="49"/>
        <v>1.4281463850044631</v>
      </c>
      <c r="GL41" s="82" t="s">
        <v>46</v>
      </c>
      <c r="GM41" s="67" t="s">
        <v>2517</v>
      </c>
      <c r="GN41" s="17">
        <v>0.64</v>
      </c>
      <c r="GO41" s="356">
        <f t="shared" si="50"/>
        <v>0.76167807200238047</v>
      </c>
      <c r="GP41" s="82" t="s">
        <v>48</v>
      </c>
      <c r="GQ41" s="51" t="s">
        <v>2518</v>
      </c>
      <c r="GR41" s="17">
        <v>0.76</v>
      </c>
      <c r="GS41" s="300">
        <f t="shared" si="51"/>
        <v>0.90449271050282676</v>
      </c>
      <c r="GT41" s="17" t="s">
        <v>42</v>
      </c>
      <c r="GU41" s="51" t="s">
        <v>2519</v>
      </c>
      <c r="GV41" s="17">
        <v>1.02</v>
      </c>
      <c r="GW41" s="361">
        <f t="shared" si="52"/>
        <v>1.2139244272537937</v>
      </c>
      <c r="GX41" s="17" t="s">
        <v>48</v>
      </c>
      <c r="GY41" s="67" t="s">
        <v>2458</v>
      </c>
      <c r="GZ41" s="17">
        <v>0.72</v>
      </c>
      <c r="HA41" s="272">
        <f t="shared" si="53"/>
        <v>0.85688783100267796</v>
      </c>
      <c r="HB41" s="17" t="s">
        <v>48</v>
      </c>
      <c r="HC41" s="20" t="s">
        <v>2520</v>
      </c>
      <c r="HD41" s="17">
        <v>0.98</v>
      </c>
      <c r="HE41" s="448">
        <f t="shared" si="54"/>
        <v>1.166319547753645</v>
      </c>
      <c r="HF41" s="17" t="s">
        <v>46</v>
      </c>
      <c r="HG41" s="20" t="s">
        <v>2521</v>
      </c>
      <c r="HH41" s="17">
        <v>0.72</v>
      </c>
      <c r="HI41" s="272">
        <f t="shared" si="55"/>
        <v>0.85688783100267796</v>
      </c>
      <c r="HJ41" s="17" t="s">
        <v>46</v>
      </c>
      <c r="HK41" s="20" t="s">
        <v>2522</v>
      </c>
      <c r="HL41" s="17">
        <v>0.7</v>
      </c>
      <c r="HM41" s="514">
        <f t="shared" si="56"/>
        <v>0.8330853912526035</v>
      </c>
      <c r="HN41" s="17" t="s">
        <v>42</v>
      </c>
      <c r="HO41" s="20" t="s">
        <v>2461</v>
      </c>
      <c r="HP41" s="17">
        <v>0.82</v>
      </c>
      <c r="HQ41" s="186">
        <f t="shared" si="57"/>
        <v>0.97590002975304979</v>
      </c>
      <c r="HR41" s="17" t="s">
        <v>42</v>
      </c>
      <c r="HS41" s="73" t="s">
        <v>2462</v>
      </c>
      <c r="HT41" s="17">
        <v>1.19</v>
      </c>
      <c r="HU41" s="308">
        <f t="shared" si="58"/>
        <v>1.4162451651294259</v>
      </c>
      <c r="HV41" s="17" t="s">
        <v>46</v>
      </c>
      <c r="HW41" s="75" t="s">
        <v>2523</v>
      </c>
      <c r="HX41" s="17">
        <v>0.89</v>
      </c>
      <c r="HY41" s="482">
        <f t="shared" si="59"/>
        <v>1.0592085688783102</v>
      </c>
      <c r="HZ41" s="21" t="s">
        <v>48</v>
      </c>
      <c r="IA41" s="75" t="s">
        <v>2524</v>
      </c>
      <c r="IB41" s="17">
        <v>0.75</v>
      </c>
      <c r="IC41" s="199">
        <f t="shared" si="60"/>
        <v>0.89259149062778953</v>
      </c>
      <c r="ID41" s="17" t="s">
        <v>48</v>
      </c>
      <c r="IE41" s="51" t="s">
        <v>2525</v>
      </c>
      <c r="IF41" s="17">
        <v>0.57999999999999996</v>
      </c>
      <c r="IG41" s="354">
        <f t="shared" si="61"/>
        <v>0.69027075275215721</v>
      </c>
      <c r="IH41" s="17" t="s">
        <v>46</v>
      </c>
      <c r="II41" s="51" t="s">
        <v>2526</v>
      </c>
      <c r="IJ41" s="17">
        <v>0.89</v>
      </c>
      <c r="IK41" s="482">
        <f t="shared" si="62"/>
        <v>1.0592085688783102</v>
      </c>
      <c r="IL41" s="17" t="s">
        <v>48</v>
      </c>
      <c r="IM41" s="51" t="s">
        <v>2527</v>
      </c>
      <c r="IN41" s="17">
        <v>0.93</v>
      </c>
      <c r="IO41" s="474">
        <f t="shared" si="63"/>
        <v>1.1068134483784591</v>
      </c>
      <c r="IP41" s="17" t="s">
        <v>46</v>
      </c>
      <c r="IQ41" s="51" t="s">
        <v>2528</v>
      </c>
      <c r="IR41" s="17">
        <v>0.86</v>
      </c>
      <c r="IS41" s="368">
        <f t="shared" si="64"/>
        <v>1.0235049092531987</v>
      </c>
      <c r="IT41" s="17" t="s">
        <v>42</v>
      </c>
      <c r="IU41" s="75" t="s">
        <v>2529</v>
      </c>
      <c r="IV41" s="17">
        <v>0.31</v>
      </c>
      <c r="IW41" s="585">
        <f t="shared" si="65"/>
        <v>0.36893781612615301</v>
      </c>
      <c r="IX41" s="17" t="s">
        <v>42</v>
      </c>
      <c r="IY41" s="51" t="s">
        <v>2530</v>
      </c>
      <c r="IZ41" s="17">
        <v>0.87</v>
      </c>
      <c r="JA41" s="601">
        <f t="shared" si="66"/>
        <v>1.0354061291282359</v>
      </c>
      <c r="JB41" s="17" t="s">
        <v>46</v>
      </c>
      <c r="JC41" s="51" t="s">
        <v>2531</v>
      </c>
      <c r="JD41" s="17">
        <v>0.72</v>
      </c>
      <c r="JE41" s="272">
        <f t="shared" si="67"/>
        <v>0.85688783100267796</v>
      </c>
      <c r="JF41" s="17" t="s">
        <v>42</v>
      </c>
      <c r="JG41" s="51" t="s">
        <v>2532</v>
      </c>
      <c r="JH41" s="17">
        <v>0.84</v>
      </c>
      <c r="JI41" s="231">
        <f t="shared" si="68"/>
        <v>0.99970246950312425</v>
      </c>
      <c r="JJ41" s="17" t="s">
        <v>66</v>
      </c>
      <c r="JK41" s="51" t="s">
        <v>2533</v>
      </c>
      <c r="JL41" s="21">
        <v>0.61</v>
      </c>
      <c r="JM41" s="203">
        <f t="shared" si="69"/>
        <v>0.72597441237726879</v>
      </c>
      <c r="JN41" s="21" t="s">
        <v>46</v>
      </c>
      <c r="JO41" s="75" t="s">
        <v>2534</v>
      </c>
      <c r="JP41" s="21">
        <v>0.49</v>
      </c>
      <c r="JQ41" s="184">
        <f t="shared" si="70"/>
        <v>0.5831597738768225</v>
      </c>
      <c r="JR41" s="21" t="s">
        <v>48</v>
      </c>
      <c r="JS41" s="51" t="s">
        <v>2535</v>
      </c>
      <c r="JT41" s="21">
        <v>0.66</v>
      </c>
      <c r="JU41" s="174">
        <f t="shared" si="71"/>
        <v>0.78548051175245481</v>
      </c>
      <c r="JV41" s="21" t="s">
        <v>70</v>
      </c>
      <c r="JW41" s="75" t="s">
        <v>2536</v>
      </c>
      <c r="JX41" s="17">
        <v>0.73</v>
      </c>
      <c r="JY41" s="282">
        <f t="shared" si="72"/>
        <v>0.86878905087771507</v>
      </c>
      <c r="JZ41" s="51" t="s">
        <v>108</v>
      </c>
      <c r="KA41" s="40"/>
      <c r="KB41" s="21">
        <v>1.1499999999999999</v>
      </c>
      <c r="KC41" s="34">
        <f t="shared" si="73"/>
        <v>1.3686402856292772</v>
      </c>
      <c r="KD41" s="75" t="s">
        <v>46</v>
      </c>
      <c r="KE41" s="75" t="s">
        <v>2537</v>
      </c>
      <c r="KF41" s="17">
        <v>0.6</v>
      </c>
      <c r="KG41" s="291">
        <f t="shared" si="74"/>
        <v>0.71407319250223156</v>
      </c>
      <c r="KH41" s="51" t="s">
        <v>48</v>
      </c>
      <c r="KI41" s="51" t="s">
        <v>2538</v>
      </c>
      <c r="KJ41" s="21">
        <v>0.67</v>
      </c>
      <c r="KK41" s="491">
        <f t="shared" si="75"/>
        <v>0.79738173162749204</v>
      </c>
      <c r="KL41" s="75" t="s">
        <v>46</v>
      </c>
      <c r="KM41" s="75" t="s">
        <v>2539</v>
      </c>
      <c r="KN41" s="17">
        <v>0.88</v>
      </c>
      <c r="KO41" s="395">
        <f t="shared" si="76"/>
        <v>1.0473073490032732</v>
      </c>
      <c r="KP41" s="51" t="s">
        <v>48</v>
      </c>
      <c r="KQ41" s="51" t="s">
        <v>2540</v>
      </c>
      <c r="KR41" s="21">
        <v>0.79</v>
      </c>
      <c r="KS41" s="155">
        <f t="shared" si="77"/>
        <v>0.94019637012793833</v>
      </c>
      <c r="KT41" s="75" t="s">
        <v>70</v>
      </c>
      <c r="KU41" s="75" t="s">
        <v>2480</v>
      </c>
      <c r="KV41" s="82">
        <v>1</v>
      </c>
      <c r="KW41" s="660">
        <f t="shared" si="78"/>
        <v>1.1901219875037194</v>
      </c>
      <c r="KX41" s="51" t="s">
        <v>70</v>
      </c>
      <c r="KY41" s="51" t="s">
        <v>2541</v>
      </c>
      <c r="KZ41" s="83">
        <v>0.38</v>
      </c>
      <c r="LA41" s="290">
        <f t="shared" si="79"/>
        <v>0.45224635525141338</v>
      </c>
      <c r="LB41" s="75" t="s">
        <v>179</v>
      </c>
      <c r="LC41" s="75" t="s">
        <v>2542</v>
      </c>
      <c r="LD41" s="82">
        <v>0.81</v>
      </c>
      <c r="LE41" s="55">
        <f t="shared" si="80"/>
        <v>0.96399880987801279</v>
      </c>
      <c r="LF41" s="51" t="s">
        <v>46</v>
      </c>
      <c r="LG41" s="51" t="s">
        <v>2543</v>
      </c>
      <c r="LH41" s="83">
        <v>0.52</v>
      </c>
      <c r="LI41" s="84"/>
      <c r="LJ41" s="85"/>
      <c r="LK41" s="85"/>
      <c r="LL41" s="86">
        <f t="shared" si="81"/>
        <v>0.84139240506329094</v>
      </c>
      <c r="LM41" s="86">
        <f t="shared" si="82"/>
        <v>0.89137956973070576</v>
      </c>
      <c r="LN41" s="86">
        <f t="shared" si="90"/>
        <v>1.0224256015552755</v>
      </c>
      <c r="LO41" s="86">
        <f t="shared" si="94"/>
        <v>0.91347736564195525</v>
      </c>
      <c r="LP41" s="86">
        <f t="shared" si="95"/>
        <v>-0.10154387109653706</v>
      </c>
      <c r="LQ41" s="87">
        <f t="shared" si="96"/>
        <v>0</v>
      </c>
      <c r="LR41" s="86">
        <f t="shared" si="97"/>
        <v>0.91580381445343451</v>
      </c>
      <c r="LS41" s="84">
        <v>1</v>
      </c>
      <c r="LT41" s="87">
        <f t="shared" si="100"/>
        <v>0</v>
      </c>
      <c r="LU41" s="87">
        <f t="shared" si="92"/>
        <v>3</v>
      </c>
      <c r="LV41" s="86">
        <f t="shared" si="98"/>
        <v>0.96</v>
      </c>
      <c r="LW41" s="581" t="s">
        <v>3815</v>
      </c>
      <c r="LX41" s="89" t="str">
        <f t="shared" si="87"/>
        <v>—</v>
      </c>
      <c r="LY41" s="89" t="str">
        <f t="shared" si="102"/>
        <v>Queda moderada — repetir melhor 1aM</v>
      </c>
      <c r="LZ41" s="5"/>
      <c r="MA41" s="67" t="str">
        <f t="shared" si="99"/>
        <v>CORINTHIANS</v>
      </c>
      <c r="MB41" s="89" t="s">
        <v>3808</v>
      </c>
    </row>
    <row r="42" spans="1:340" x14ac:dyDescent="0.2">
      <c r="A42" s="16">
        <v>0.77708333333333335</v>
      </c>
      <c r="B42" s="695">
        <f t="shared" si="0"/>
        <v>0.84037500000000009</v>
      </c>
      <c r="C42" s="688">
        <f t="shared" si="1"/>
        <v>-0.10754127621597509</v>
      </c>
      <c r="D42" s="17">
        <v>0.75</v>
      </c>
      <c r="E42" s="199">
        <f t="shared" si="2"/>
        <v>0.89245872378402491</v>
      </c>
      <c r="F42" s="17" t="s">
        <v>46</v>
      </c>
      <c r="G42" s="20" t="s">
        <v>2544</v>
      </c>
      <c r="H42" s="21">
        <v>1.03</v>
      </c>
      <c r="I42" s="48">
        <f t="shared" si="3"/>
        <v>1.2256433139967275</v>
      </c>
      <c r="J42" s="21" t="s">
        <v>2545</v>
      </c>
      <c r="K42" s="23" t="s">
        <v>2546</v>
      </c>
      <c r="L42" s="17">
        <v>1.1399999999999999</v>
      </c>
      <c r="M42" s="148">
        <f t="shared" si="4"/>
        <v>1.3565372601517176</v>
      </c>
      <c r="N42" s="17" t="s">
        <v>70</v>
      </c>
      <c r="O42" s="20" t="s">
        <v>2547</v>
      </c>
      <c r="P42" s="21">
        <v>0.99</v>
      </c>
      <c r="Q42" s="25">
        <f t="shared" si="5"/>
        <v>1.1780455153949128</v>
      </c>
      <c r="R42" s="21" t="s">
        <v>48</v>
      </c>
      <c r="S42" s="23" t="s">
        <v>2548</v>
      </c>
      <c r="T42" s="17">
        <v>0.73</v>
      </c>
      <c r="U42" s="282">
        <f t="shared" si="6"/>
        <v>0.86865982448311752</v>
      </c>
      <c r="V42" s="17" t="s">
        <v>46</v>
      </c>
      <c r="W42" s="5"/>
      <c r="X42" s="21">
        <v>1.04</v>
      </c>
      <c r="Y42" s="621">
        <f t="shared" si="7"/>
        <v>1.2375427636471812</v>
      </c>
      <c r="Z42" s="21" t="s">
        <v>49</v>
      </c>
      <c r="AA42" s="28"/>
      <c r="AB42" s="17">
        <v>0.79</v>
      </c>
      <c r="AC42" s="155">
        <f t="shared" si="8"/>
        <v>0.94005652238583959</v>
      </c>
      <c r="AD42" s="17" t="s">
        <v>70</v>
      </c>
      <c r="AE42" s="20" t="s">
        <v>2549</v>
      </c>
      <c r="AF42" s="21">
        <v>0.9</v>
      </c>
      <c r="AG42" s="160">
        <f t="shared" si="9"/>
        <v>1.07095046854083</v>
      </c>
      <c r="AH42" s="21" t="s">
        <v>66</v>
      </c>
      <c r="AI42" s="23" t="s">
        <v>2550</v>
      </c>
      <c r="AJ42" s="17">
        <v>1.07</v>
      </c>
      <c r="AK42" s="77">
        <f t="shared" si="10"/>
        <v>1.2732411125985423</v>
      </c>
      <c r="AL42" s="17" t="s">
        <v>46</v>
      </c>
      <c r="AM42" s="20" t="s">
        <v>2551</v>
      </c>
      <c r="AN42" s="21">
        <v>1.26</v>
      </c>
      <c r="AO42" s="694">
        <f t="shared" si="11"/>
        <v>1.4993306559571618</v>
      </c>
      <c r="AP42" s="21" t="s">
        <v>70</v>
      </c>
      <c r="AQ42" s="23" t="s">
        <v>2552</v>
      </c>
      <c r="AR42" s="17">
        <v>0.97</v>
      </c>
      <c r="AS42" s="402">
        <f t="shared" si="12"/>
        <v>1.1542466160940055</v>
      </c>
      <c r="AT42" s="17" t="s">
        <v>48</v>
      </c>
      <c r="AU42" s="20" t="s">
        <v>2430</v>
      </c>
      <c r="AV42" s="21">
        <v>1.18</v>
      </c>
      <c r="AW42" s="105">
        <f t="shared" si="13"/>
        <v>1.4041350587535324</v>
      </c>
      <c r="AX42" s="21" t="s">
        <v>42</v>
      </c>
      <c r="AY42" s="23" t="s">
        <v>2553</v>
      </c>
      <c r="AZ42" s="17">
        <v>1.19</v>
      </c>
      <c r="BA42" s="696">
        <f t="shared" si="14"/>
        <v>1.416034508403986</v>
      </c>
      <c r="BB42" s="17" t="s">
        <v>42</v>
      </c>
      <c r="BC42" s="20" t="s">
        <v>2554</v>
      </c>
      <c r="BD42" s="17">
        <v>1.1000000000000001</v>
      </c>
      <c r="BE42" s="315">
        <f t="shared" si="15"/>
        <v>1.3089394615499033</v>
      </c>
      <c r="BF42" s="17" t="s">
        <v>70</v>
      </c>
      <c r="BG42" s="20" t="s">
        <v>2555</v>
      </c>
      <c r="BH42" s="37">
        <v>1.22</v>
      </c>
      <c r="BI42" s="177">
        <f t="shared" si="16"/>
        <v>1.4517328573553472</v>
      </c>
      <c r="BJ42" s="37" t="s">
        <v>46</v>
      </c>
      <c r="BK42" s="38" t="s">
        <v>2556</v>
      </c>
      <c r="BL42" s="17">
        <v>0.68</v>
      </c>
      <c r="BM42" s="159">
        <f t="shared" si="17"/>
        <v>0.80916257623084931</v>
      </c>
      <c r="BN42" s="17" t="s">
        <v>42</v>
      </c>
      <c r="BO42" s="40"/>
      <c r="BP42" s="17">
        <v>0.71</v>
      </c>
      <c r="BQ42" s="497">
        <f t="shared" si="18"/>
        <v>0.84486092518221023</v>
      </c>
      <c r="BR42" s="17" t="s">
        <v>70</v>
      </c>
      <c r="BS42" s="41"/>
      <c r="BT42" s="37">
        <v>0.79</v>
      </c>
      <c r="BU42" s="155">
        <f t="shared" si="19"/>
        <v>0.94005652238583959</v>
      </c>
      <c r="BV42" s="46" t="s">
        <v>46</v>
      </c>
      <c r="BW42" s="23" t="s">
        <v>2557</v>
      </c>
      <c r="BX42" s="17">
        <v>0.63</v>
      </c>
      <c r="BY42" s="242">
        <f t="shared" si="20"/>
        <v>0.74966532797858088</v>
      </c>
      <c r="BZ42" s="17" t="s">
        <v>42</v>
      </c>
      <c r="CA42" s="20" t="s">
        <v>2558</v>
      </c>
      <c r="CB42" s="37">
        <v>0.89</v>
      </c>
      <c r="CC42" s="482">
        <f t="shared" si="21"/>
        <v>1.0590510188903761</v>
      </c>
      <c r="CD42" s="46" t="s">
        <v>42</v>
      </c>
      <c r="CE42" s="23" t="s">
        <v>2559</v>
      </c>
      <c r="CF42" s="17">
        <v>0.51</v>
      </c>
      <c r="CG42" s="247">
        <f t="shared" si="22"/>
        <v>0.60687193217313695</v>
      </c>
      <c r="CH42" s="17" t="s">
        <v>48</v>
      </c>
      <c r="CI42" s="20" t="s">
        <v>2560</v>
      </c>
      <c r="CJ42" s="37">
        <v>0.39</v>
      </c>
      <c r="CK42" s="316">
        <f t="shared" si="23"/>
        <v>0.46407853636769297</v>
      </c>
      <c r="CL42" s="46" t="s">
        <v>48</v>
      </c>
      <c r="CM42" s="23" t="s">
        <v>2561</v>
      </c>
      <c r="CN42" s="17">
        <v>0.93</v>
      </c>
      <c r="CO42" s="474">
        <f t="shared" si="24"/>
        <v>1.1066488174921909</v>
      </c>
      <c r="CP42" s="17" t="s">
        <v>356</v>
      </c>
      <c r="CQ42" s="20" t="s">
        <v>2562</v>
      </c>
      <c r="CR42" s="37">
        <v>0.62</v>
      </c>
      <c r="CS42" s="425">
        <f t="shared" si="25"/>
        <v>0.73776587832812723</v>
      </c>
      <c r="CT42" s="21" t="s">
        <v>42</v>
      </c>
      <c r="CU42" s="23" t="s">
        <v>2563</v>
      </c>
      <c r="CV42" s="17">
        <v>0.94</v>
      </c>
      <c r="CW42" s="213">
        <f t="shared" si="26"/>
        <v>1.1185482671426445</v>
      </c>
      <c r="CX42" s="17" t="s">
        <v>42</v>
      </c>
      <c r="CY42" s="20" t="s">
        <v>2564</v>
      </c>
      <c r="CZ42" s="37">
        <v>0.77</v>
      </c>
      <c r="DA42" s="227">
        <f t="shared" si="27"/>
        <v>0.91625762308493219</v>
      </c>
      <c r="DB42" s="21" t="s">
        <v>108</v>
      </c>
      <c r="DC42" s="28"/>
      <c r="DD42" s="17">
        <v>1.01</v>
      </c>
      <c r="DE42" s="81">
        <f t="shared" si="28"/>
        <v>1.2018444146958203</v>
      </c>
      <c r="DF42" s="17" t="s">
        <v>46</v>
      </c>
      <c r="DG42" s="20" t="s">
        <v>2504</v>
      </c>
      <c r="DH42" s="37">
        <v>0.98</v>
      </c>
      <c r="DI42" s="448">
        <f t="shared" si="29"/>
        <v>1.1661460657444591</v>
      </c>
      <c r="DJ42" s="21" t="s">
        <v>66</v>
      </c>
      <c r="DK42" s="28"/>
      <c r="DL42" s="17">
        <v>0.26</v>
      </c>
      <c r="DM42" s="158">
        <f t="shared" si="30"/>
        <v>0.3093856909117953</v>
      </c>
      <c r="DN42" s="17" t="s">
        <v>1022</v>
      </c>
      <c r="DO42" s="51" t="s">
        <v>2565</v>
      </c>
      <c r="DP42" s="21">
        <v>0.89</v>
      </c>
      <c r="DQ42" s="482">
        <f t="shared" si="31"/>
        <v>1.0590510188903761</v>
      </c>
      <c r="DR42" s="53" t="s">
        <v>42</v>
      </c>
      <c r="DS42" s="54" t="s">
        <v>2566</v>
      </c>
      <c r="DT42" s="53">
        <v>0.62</v>
      </c>
      <c r="DU42" s="425">
        <f t="shared" si="32"/>
        <v>0.73776587832812723</v>
      </c>
      <c r="DV42" s="56" t="s">
        <v>48</v>
      </c>
      <c r="DW42" s="57" t="s">
        <v>2567</v>
      </c>
      <c r="DX42" s="53">
        <v>0.64</v>
      </c>
      <c r="DY42" s="356">
        <f t="shared" si="33"/>
        <v>0.76156477762903463</v>
      </c>
      <c r="DZ42" s="53" t="s">
        <v>42</v>
      </c>
      <c r="EA42" s="54" t="s">
        <v>2567</v>
      </c>
      <c r="EB42" s="56">
        <v>0.7</v>
      </c>
      <c r="EC42" s="514">
        <f t="shared" si="34"/>
        <v>0.83296147553175648</v>
      </c>
      <c r="ED42" s="56" t="s">
        <v>48</v>
      </c>
      <c r="EE42" s="57" t="s">
        <v>2568</v>
      </c>
      <c r="EF42" s="53">
        <v>0.51</v>
      </c>
      <c r="EG42" s="247">
        <f t="shared" si="35"/>
        <v>0.60687193217313695</v>
      </c>
      <c r="EH42" s="53" t="s">
        <v>46</v>
      </c>
      <c r="EI42" s="57" t="s">
        <v>2569</v>
      </c>
      <c r="EJ42" s="53">
        <v>1.27</v>
      </c>
      <c r="EK42" s="697">
        <f t="shared" si="36"/>
        <v>1.5112301056076154</v>
      </c>
      <c r="EL42" s="56" t="s">
        <v>48</v>
      </c>
      <c r="EM42" s="57" t="s">
        <v>2570</v>
      </c>
      <c r="EN42" s="53">
        <v>0.91</v>
      </c>
      <c r="EO42" s="27">
        <f t="shared" si="37"/>
        <v>1.0828499181912836</v>
      </c>
      <c r="EP42" s="53" t="s">
        <v>48</v>
      </c>
      <c r="EQ42" s="23" t="s">
        <v>2449</v>
      </c>
      <c r="ER42" s="53">
        <v>0.66</v>
      </c>
      <c r="ES42" s="174">
        <f t="shared" si="38"/>
        <v>0.78536367692994191</v>
      </c>
      <c r="ET42" s="53" t="s">
        <v>48</v>
      </c>
      <c r="EU42" s="20" t="s">
        <v>2388</v>
      </c>
      <c r="EV42" s="53">
        <v>1.29</v>
      </c>
      <c r="EW42" s="209">
        <f t="shared" si="39"/>
        <v>1.5350290049085229</v>
      </c>
      <c r="EX42" s="21" t="s">
        <v>42</v>
      </c>
      <c r="EY42" s="57" t="s">
        <v>2571</v>
      </c>
      <c r="EZ42" s="53">
        <v>1.01</v>
      </c>
      <c r="FA42" s="81">
        <f t="shared" si="40"/>
        <v>1.2018444146958203</v>
      </c>
      <c r="FB42" s="40"/>
      <c r="FC42" s="40"/>
      <c r="FD42" s="53">
        <v>1.04</v>
      </c>
      <c r="FE42" s="621">
        <f t="shared" si="41"/>
        <v>1.2375427636471812</v>
      </c>
      <c r="FF42" s="21" t="s">
        <v>66</v>
      </c>
      <c r="FG42" s="64"/>
      <c r="FH42" s="17">
        <v>1.06</v>
      </c>
      <c r="FI42" s="435">
        <f t="shared" si="42"/>
        <v>1.2613416629480885</v>
      </c>
      <c r="FJ42" s="17" t="s">
        <v>42</v>
      </c>
      <c r="FK42" s="51" t="s">
        <v>2572</v>
      </c>
      <c r="FL42" s="17">
        <v>0.86</v>
      </c>
      <c r="FM42" s="368">
        <f t="shared" si="43"/>
        <v>1.0233526699390152</v>
      </c>
      <c r="FN42" s="21" t="s">
        <v>48</v>
      </c>
      <c r="FO42" s="51" t="s">
        <v>2573</v>
      </c>
      <c r="FP42" s="17">
        <v>0.83</v>
      </c>
      <c r="FQ42" s="61">
        <f t="shared" si="44"/>
        <v>0.98765432098765416</v>
      </c>
      <c r="FR42" s="17" t="s">
        <v>108</v>
      </c>
      <c r="FS42" s="40"/>
      <c r="FT42" s="17">
        <v>0.89</v>
      </c>
      <c r="FU42" s="482">
        <f t="shared" si="45"/>
        <v>1.0590510188903761</v>
      </c>
      <c r="FV42" s="17" t="s">
        <v>42</v>
      </c>
      <c r="FW42" s="51" t="s">
        <v>2574</v>
      </c>
      <c r="FX42" s="17">
        <v>1.47</v>
      </c>
      <c r="FY42" s="698">
        <f t="shared" si="46"/>
        <v>1.7492190986166887</v>
      </c>
      <c r="FZ42" s="17" t="s">
        <v>856</v>
      </c>
      <c r="GA42" s="51" t="s">
        <v>2575</v>
      </c>
      <c r="GB42" s="53">
        <v>0.64</v>
      </c>
      <c r="GC42" s="356">
        <f t="shared" si="47"/>
        <v>0.76156477762903463</v>
      </c>
      <c r="GD42" s="21" t="s">
        <v>66</v>
      </c>
      <c r="GE42" s="63"/>
      <c r="GF42" s="17">
        <v>0.91</v>
      </c>
      <c r="GG42" s="27">
        <f t="shared" si="48"/>
        <v>1.0828499181912836</v>
      </c>
      <c r="GH42" s="17" t="s">
        <v>179</v>
      </c>
      <c r="GI42" s="51" t="s">
        <v>2576</v>
      </c>
      <c r="GJ42" s="17">
        <v>1.1399999999999999</v>
      </c>
      <c r="GK42" s="148">
        <f t="shared" si="49"/>
        <v>1.3565372601517176</v>
      </c>
      <c r="GL42" s="82" t="s">
        <v>46</v>
      </c>
      <c r="GM42" s="67" t="s">
        <v>2577</v>
      </c>
      <c r="GN42" s="17">
        <v>0.64</v>
      </c>
      <c r="GO42" s="356">
        <f t="shared" si="50"/>
        <v>0.76156477762903463</v>
      </c>
      <c r="GP42" s="82" t="s">
        <v>48</v>
      </c>
      <c r="GQ42" s="51" t="s">
        <v>2578</v>
      </c>
      <c r="GR42" s="17">
        <v>0.76</v>
      </c>
      <c r="GS42" s="300">
        <f t="shared" si="51"/>
        <v>0.90435817343447855</v>
      </c>
      <c r="GT42" s="17" t="s">
        <v>42</v>
      </c>
      <c r="GU42" s="51" t="s">
        <v>2579</v>
      </c>
      <c r="GV42" s="17">
        <v>0.95</v>
      </c>
      <c r="GW42" s="33">
        <f t="shared" si="52"/>
        <v>1.1304477167930982</v>
      </c>
      <c r="GX42" s="17" t="s">
        <v>48</v>
      </c>
      <c r="GY42" s="67" t="s">
        <v>2580</v>
      </c>
      <c r="GZ42" s="17">
        <v>0.72</v>
      </c>
      <c r="HA42" s="272">
        <f t="shared" si="53"/>
        <v>0.85676037483266387</v>
      </c>
      <c r="HB42" s="17" t="s">
        <v>48</v>
      </c>
      <c r="HC42" s="20" t="s">
        <v>2581</v>
      </c>
      <c r="HD42" s="17">
        <v>0.98</v>
      </c>
      <c r="HE42" s="448">
        <f t="shared" si="54"/>
        <v>1.1661460657444591</v>
      </c>
      <c r="HF42" s="17" t="s">
        <v>46</v>
      </c>
      <c r="HG42" s="20" t="s">
        <v>2582</v>
      </c>
      <c r="HH42" s="17">
        <v>0.78</v>
      </c>
      <c r="HI42" s="652">
        <f t="shared" si="55"/>
        <v>0.92815707273538595</v>
      </c>
      <c r="HJ42" s="17" t="s">
        <v>46</v>
      </c>
      <c r="HK42" s="20" t="s">
        <v>2583</v>
      </c>
      <c r="HL42" s="17">
        <v>0.81</v>
      </c>
      <c r="HM42" s="55">
        <f t="shared" si="56"/>
        <v>0.96385542168674698</v>
      </c>
      <c r="HN42" s="17" t="s">
        <v>42</v>
      </c>
      <c r="HO42" s="20" t="s">
        <v>2584</v>
      </c>
      <c r="HP42" s="17">
        <v>0.89</v>
      </c>
      <c r="HQ42" s="482">
        <f t="shared" si="57"/>
        <v>1.0590510188903761</v>
      </c>
      <c r="HR42" s="17" t="s">
        <v>48</v>
      </c>
      <c r="HS42" s="73" t="s">
        <v>2585</v>
      </c>
      <c r="HT42" s="17">
        <v>1.19</v>
      </c>
      <c r="HU42" s="696">
        <f t="shared" si="58"/>
        <v>1.416034508403986</v>
      </c>
      <c r="HV42" s="17" t="s">
        <v>70</v>
      </c>
      <c r="HW42" s="75" t="s">
        <v>2586</v>
      </c>
      <c r="HX42" s="17">
        <v>0.82</v>
      </c>
      <c r="HY42" s="186">
        <f t="shared" si="59"/>
        <v>0.97575487133720051</v>
      </c>
      <c r="HZ42" s="21" t="s">
        <v>48</v>
      </c>
      <c r="IA42" s="75" t="s">
        <v>2587</v>
      </c>
      <c r="IB42" s="17">
        <v>0.75</v>
      </c>
      <c r="IC42" s="199">
        <f t="shared" si="60"/>
        <v>0.89245872378402491</v>
      </c>
      <c r="ID42" s="17" t="s">
        <v>48</v>
      </c>
      <c r="IE42" s="51" t="s">
        <v>2588</v>
      </c>
      <c r="IF42" s="17">
        <v>0.51</v>
      </c>
      <c r="IG42" s="247">
        <f t="shared" si="61"/>
        <v>0.60687193217313695</v>
      </c>
      <c r="IH42" s="17" t="s">
        <v>108</v>
      </c>
      <c r="II42" s="51" t="s">
        <v>2589</v>
      </c>
      <c r="IJ42" s="17">
        <v>0.82</v>
      </c>
      <c r="IK42" s="186">
        <f t="shared" si="62"/>
        <v>0.97575487133720051</v>
      </c>
      <c r="IL42" s="17" t="s">
        <v>48</v>
      </c>
      <c r="IM42" s="51" t="s">
        <v>2590</v>
      </c>
      <c r="IN42" s="17">
        <v>0.87</v>
      </c>
      <c r="IO42" s="699">
        <f t="shared" si="63"/>
        <v>1.0352521195894688</v>
      </c>
      <c r="IP42" s="17" t="s">
        <v>46</v>
      </c>
      <c r="IQ42" s="51" t="s">
        <v>2591</v>
      </c>
      <c r="IR42" s="17">
        <v>0.92</v>
      </c>
      <c r="IS42" s="270">
        <f t="shared" si="64"/>
        <v>1.0947493678417373</v>
      </c>
      <c r="IT42" s="17" t="s">
        <v>42</v>
      </c>
      <c r="IU42" s="75" t="s">
        <v>2592</v>
      </c>
      <c r="IV42" s="17">
        <v>0.31</v>
      </c>
      <c r="IW42" s="585">
        <f t="shared" si="65"/>
        <v>0.36888293916406362</v>
      </c>
      <c r="IX42" s="17" t="s">
        <v>42</v>
      </c>
      <c r="IY42" s="51" t="s">
        <v>2593</v>
      </c>
      <c r="IZ42" s="17">
        <v>0.87</v>
      </c>
      <c r="JA42" s="699">
        <f t="shared" si="66"/>
        <v>1.0352521195894688</v>
      </c>
      <c r="JB42" s="17" t="s">
        <v>46</v>
      </c>
      <c r="JC42" s="51" t="s">
        <v>2594</v>
      </c>
      <c r="JD42" s="17">
        <v>0.66</v>
      </c>
      <c r="JE42" s="174">
        <f t="shared" si="67"/>
        <v>0.78536367692994191</v>
      </c>
      <c r="JF42" s="17" t="s">
        <v>42</v>
      </c>
      <c r="JG42" s="51" t="s">
        <v>2595</v>
      </c>
      <c r="JH42" s="17">
        <v>0.78</v>
      </c>
      <c r="JI42" s="652">
        <f t="shared" si="68"/>
        <v>0.92815707273538595</v>
      </c>
      <c r="JJ42" s="17" t="s">
        <v>70</v>
      </c>
      <c r="JK42" s="51" t="s">
        <v>2596</v>
      </c>
      <c r="JL42" s="21">
        <v>0.54</v>
      </c>
      <c r="JM42" s="289">
        <f t="shared" si="69"/>
        <v>0.64257028112449799</v>
      </c>
      <c r="JN42" s="21" t="s">
        <v>179</v>
      </c>
      <c r="JO42" s="75" t="s">
        <v>2597</v>
      </c>
      <c r="JP42" s="21">
        <v>0.49</v>
      </c>
      <c r="JQ42" s="184">
        <f t="shared" si="70"/>
        <v>0.58307303287222956</v>
      </c>
      <c r="JR42" s="21" t="s">
        <v>48</v>
      </c>
      <c r="JS42" s="51" t="s">
        <v>2598</v>
      </c>
      <c r="JT42" s="21">
        <v>0.66</v>
      </c>
      <c r="JU42" s="174">
        <f t="shared" si="71"/>
        <v>0.78536367692994191</v>
      </c>
      <c r="JV42" s="21" t="s">
        <v>70</v>
      </c>
      <c r="JW42" s="75" t="s">
        <v>2599</v>
      </c>
      <c r="JX42" s="17">
        <v>0.73</v>
      </c>
      <c r="JY42" s="282">
        <f t="shared" si="72"/>
        <v>0.86865982448311752</v>
      </c>
      <c r="JZ42" s="51" t="s">
        <v>108</v>
      </c>
      <c r="KA42" s="40"/>
      <c r="KB42" s="21">
        <v>1.08</v>
      </c>
      <c r="KC42" s="542">
        <f t="shared" si="73"/>
        <v>1.285140562248996</v>
      </c>
      <c r="KD42" s="75" t="s">
        <v>46</v>
      </c>
      <c r="KE42" s="75" t="s">
        <v>2600</v>
      </c>
      <c r="KF42" s="17">
        <v>0.71</v>
      </c>
      <c r="KG42" s="497">
        <f t="shared" si="74"/>
        <v>0.84486092518221023</v>
      </c>
      <c r="KH42" s="51" t="s">
        <v>70</v>
      </c>
      <c r="KI42" s="51" t="s">
        <v>2601</v>
      </c>
      <c r="KJ42" s="21">
        <v>0.67</v>
      </c>
      <c r="KK42" s="491">
        <f t="shared" si="75"/>
        <v>0.79726312658039566</v>
      </c>
      <c r="KL42" s="75" t="s">
        <v>46</v>
      </c>
      <c r="KM42" s="75" t="s">
        <v>2602</v>
      </c>
      <c r="KN42" s="17">
        <v>0.88</v>
      </c>
      <c r="KO42" s="395">
        <f t="shared" si="76"/>
        <v>1.0471515692399225</v>
      </c>
      <c r="KP42" s="51" t="s">
        <v>48</v>
      </c>
      <c r="KQ42" s="51" t="s">
        <v>2603</v>
      </c>
      <c r="KR42" s="21">
        <v>0.79</v>
      </c>
      <c r="KS42" s="155">
        <f t="shared" si="77"/>
        <v>0.94005652238583959</v>
      </c>
      <c r="KT42" s="75" t="s">
        <v>70</v>
      </c>
      <c r="KU42" s="75" t="s">
        <v>2604</v>
      </c>
      <c r="KV42" s="82">
        <v>0.93</v>
      </c>
      <c r="KW42" s="474">
        <f t="shared" si="78"/>
        <v>1.1066488174921909</v>
      </c>
      <c r="KX42" s="51" t="s">
        <v>70</v>
      </c>
      <c r="KY42" s="51" t="s">
        <v>2605</v>
      </c>
      <c r="KZ42" s="83">
        <v>0.46</v>
      </c>
      <c r="LA42" s="166">
        <f t="shared" si="79"/>
        <v>0.54737468392086863</v>
      </c>
      <c r="LB42" s="75" t="s">
        <v>285</v>
      </c>
      <c r="LC42" s="75" t="s">
        <v>2606</v>
      </c>
      <c r="LD42" s="82">
        <v>0.81</v>
      </c>
      <c r="LE42" s="55">
        <f t="shared" si="80"/>
        <v>0.96385542168674698</v>
      </c>
      <c r="LF42" s="51" t="s">
        <v>46</v>
      </c>
      <c r="LG42" s="51" t="s">
        <v>2543</v>
      </c>
      <c r="LH42" s="83">
        <v>0.64</v>
      </c>
      <c r="LI42" s="84"/>
      <c r="LJ42" s="85"/>
      <c r="LK42" s="85"/>
      <c r="LL42" s="86">
        <f t="shared" si="81"/>
        <v>0.841518987341772</v>
      </c>
      <c r="LM42" s="86">
        <f t="shared" si="82"/>
        <v>0.89124548736462106</v>
      </c>
      <c r="LN42" s="86">
        <f t="shared" si="90"/>
        <v>1.0190654468931071</v>
      </c>
      <c r="LO42" s="86">
        <f t="shared" si="94"/>
        <v>0.89241563296237914</v>
      </c>
      <c r="LP42" s="86">
        <f t="shared" si="95"/>
        <v>-3.7707550917747135E-3</v>
      </c>
      <c r="LQ42" s="87">
        <f t="shared" si="96"/>
        <v>1</v>
      </c>
      <c r="LR42" s="86">
        <f t="shared" si="97"/>
        <v>0.89177954164528339</v>
      </c>
      <c r="LS42" s="84">
        <v>1</v>
      </c>
      <c r="LT42" s="87">
        <f t="shared" si="100"/>
        <v>1</v>
      </c>
      <c r="LU42" s="87">
        <f t="shared" si="92"/>
        <v>1</v>
      </c>
      <c r="LV42" s="86">
        <f t="shared" si="98"/>
        <v>0.92</v>
      </c>
      <c r="LW42" s="88" t="s">
        <v>3807</v>
      </c>
      <c r="LX42" s="89" t="str">
        <f t="shared" si="87"/>
        <v>—</v>
      </c>
      <c r="LY42" s="89" t="str">
        <f t="shared" si="102"/>
        <v>Queda severa — voltar ao que deu certo</v>
      </c>
      <c r="LZ42" s="5"/>
      <c r="MA42" s="67" t="str">
        <f t="shared" si="99"/>
        <v>SÃO PAULO</v>
      </c>
      <c r="MB42" s="89" t="s">
        <v>3808</v>
      </c>
    </row>
    <row r="43" spans="1:340" x14ac:dyDescent="0.2">
      <c r="A43" s="16">
        <v>0.77777777777777779</v>
      </c>
      <c r="B43" s="700">
        <f t="shared" si="0"/>
        <v>0.83099999999999985</v>
      </c>
      <c r="C43" s="701">
        <f t="shared" si="1"/>
        <v>-0.18170878459687101</v>
      </c>
      <c r="D43" s="17">
        <v>0.68</v>
      </c>
      <c r="E43" s="62">
        <f t="shared" si="2"/>
        <v>0.81829121540312899</v>
      </c>
      <c r="F43" s="17" t="s">
        <v>46</v>
      </c>
      <c r="G43" s="20" t="s">
        <v>2607</v>
      </c>
      <c r="H43" s="21">
        <v>0.97</v>
      </c>
      <c r="I43" s="448">
        <f t="shared" si="3"/>
        <v>1.1672683513838751</v>
      </c>
      <c r="J43" s="21" t="s">
        <v>42</v>
      </c>
      <c r="K43" s="23" t="s">
        <v>2608</v>
      </c>
      <c r="L43" s="17">
        <v>1.1399999999999999</v>
      </c>
      <c r="M43" s="635">
        <f t="shared" si="4"/>
        <v>1.3718411552346572</v>
      </c>
      <c r="N43" s="17" t="s">
        <v>66</v>
      </c>
      <c r="O43" s="20" t="s">
        <v>2609</v>
      </c>
      <c r="P43" s="21">
        <v>1.04</v>
      </c>
      <c r="Q43" s="702">
        <f t="shared" si="5"/>
        <v>1.2515042117930206</v>
      </c>
      <c r="R43" s="21" t="s">
        <v>48</v>
      </c>
      <c r="S43" s="23" t="s">
        <v>2610</v>
      </c>
      <c r="T43" s="17">
        <v>0.73</v>
      </c>
      <c r="U43" s="510">
        <f t="shared" si="6"/>
        <v>0.87845968712394717</v>
      </c>
      <c r="V43" s="17" t="s">
        <v>2611</v>
      </c>
      <c r="W43" s="5"/>
      <c r="X43" s="21">
        <v>1.04</v>
      </c>
      <c r="Y43" s="702">
        <f t="shared" si="7"/>
        <v>1.2515042117930206</v>
      </c>
      <c r="Z43" s="21" t="s">
        <v>49</v>
      </c>
      <c r="AA43" s="28"/>
      <c r="AB43" s="17">
        <v>0.74</v>
      </c>
      <c r="AC43" s="199">
        <f t="shared" si="8"/>
        <v>0.89049338146811086</v>
      </c>
      <c r="AD43" s="17" t="s">
        <v>70</v>
      </c>
      <c r="AE43" s="20" t="s">
        <v>2612</v>
      </c>
      <c r="AF43" s="21">
        <v>1.03</v>
      </c>
      <c r="AG43" s="243">
        <f t="shared" si="9"/>
        <v>1.2394705174488569</v>
      </c>
      <c r="AH43" s="21" t="s">
        <v>108</v>
      </c>
      <c r="AI43" s="23" t="s">
        <v>2613</v>
      </c>
      <c r="AJ43" s="17">
        <v>1.01</v>
      </c>
      <c r="AK43" s="361">
        <f t="shared" si="10"/>
        <v>1.2154031287605298</v>
      </c>
      <c r="AL43" s="17" t="s">
        <v>46</v>
      </c>
      <c r="AM43" s="20" t="s">
        <v>2614</v>
      </c>
      <c r="AN43" s="21">
        <v>1.19</v>
      </c>
      <c r="AO43" s="197">
        <f t="shared" si="11"/>
        <v>1.4320096269554756</v>
      </c>
      <c r="AP43" s="21" t="s">
        <v>70</v>
      </c>
      <c r="AQ43" s="23" t="s">
        <v>2615</v>
      </c>
      <c r="AR43" s="17">
        <v>0.97</v>
      </c>
      <c r="AS43" s="448">
        <f t="shared" si="12"/>
        <v>1.1672683513838751</v>
      </c>
      <c r="AT43" s="17" t="s">
        <v>48</v>
      </c>
      <c r="AU43" s="20" t="s">
        <v>2491</v>
      </c>
      <c r="AV43" s="21">
        <v>1.24</v>
      </c>
      <c r="AW43" s="423">
        <f t="shared" si="13"/>
        <v>1.4921780986762938</v>
      </c>
      <c r="AX43" s="21" t="s">
        <v>1312</v>
      </c>
      <c r="AY43" s="23" t="s">
        <v>2616</v>
      </c>
      <c r="AZ43" s="17">
        <v>1.1299999999999999</v>
      </c>
      <c r="BA43" s="427">
        <f t="shared" si="14"/>
        <v>1.3598074608904935</v>
      </c>
      <c r="BB43" s="17" t="s">
        <v>42</v>
      </c>
      <c r="BC43" s="20" t="s">
        <v>2617</v>
      </c>
      <c r="BD43" s="17">
        <v>1.1599999999999999</v>
      </c>
      <c r="BE43" s="670">
        <f t="shared" si="15"/>
        <v>1.3959085439229846</v>
      </c>
      <c r="BF43" s="17" t="s">
        <v>46</v>
      </c>
      <c r="BG43" s="20" t="s">
        <v>2618</v>
      </c>
      <c r="BH43" s="37">
        <v>1.22</v>
      </c>
      <c r="BI43" s="371">
        <f t="shared" si="16"/>
        <v>1.4681107099879664</v>
      </c>
      <c r="BJ43" s="37" t="s">
        <v>46</v>
      </c>
      <c r="BK43" s="38" t="s">
        <v>2619</v>
      </c>
      <c r="BL43" s="17">
        <v>0.68</v>
      </c>
      <c r="BM43" s="62">
        <f t="shared" si="17"/>
        <v>0.81829121540312899</v>
      </c>
      <c r="BN43" s="17" t="s">
        <v>42</v>
      </c>
      <c r="BO43" s="40"/>
      <c r="BP43" s="17">
        <v>0.64</v>
      </c>
      <c r="BQ43" s="19">
        <f t="shared" si="18"/>
        <v>0.77015643802647427</v>
      </c>
      <c r="BR43" s="17" t="s">
        <v>285</v>
      </c>
      <c r="BS43" s="41"/>
      <c r="BT43" s="37">
        <v>0.73</v>
      </c>
      <c r="BU43" s="510">
        <f t="shared" si="19"/>
        <v>0.87845968712394717</v>
      </c>
      <c r="BV43" s="46" t="s">
        <v>46</v>
      </c>
      <c r="BW43" s="23" t="s">
        <v>2620</v>
      </c>
      <c r="BX43" s="17">
        <v>0.56000000000000005</v>
      </c>
      <c r="BY43" s="66">
        <f t="shared" si="20"/>
        <v>0.67388688327316504</v>
      </c>
      <c r="BZ43" s="17" t="s">
        <v>42</v>
      </c>
      <c r="CA43" s="20" t="s">
        <v>2621</v>
      </c>
      <c r="CB43" s="37">
        <v>0.83</v>
      </c>
      <c r="CC43" s="231">
        <f t="shared" si="21"/>
        <v>0.99879663056558377</v>
      </c>
      <c r="CD43" s="46" t="s">
        <v>48</v>
      </c>
      <c r="CE43" s="23" t="s">
        <v>2622</v>
      </c>
      <c r="CF43" s="17">
        <v>0.63</v>
      </c>
      <c r="CG43" s="96">
        <f t="shared" si="22"/>
        <v>0.75812274368231058</v>
      </c>
      <c r="CH43" s="17" t="s">
        <v>48</v>
      </c>
      <c r="CI43" s="20" t="s">
        <v>2623</v>
      </c>
      <c r="CJ43" s="37">
        <v>0.39</v>
      </c>
      <c r="CK43" s="255">
        <f t="shared" si="23"/>
        <v>0.46931407942238279</v>
      </c>
      <c r="CL43" s="46" t="s">
        <v>48</v>
      </c>
      <c r="CM43" s="23" t="s">
        <v>2624</v>
      </c>
      <c r="CN43" s="17">
        <v>0.93</v>
      </c>
      <c r="CO43" s="213">
        <f t="shared" si="24"/>
        <v>1.1191335740072206</v>
      </c>
      <c r="CP43" s="17" t="s">
        <v>356</v>
      </c>
      <c r="CQ43" s="20" t="s">
        <v>2625</v>
      </c>
      <c r="CR43" s="37">
        <v>0.69</v>
      </c>
      <c r="CS43" s="137">
        <f t="shared" si="25"/>
        <v>0.83032490974729245</v>
      </c>
      <c r="CT43" s="21" t="s">
        <v>42</v>
      </c>
      <c r="CU43" s="23" t="s">
        <v>2626</v>
      </c>
      <c r="CV43" s="17">
        <v>0.87</v>
      </c>
      <c r="CW43" s="395">
        <f t="shared" si="26"/>
        <v>1.0469314079422385</v>
      </c>
      <c r="CX43" s="17" t="s">
        <v>46</v>
      </c>
      <c r="CY43" s="20" t="s">
        <v>2627</v>
      </c>
      <c r="CZ43" s="37">
        <v>0.63</v>
      </c>
      <c r="DA43" s="96">
        <f t="shared" si="27"/>
        <v>0.75812274368231058</v>
      </c>
      <c r="DB43" s="21" t="s">
        <v>70</v>
      </c>
      <c r="DC43" s="23" t="s">
        <v>2628</v>
      </c>
      <c r="DD43" s="17">
        <v>1.1299999999999999</v>
      </c>
      <c r="DE43" s="427">
        <f t="shared" si="28"/>
        <v>1.3598074608904935</v>
      </c>
      <c r="DF43" s="17" t="s">
        <v>46</v>
      </c>
      <c r="DG43" s="20" t="s">
        <v>2629</v>
      </c>
      <c r="DH43" s="37">
        <v>0.84</v>
      </c>
      <c r="DI43" s="111">
        <f t="shared" si="29"/>
        <v>1.0108303249097474</v>
      </c>
      <c r="DJ43" s="21" t="s">
        <v>70</v>
      </c>
      <c r="DK43" s="28"/>
      <c r="DL43" s="17">
        <v>0.25</v>
      </c>
      <c r="DM43" s="477">
        <f t="shared" si="30"/>
        <v>0.30084235860409153</v>
      </c>
      <c r="DN43" s="17" t="s">
        <v>48</v>
      </c>
      <c r="DO43" s="51" t="s">
        <v>2630</v>
      </c>
      <c r="DP43" s="21">
        <v>0.95</v>
      </c>
      <c r="DQ43" s="381">
        <f t="shared" si="31"/>
        <v>1.1432009626955477</v>
      </c>
      <c r="DR43" s="53" t="s">
        <v>42</v>
      </c>
      <c r="DS43" s="54" t="s">
        <v>2631</v>
      </c>
      <c r="DT43" s="53">
        <v>0.62</v>
      </c>
      <c r="DU43" s="541">
        <f t="shared" si="32"/>
        <v>0.7460890493381469</v>
      </c>
      <c r="DV43" s="56" t="s">
        <v>48</v>
      </c>
      <c r="DW43" s="57" t="s">
        <v>2567</v>
      </c>
      <c r="DX43" s="53">
        <v>0.71</v>
      </c>
      <c r="DY43" s="127">
        <f t="shared" si="33"/>
        <v>0.85439229843561981</v>
      </c>
      <c r="DZ43" s="53" t="s">
        <v>66</v>
      </c>
      <c r="EA43" s="54" t="s">
        <v>2632</v>
      </c>
      <c r="EB43" s="56">
        <v>0.56000000000000005</v>
      </c>
      <c r="EC43" s="66">
        <f t="shared" si="34"/>
        <v>0.67388688327316504</v>
      </c>
      <c r="ED43" s="56" t="s">
        <v>66</v>
      </c>
      <c r="EE43" s="57" t="s">
        <v>2633</v>
      </c>
      <c r="EF43" s="53">
        <v>0.51</v>
      </c>
      <c r="EG43" s="157">
        <f t="shared" si="35"/>
        <v>0.61371841155234674</v>
      </c>
      <c r="EH43" s="53" t="s">
        <v>46</v>
      </c>
      <c r="EI43" s="57" t="s">
        <v>2634</v>
      </c>
      <c r="EJ43" s="53">
        <v>1.27</v>
      </c>
      <c r="EK43" s="554">
        <f t="shared" si="36"/>
        <v>1.5282791817087849</v>
      </c>
      <c r="EL43" s="56" t="s">
        <v>66</v>
      </c>
      <c r="EM43" s="57" t="s">
        <v>2635</v>
      </c>
      <c r="EN43" s="53">
        <v>0.91</v>
      </c>
      <c r="EO43" s="646">
        <f t="shared" si="37"/>
        <v>1.0950661853188932</v>
      </c>
      <c r="EP43" s="53" t="s">
        <v>48</v>
      </c>
      <c r="EQ43" s="23" t="s">
        <v>2636</v>
      </c>
      <c r="ER43" s="53">
        <v>0.66</v>
      </c>
      <c r="ES43" s="31">
        <f t="shared" si="38"/>
        <v>0.79422382671480163</v>
      </c>
      <c r="ET43" s="53" t="s">
        <v>108</v>
      </c>
      <c r="EU43" s="5"/>
      <c r="EV43" s="53">
        <v>1.29</v>
      </c>
      <c r="EW43" s="447">
        <f t="shared" si="39"/>
        <v>1.5523465703971122</v>
      </c>
      <c r="EX43" s="21" t="s">
        <v>42</v>
      </c>
      <c r="EY43" s="57" t="s">
        <v>2637</v>
      </c>
      <c r="EZ43" s="53">
        <v>0.83</v>
      </c>
      <c r="FA43" s="231">
        <f t="shared" si="40"/>
        <v>0.99879663056558377</v>
      </c>
      <c r="FB43" s="40"/>
      <c r="FC43" s="40"/>
      <c r="FD43" s="53">
        <v>1.04</v>
      </c>
      <c r="FE43" s="702">
        <f t="shared" si="41"/>
        <v>1.2515042117930206</v>
      </c>
      <c r="FF43" s="21" t="s">
        <v>108</v>
      </c>
      <c r="FG43" s="64"/>
      <c r="FH43" s="17">
        <v>0.99</v>
      </c>
      <c r="FI43" s="664">
        <f t="shared" si="42"/>
        <v>1.1913357400722024</v>
      </c>
      <c r="FJ43" s="17" t="s">
        <v>42</v>
      </c>
      <c r="FK43" s="51" t="s">
        <v>2638</v>
      </c>
      <c r="FL43" s="17">
        <v>0.8</v>
      </c>
      <c r="FM43" s="55">
        <f t="shared" si="43"/>
        <v>0.96269554753309283</v>
      </c>
      <c r="FN43" s="21" t="s">
        <v>48</v>
      </c>
      <c r="FO43" s="51" t="s">
        <v>2639</v>
      </c>
      <c r="FP43" s="17">
        <v>0.62</v>
      </c>
      <c r="FQ43" s="541">
        <f t="shared" si="44"/>
        <v>0.7460890493381469</v>
      </c>
      <c r="FR43" s="17" t="s">
        <v>108</v>
      </c>
      <c r="FS43" s="274"/>
      <c r="FT43" s="17">
        <v>0.89</v>
      </c>
      <c r="FU43" s="160">
        <f t="shared" si="45"/>
        <v>1.0709987966305659</v>
      </c>
      <c r="FV43" s="17" t="s">
        <v>42</v>
      </c>
      <c r="FW43" s="51" t="s">
        <v>2640</v>
      </c>
      <c r="FX43" s="17">
        <v>1.47</v>
      </c>
      <c r="FY43" s="703">
        <f t="shared" si="46"/>
        <v>1.768953068592058</v>
      </c>
      <c r="FZ43" s="17" t="s">
        <v>856</v>
      </c>
      <c r="GA43" s="51" t="s">
        <v>2641</v>
      </c>
      <c r="GB43" s="53">
        <v>0.71</v>
      </c>
      <c r="GC43" s="127">
        <f t="shared" si="47"/>
        <v>0.85439229843561981</v>
      </c>
      <c r="GD43" s="21" t="s">
        <v>42</v>
      </c>
      <c r="GE43" s="63"/>
      <c r="GF43" s="17">
        <v>0.84</v>
      </c>
      <c r="GG43" s="111">
        <f t="shared" si="48"/>
        <v>1.0108303249097474</v>
      </c>
      <c r="GH43" s="17" t="s">
        <v>179</v>
      </c>
      <c r="GI43" s="51" t="s">
        <v>2642</v>
      </c>
      <c r="GJ43" s="17">
        <v>1.1399999999999999</v>
      </c>
      <c r="GK43" s="635">
        <f t="shared" si="49"/>
        <v>1.3718411552346572</v>
      </c>
      <c r="GL43" s="82" t="s">
        <v>48</v>
      </c>
      <c r="GM43" s="67" t="s">
        <v>2643</v>
      </c>
      <c r="GN43" s="17">
        <v>0.57999999999999996</v>
      </c>
      <c r="GO43" s="69">
        <f t="shared" si="50"/>
        <v>0.69795427196149229</v>
      </c>
      <c r="GP43" s="82" t="s">
        <v>48</v>
      </c>
      <c r="GQ43" s="51" t="s">
        <v>2644</v>
      </c>
      <c r="GR43" s="17">
        <v>0.76</v>
      </c>
      <c r="GS43" s="227">
        <f t="shared" si="51"/>
        <v>0.91456077015643822</v>
      </c>
      <c r="GT43" s="17" t="s">
        <v>42</v>
      </c>
      <c r="GU43" s="51" t="s">
        <v>2645</v>
      </c>
      <c r="GV43" s="17">
        <v>1.01</v>
      </c>
      <c r="GW43" s="361">
        <f t="shared" si="52"/>
        <v>1.2154031287605298</v>
      </c>
      <c r="GX43" s="17" t="s">
        <v>42</v>
      </c>
      <c r="GY43" s="67" t="s">
        <v>2646</v>
      </c>
      <c r="GZ43" s="17">
        <v>0.72</v>
      </c>
      <c r="HA43" s="461">
        <f t="shared" si="53"/>
        <v>0.86642599277978349</v>
      </c>
      <c r="HB43" s="17" t="s">
        <v>48</v>
      </c>
      <c r="HC43" s="20" t="s">
        <v>2647</v>
      </c>
      <c r="HD43" s="17">
        <v>0.98</v>
      </c>
      <c r="HE43" s="25">
        <f t="shared" si="54"/>
        <v>1.1793020457280388</v>
      </c>
      <c r="HF43" s="17" t="s">
        <v>46</v>
      </c>
      <c r="HG43" s="20" t="s">
        <v>2648</v>
      </c>
      <c r="HH43" s="17">
        <v>0.84</v>
      </c>
      <c r="HI43" s="111">
        <f t="shared" si="55"/>
        <v>1.0108303249097474</v>
      </c>
      <c r="HJ43" s="17" t="s">
        <v>46</v>
      </c>
      <c r="HK43" s="20" t="s">
        <v>2649</v>
      </c>
      <c r="HL43" s="17">
        <v>0.87</v>
      </c>
      <c r="HM43" s="395">
        <f t="shared" si="56"/>
        <v>1.0469314079422385</v>
      </c>
      <c r="HN43" s="17" t="s">
        <v>42</v>
      </c>
      <c r="HO43" s="20" t="s">
        <v>2650</v>
      </c>
      <c r="HP43" s="17">
        <v>0.83</v>
      </c>
      <c r="HQ43" s="231">
        <f t="shared" si="57"/>
        <v>0.99879663056558377</v>
      </c>
      <c r="HR43" s="17" t="s">
        <v>48</v>
      </c>
      <c r="HS43" s="73" t="s">
        <v>2651</v>
      </c>
      <c r="HT43" s="17">
        <v>1.1299999999999999</v>
      </c>
      <c r="HU43" s="427">
        <f t="shared" si="58"/>
        <v>1.3598074608904935</v>
      </c>
      <c r="HV43" s="17" t="s">
        <v>70</v>
      </c>
      <c r="HW43" s="75" t="s">
        <v>2652</v>
      </c>
      <c r="HX43" s="17">
        <v>0.82</v>
      </c>
      <c r="HY43" s="61">
        <f t="shared" si="59"/>
        <v>0.98676293622142008</v>
      </c>
      <c r="HZ43" s="21" t="s">
        <v>48</v>
      </c>
      <c r="IA43" s="75" t="s">
        <v>2653</v>
      </c>
      <c r="IB43" s="17">
        <v>0.75</v>
      </c>
      <c r="IC43" s="300">
        <f t="shared" si="60"/>
        <v>0.90252707581227454</v>
      </c>
      <c r="ID43" s="17" t="s">
        <v>42</v>
      </c>
      <c r="IE43" s="51" t="s">
        <v>2654</v>
      </c>
      <c r="IF43" s="17">
        <v>0.46</v>
      </c>
      <c r="IG43" s="325">
        <f t="shared" si="61"/>
        <v>0.55354993983152845</v>
      </c>
      <c r="IH43" s="17" t="s">
        <v>108</v>
      </c>
      <c r="II43" s="51" t="s">
        <v>2655</v>
      </c>
      <c r="IJ43" s="17">
        <v>0.82</v>
      </c>
      <c r="IK43" s="61">
        <f t="shared" si="62"/>
        <v>0.98676293622142008</v>
      </c>
      <c r="IL43" s="17" t="s">
        <v>48</v>
      </c>
      <c r="IM43" s="51" t="s">
        <v>2656</v>
      </c>
      <c r="IN43" s="17">
        <v>0.87</v>
      </c>
      <c r="IO43" s="395">
        <f t="shared" si="63"/>
        <v>1.0469314079422385</v>
      </c>
      <c r="IP43" s="17" t="s">
        <v>46</v>
      </c>
      <c r="IQ43" s="51" t="s">
        <v>2591</v>
      </c>
      <c r="IR43" s="17">
        <v>0.92</v>
      </c>
      <c r="IS43" s="474">
        <f t="shared" si="64"/>
        <v>1.1070998796630569</v>
      </c>
      <c r="IT43" s="17" t="s">
        <v>42</v>
      </c>
      <c r="IU43" s="75" t="s">
        <v>2657</v>
      </c>
      <c r="IV43" s="17">
        <v>0.31</v>
      </c>
      <c r="IW43" s="201">
        <f t="shared" si="65"/>
        <v>0.37304452466907345</v>
      </c>
      <c r="IX43" s="17" t="s">
        <v>1697</v>
      </c>
      <c r="IY43" s="51" t="s">
        <v>2658</v>
      </c>
      <c r="IZ43" s="17">
        <v>0.87</v>
      </c>
      <c r="JA43" s="395">
        <f t="shared" si="66"/>
        <v>1.0469314079422385</v>
      </c>
      <c r="JB43" s="17" t="s">
        <v>46</v>
      </c>
      <c r="JC43" s="51" t="s">
        <v>2659</v>
      </c>
      <c r="JD43" s="17">
        <v>0.74</v>
      </c>
      <c r="JE43" s="199">
        <f t="shared" si="67"/>
        <v>0.89049338146811086</v>
      </c>
      <c r="JF43" s="17" t="s">
        <v>42</v>
      </c>
      <c r="JG43" s="51" t="s">
        <v>2660</v>
      </c>
      <c r="JH43" s="17">
        <v>0.84</v>
      </c>
      <c r="JI43" s="111">
        <f t="shared" si="68"/>
        <v>1.0108303249097474</v>
      </c>
      <c r="JJ43" s="17" t="s">
        <v>70</v>
      </c>
      <c r="JK43" s="51" t="s">
        <v>2661</v>
      </c>
      <c r="JL43" s="21">
        <v>0.54</v>
      </c>
      <c r="JM43" s="240">
        <f t="shared" si="69"/>
        <v>0.64981949458483768</v>
      </c>
      <c r="JN43" s="21" t="s">
        <v>179</v>
      </c>
      <c r="JO43" s="75" t="s">
        <v>2662</v>
      </c>
      <c r="JP43" s="21">
        <v>0.56000000000000005</v>
      </c>
      <c r="JQ43" s="66">
        <f t="shared" si="70"/>
        <v>0.67388688327316504</v>
      </c>
      <c r="JR43" s="21" t="s">
        <v>48</v>
      </c>
      <c r="JS43" s="51" t="s">
        <v>2663</v>
      </c>
      <c r="JT43" s="21">
        <v>0.66</v>
      </c>
      <c r="JU43" s="31">
        <f t="shared" si="71"/>
        <v>0.79422382671480163</v>
      </c>
      <c r="JV43" s="21" t="s">
        <v>42</v>
      </c>
      <c r="JW43" s="75" t="s">
        <v>2664</v>
      </c>
      <c r="JX43" s="17">
        <v>0.73</v>
      </c>
      <c r="JY43" s="510">
        <f t="shared" si="72"/>
        <v>0.87845968712394717</v>
      </c>
      <c r="JZ43" s="51" t="s">
        <v>108</v>
      </c>
      <c r="KA43" s="40"/>
      <c r="KB43" s="21">
        <v>1.02</v>
      </c>
      <c r="KC43" s="434">
        <f t="shared" si="73"/>
        <v>1.2274368231046935</v>
      </c>
      <c r="KD43" s="75" t="s">
        <v>70</v>
      </c>
      <c r="KE43" s="75" t="s">
        <v>2665</v>
      </c>
      <c r="KF43" s="17">
        <v>0.71</v>
      </c>
      <c r="KG43" s="127">
        <f t="shared" si="74"/>
        <v>0.85439229843561981</v>
      </c>
      <c r="KH43" s="51" t="s">
        <v>70</v>
      </c>
      <c r="KI43" s="51" t="s">
        <v>2666</v>
      </c>
      <c r="KJ43" s="21">
        <v>0.72</v>
      </c>
      <c r="KK43" s="461">
        <f t="shared" si="75"/>
        <v>0.86642599277978349</v>
      </c>
      <c r="KL43" s="75" t="s">
        <v>46</v>
      </c>
      <c r="KM43" s="75" t="s">
        <v>2667</v>
      </c>
      <c r="KN43" s="17">
        <v>0.94</v>
      </c>
      <c r="KO43" s="296">
        <f t="shared" si="76"/>
        <v>1.131167268351384</v>
      </c>
      <c r="KP43" s="51" t="s">
        <v>48</v>
      </c>
      <c r="KQ43" s="51" t="s">
        <v>2603</v>
      </c>
      <c r="KR43" s="21">
        <v>0.79</v>
      </c>
      <c r="KS43" s="37">
        <f t="shared" si="77"/>
        <v>0.95066185318892926</v>
      </c>
      <c r="KT43" s="75" t="s">
        <v>70</v>
      </c>
      <c r="KU43" s="75" t="s">
        <v>2668</v>
      </c>
      <c r="KV43" s="82">
        <v>1</v>
      </c>
      <c r="KW43" s="81">
        <f t="shared" si="78"/>
        <v>1.2033694344163661</v>
      </c>
      <c r="KX43" s="51" t="s">
        <v>70</v>
      </c>
      <c r="KY43" s="51" t="s">
        <v>2669</v>
      </c>
      <c r="KZ43" s="83">
        <v>0.46</v>
      </c>
      <c r="LA43" s="325">
        <f t="shared" si="79"/>
        <v>0.55354993983152845</v>
      </c>
      <c r="LB43" s="75" t="s">
        <v>48</v>
      </c>
      <c r="LC43" s="75" t="s">
        <v>2670</v>
      </c>
      <c r="LD43" s="82">
        <v>0.69</v>
      </c>
      <c r="LE43" s="137">
        <f t="shared" si="80"/>
        <v>0.83032490974729245</v>
      </c>
      <c r="LF43" s="51" t="s">
        <v>46</v>
      </c>
      <c r="LG43" s="51" t="s">
        <v>2671</v>
      </c>
      <c r="LH43" s="83">
        <v>0.64</v>
      </c>
      <c r="LI43" s="84"/>
      <c r="LJ43" s="85"/>
      <c r="LK43" s="85"/>
      <c r="LL43" s="86">
        <f t="shared" si="81"/>
        <v>0.83291139240506307</v>
      </c>
      <c r="LM43" s="86">
        <f t="shared" si="82"/>
        <v>0.81641337386018265</v>
      </c>
      <c r="LN43" s="86">
        <f t="shared" si="90"/>
        <v>1.0158699479048949</v>
      </c>
      <c r="LO43" s="86">
        <f t="shared" si="94"/>
        <v>0.89150047002320898</v>
      </c>
      <c r="LP43" s="86">
        <f t="shared" si="95"/>
        <v>-1.0737897438127808E-3</v>
      </c>
      <c r="LQ43" s="87">
        <f t="shared" si="96"/>
        <v>1</v>
      </c>
      <c r="LR43" s="86">
        <f t="shared" si="97"/>
        <v>0.89132934538418074</v>
      </c>
      <c r="LS43" s="84">
        <v>1</v>
      </c>
      <c r="LT43" s="87">
        <f t="shared" si="100"/>
        <v>0</v>
      </c>
      <c r="LU43" s="87">
        <f t="shared" si="92"/>
        <v>2</v>
      </c>
      <c r="LV43" s="86">
        <f t="shared" si="98"/>
        <v>0.96</v>
      </c>
      <c r="LW43" s="88" t="s">
        <v>3807</v>
      </c>
      <c r="LX43" s="89" t="str">
        <f t="shared" si="87"/>
        <v>—</v>
      </c>
      <c r="LY43" s="89" t="str">
        <f t="shared" si="102"/>
        <v>Queda severa — voltar ao que deu certo</v>
      </c>
      <c r="LZ43" s="5"/>
      <c r="MA43" s="67" t="str">
        <f t="shared" si="99"/>
        <v>SÃO PAULO</v>
      </c>
      <c r="MB43" s="89" t="s">
        <v>3808</v>
      </c>
    </row>
    <row r="44" spans="1:340" x14ac:dyDescent="0.2">
      <c r="A44" s="16">
        <v>0.77847222222222223</v>
      </c>
      <c r="B44" s="704">
        <f t="shared" si="0"/>
        <v>0.81249999999999967</v>
      </c>
      <c r="C44" s="669">
        <f t="shared" si="1"/>
        <v>-7.6923076923076539E-2</v>
      </c>
      <c r="D44" s="17">
        <v>0.75</v>
      </c>
      <c r="E44" s="297">
        <f t="shared" si="2"/>
        <v>0.92307692307692346</v>
      </c>
      <c r="F44" s="17" t="s">
        <v>1332</v>
      </c>
      <c r="G44" s="20" t="s">
        <v>2672</v>
      </c>
      <c r="H44" s="21">
        <v>0.97</v>
      </c>
      <c r="I44" s="664">
        <f t="shared" si="3"/>
        <v>1.1938461538461542</v>
      </c>
      <c r="J44" s="21" t="s">
        <v>42</v>
      </c>
      <c r="K44" s="23" t="s">
        <v>2673</v>
      </c>
      <c r="L44" s="17">
        <v>1.1399999999999999</v>
      </c>
      <c r="M44" s="105">
        <f t="shared" si="4"/>
        <v>1.4030769230769236</v>
      </c>
      <c r="N44" s="17" t="s">
        <v>66</v>
      </c>
      <c r="O44" s="20" t="s">
        <v>2674</v>
      </c>
      <c r="P44" s="21">
        <v>1.04</v>
      </c>
      <c r="Q44" s="359">
        <f t="shared" si="5"/>
        <v>1.2800000000000005</v>
      </c>
      <c r="R44" s="21" t="s">
        <v>48</v>
      </c>
      <c r="S44" s="23" t="s">
        <v>2675</v>
      </c>
      <c r="T44" s="17">
        <v>0.54</v>
      </c>
      <c r="U44" s="178">
        <f t="shared" si="6"/>
        <v>0.66461538461538494</v>
      </c>
      <c r="V44" s="17" t="s">
        <v>42</v>
      </c>
      <c r="W44" s="5"/>
      <c r="X44" s="21">
        <v>1.04</v>
      </c>
      <c r="Y44" s="359">
        <f t="shared" si="7"/>
        <v>1.2800000000000005</v>
      </c>
      <c r="Z44" s="21" t="s">
        <v>49</v>
      </c>
      <c r="AA44" s="28"/>
      <c r="AB44" s="17">
        <v>0.74</v>
      </c>
      <c r="AC44" s="80">
        <f t="shared" si="8"/>
        <v>0.91076923076923111</v>
      </c>
      <c r="AD44" s="17" t="s">
        <v>70</v>
      </c>
      <c r="AE44" s="20" t="s">
        <v>2676</v>
      </c>
      <c r="AF44" s="21">
        <v>1.03</v>
      </c>
      <c r="AG44" s="261">
        <f t="shared" si="9"/>
        <v>1.2676923076923083</v>
      </c>
      <c r="AH44" s="21" t="s">
        <v>108</v>
      </c>
      <c r="AI44" s="23" t="s">
        <v>2677</v>
      </c>
      <c r="AJ44" s="17">
        <v>1.01</v>
      </c>
      <c r="AK44" s="106">
        <f t="shared" si="10"/>
        <v>1.2430769230769236</v>
      </c>
      <c r="AL44" s="17" t="s">
        <v>46</v>
      </c>
      <c r="AM44" s="20" t="s">
        <v>2678</v>
      </c>
      <c r="AN44" s="21">
        <v>1.1299999999999999</v>
      </c>
      <c r="AO44" s="604">
        <f t="shared" si="11"/>
        <v>1.3907692307692312</v>
      </c>
      <c r="AP44" s="21" t="s">
        <v>70</v>
      </c>
      <c r="AQ44" s="23" t="s">
        <v>2679</v>
      </c>
      <c r="AR44" s="17">
        <v>0.97</v>
      </c>
      <c r="AS44" s="664">
        <f t="shared" si="12"/>
        <v>1.1938461538461542</v>
      </c>
      <c r="AT44" s="17" t="s">
        <v>42</v>
      </c>
      <c r="AU44" s="20" t="s">
        <v>2680</v>
      </c>
      <c r="AV44" s="21">
        <v>1.3</v>
      </c>
      <c r="AW44" s="260">
        <f t="shared" si="13"/>
        <v>1.6000000000000008</v>
      </c>
      <c r="AX44" s="21" t="s">
        <v>414</v>
      </c>
      <c r="AY44" s="23" t="s">
        <v>2681</v>
      </c>
      <c r="AZ44" s="17">
        <v>1.1299999999999999</v>
      </c>
      <c r="BA44" s="604">
        <f t="shared" si="14"/>
        <v>1.3907692307692312</v>
      </c>
      <c r="BB44" s="17" t="s">
        <v>42</v>
      </c>
      <c r="BC44" s="20" t="s">
        <v>2682</v>
      </c>
      <c r="BD44" s="17">
        <v>1.1000000000000001</v>
      </c>
      <c r="BE44" s="648">
        <f t="shared" si="15"/>
        <v>1.3538461538461546</v>
      </c>
      <c r="BF44" s="17" t="s">
        <v>46</v>
      </c>
      <c r="BG44" s="20" t="s">
        <v>2683</v>
      </c>
      <c r="BH44" s="37">
        <v>1.29</v>
      </c>
      <c r="BI44" s="35">
        <f t="shared" si="16"/>
        <v>1.5876923076923084</v>
      </c>
      <c r="BJ44" s="37" t="s">
        <v>108</v>
      </c>
      <c r="BK44" s="38" t="s">
        <v>2684</v>
      </c>
      <c r="BL44" s="17">
        <v>0.75</v>
      </c>
      <c r="BM44" s="297">
        <f t="shared" si="17"/>
        <v>0.92307692307692346</v>
      </c>
      <c r="BN44" s="17" t="s">
        <v>42</v>
      </c>
      <c r="BO44" s="40"/>
      <c r="BP44" s="17">
        <v>0.64</v>
      </c>
      <c r="BQ44" s="174">
        <f t="shared" si="18"/>
        <v>0.78769230769230802</v>
      </c>
      <c r="BR44" s="17" t="s">
        <v>42</v>
      </c>
      <c r="BS44" s="41"/>
      <c r="BT44" s="37">
        <v>0.73</v>
      </c>
      <c r="BU44" s="478">
        <f t="shared" si="19"/>
        <v>0.89846153846153876</v>
      </c>
      <c r="BV44" s="46" t="s">
        <v>46</v>
      </c>
      <c r="BW44" s="23" t="s">
        <v>2685</v>
      </c>
      <c r="BX44" s="17">
        <v>0.56000000000000005</v>
      </c>
      <c r="BY44" s="130">
        <f t="shared" si="20"/>
        <v>0.68923076923076954</v>
      </c>
      <c r="BZ44" s="17" t="s">
        <v>42</v>
      </c>
      <c r="CA44" s="20" t="s">
        <v>2686</v>
      </c>
      <c r="CB44" s="37">
        <v>0.76</v>
      </c>
      <c r="CC44" s="24">
        <f t="shared" si="21"/>
        <v>0.93538461538461581</v>
      </c>
      <c r="CD44" s="46" t="s">
        <v>48</v>
      </c>
      <c r="CE44" s="28"/>
      <c r="CF44" s="17">
        <v>0.63</v>
      </c>
      <c r="CG44" s="217">
        <f t="shared" si="22"/>
        <v>0.77538461538461567</v>
      </c>
      <c r="CH44" s="17" t="s">
        <v>48</v>
      </c>
      <c r="CI44" s="20" t="s">
        <v>2687</v>
      </c>
      <c r="CJ44" s="37">
        <v>0.27</v>
      </c>
      <c r="CK44" s="656">
        <f t="shared" si="23"/>
        <v>0.33230769230769247</v>
      </c>
      <c r="CL44" s="46" t="s">
        <v>48</v>
      </c>
      <c r="CM44" s="23" t="s">
        <v>2688</v>
      </c>
      <c r="CN44" s="17">
        <v>0.93</v>
      </c>
      <c r="CO44" s="381">
        <f t="shared" si="24"/>
        <v>1.144615384615385</v>
      </c>
      <c r="CP44" s="17" t="s">
        <v>356</v>
      </c>
      <c r="CQ44" s="20" t="s">
        <v>2689</v>
      </c>
      <c r="CR44" s="37">
        <v>0.69</v>
      </c>
      <c r="CS44" s="288">
        <f t="shared" si="25"/>
        <v>0.84923076923076957</v>
      </c>
      <c r="CT44" s="21" t="s">
        <v>66</v>
      </c>
      <c r="CU44" s="23" t="s">
        <v>2690</v>
      </c>
      <c r="CV44" s="17">
        <v>0.87</v>
      </c>
      <c r="CW44" s="705">
        <f t="shared" si="26"/>
        <v>1.0707692307692311</v>
      </c>
      <c r="CX44" s="17" t="s">
        <v>46</v>
      </c>
      <c r="CY44" s="20" t="s">
        <v>2691</v>
      </c>
      <c r="CZ44" s="37">
        <v>0.63</v>
      </c>
      <c r="DA44" s="217">
        <f t="shared" si="27"/>
        <v>0.77538461538461567</v>
      </c>
      <c r="DB44" s="21" t="s">
        <v>46</v>
      </c>
      <c r="DC44" s="23" t="s">
        <v>2692</v>
      </c>
      <c r="DD44" s="17">
        <v>1.1299999999999999</v>
      </c>
      <c r="DE44" s="604">
        <f t="shared" si="28"/>
        <v>1.3907692307692312</v>
      </c>
      <c r="DF44" s="17" t="s">
        <v>46</v>
      </c>
      <c r="DG44" s="20" t="s">
        <v>2693</v>
      </c>
      <c r="DH44" s="37">
        <v>0.91</v>
      </c>
      <c r="DI44" s="192">
        <f t="shared" si="29"/>
        <v>1.1200000000000006</v>
      </c>
      <c r="DJ44" s="21" t="s">
        <v>70</v>
      </c>
      <c r="DK44" s="28"/>
      <c r="DL44" s="17">
        <v>0.13</v>
      </c>
      <c r="DM44" s="633">
        <f t="shared" si="30"/>
        <v>0.16000000000000006</v>
      </c>
      <c r="DN44" s="17" t="s">
        <v>108</v>
      </c>
      <c r="DO44" s="51" t="s">
        <v>2694</v>
      </c>
      <c r="DP44" s="21">
        <v>1.02</v>
      </c>
      <c r="DQ44" s="310">
        <f t="shared" si="31"/>
        <v>1.255384615384616</v>
      </c>
      <c r="DR44" s="53" t="s">
        <v>42</v>
      </c>
      <c r="DS44" s="54" t="s">
        <v>2695</v>
      </c>
      <c r="DT44" s="53">
        <v>0.62</v>
      </c>
      <c r="DU44" s="356">
        <f t="shared" si="32"/>
        <v>0.76307692307692343</v>
      </c>
      <c r="DV44" s="56" t="s">
        <v>48</v>
      </c>
      <c r="DW44" s="57" t="s">
        <v>2632</v>
      </c>
      <c r="DX44" s="53">
        <v>0.71</v>
      </c>
      <c r="DY44" s="115">
        <f t="shared" si="33"/>
        <v>0.87384615384615416</v>
      </c>
      <c r="DZ44" s="53" t="s">
        <v>66</v>
      </c>
      <c r="EA44" s="54" t="s">
        <v>2696</v>
      </c>
      <c r="EB44" s="56">
        <v>0.5</v>
      </c>
      <c r="EC44" s="157">
        <f t="shared" si="34"/>
        <v>0.61538461538461564</v>
      </c>
      <c r="ED44" s="56" t="s">
        <v>1022</v>
      </c>
      <c r="EE44" s="614"/>
      <c r="EF44" s="53">
        <v>0.44</v>
      </c>
      <c r="EG44" s="449">
        <f t="shared" si="35"/>
        <v>0.54153846153846175</v>
      </c>
      <c r="EH44" s="53" t="s">
        <v>46</v>
      </c>
      <c r="EI44" s="57" t="s">
        <v>2697</v>
      </c>
      <c r="EJ44" s="53">
        <v>0.94</v>
      </c>
      <c r="EK44" s="230">
        <f t="shared" si="36"/>
        <v>1.1569230769230774</v>
      </c>
      <c r="EL44" s="56" t="s">
        <v>108</v>
      </c>
      <c r="EM44" s="614"/>
      <c r="EN44" s="53">
        <v>0.91</v>
      </c>
      <c r="EO44" s="192">
        <f t="shared" si="37"/>
        <v>1.1200000000000006</v>
      </c>
      <c r="EP44" s="53" t="s">
        <v>48</v>
      </c>
      <c r="EQ44" s="23" t="s">
        <v>2698</v>
      </c>
      <c r="ER44" s="53">
        <v>0.66</v>
      </c>
      <c r="ES44" s="223">
        <f t="shared" si="38"/>
        <v>0.81230769230769273</v>
      </c>
      <c r="ET44" s="53" t="s">
        <v>108</v>
      </c>
      <c r="EU44" s="41"/>
      <c r="EV44" s="53">
        <v>1.1499999999999999</v>
      </c>
      <c r="EW44" s="281">
        <f t="shared" si="39"/>
        <v>1.4153846153846159</v>
      </c>
      <c r="EX44" s="21" t="s">
        <v>42</v>
      </c>
      <c r="EY44" s="57" t="s">
        <v>2699</v>
      </c>
      <c r="EZ44" s="53">
        <v>0.83</v>
      </c>
      <c r="FA44" s="533">
        <f t="shared" si="40"/>
        <v>1.021538461538462</v>
      </c>
      <c r="FB44" s="40"/>
      <c r="FC44" s="40"/>
      <c r="FD44" s="53">
        <v>0.91</v>
      </c>
      <c r="FE44" s="192">
        <f t="shared" si="41"/>
        <v>1.1200000000000006</v>
      </c>
      <c r="FF44" s="21" t="s">
        <v>108</v>
      </c>
      <c r="FG44" s="64"/>
      <c r="FH44" s="17">
        <v>0.99</v>
      </c>
      <c r="FI44" s="472">
        <f t="shared" si="42"/>
        <v>1.2184615384615389</v>
      </c>
      <c r="FJ44" s="17" t="s">
        <v>42</v>
      </c>
      <c r="FK44" s="51" t="s">
        <v>2700</v>
      </c>
      <c r="FL44" s="17">
        <v>0.8</v>
      </c>
      <c r="FM44" s="61">
        <f t="shared" si="43"/>
        <v>0.98461538461538511</v>
      </c>
      <c r="FN44" s="21" t="s">
        <v>66</v>
      </c>
      <c r="FO44" s="51" t="s">
        <v>2701</v>
      </c>
      <c r="FP44" s="17">
        <v>0.55000000000000004</v>
      </c>
      <c r="FQ44" s="162">
        <f t="shared" si="44"/>
        <v>0.67692307692307729</v>
      </c>
      <c r="FR44" s="17" t="s">
        <v>46</v>
      </c>
      <c r="FS44" s="51" t="s">
        <v>2702</v>
      </c>
      <c r="FT44" s="17">
        <v>0.83</v>
      </c>
      <c r="FU44" s="533">
        <f t="shared" si="45"/>
        <v>1.021538461538462</v>
      </c>
      <c r="FV44" s="17" t="s">
        <v>42</v>
      </c>
      <c r="FW44" s="51" t="s">
        <v>2703</v>
      </c>
      <c r="FX44" s="17">
        <v>1.4</v>
      </c>
      <c r="FY44" s="706">
        <f t="shared" si="46"/>
        <v>1.7230769230769236</v>
      </c>
      <c r="FZ44" s="17" t="s">
        <v>179</v>
      </c>
      <c r="GA44" s="51" t="s">
        <v>2704</v>
      </c>
      <c r="GB44" s="53">
        <v>0.65</v>
      </c>
      <c r="GC44" s="268">
        <f t="shared" si="47"/>
        <v>0.80000000000000038</v>
      </c>
      <c r="GD44" s="21" t="s">
        <v>42</v>
      </c>
      <c r="GE44" s="63"/>
      <c r="GF44" s="17">
        <v>0.91</v>
      </c>
      <c r="GG44" s="192">
        <f t="shared" si="48"/>
        <v>1.1200000000000006</v>
      </c>
      <c r="GH44" s="17" t="s">
        <v>48</v>
      </c>
      <c r="GI44" s="51" t="s">
        <v>2705</v>
      </c>
      <c r="GJ44" s="17">
        <v>1.1399999999999999</v>
      </c>
      <c r="GK44" s="105">
        <f t="shared" si="49"/>
        <v>1.4030769230769236</v>
      </c>
      <c r="GL44" s="82" t="s">
        <v>48</v>
      </c>
      <c r="GM44" s="67" t="s">
        <v>2706</v>
      </c>
      <c r="GN44" s="17">
        <v>0.57999999999999996</v>
      </c>
      <c r="GO44" s="291">
        <f t="shared" si="50"/>
        <v>0.71384615384615413</v>
      </c>
      <c r="GP44" s="82" t="s">
        <v>48</v>
      </c>
      <c r="GQ44" s="51" t="s">
        <v>2707</v>
      </c>
      <c r="GR44" s="17">
        <v>0.7</v>
      </c>
      <c r="GS44" s="324">
        <f t="shared" si="51"/>
        <v>0.86153846153846181</v>
      </c>
      <c r="GT44" s="17" t="s">
        <v>42</v>
      </c>
      <c r="GU44" s="51" t="s">
        <v>2708</v>
      </c>
      <c r="GV44" s="17">
        <v>0.94</v>
      </c>
      <c r="GW44" s="230">
        <f t="shared" si="52"/>
        <v>1.1569230769230774</v>
      </c>
      <c r="GX44" s="17" t="s">
        <v>42</v>
      </c>
      <c r="GY44" s="67" t="s">
        <v>2709</v>
      </c>
      <c r="GZ44" s="17">
        <v>0.66</v>
      </c>
      <c r="HA44" s="223">
        <f t="shared" si="53"/>
        <v>0.81230769230769273</v>
      </c>
      <c r="HB44" s="17" t="s">
        <v>48</v>
      </c>
      <c r="HC44" s="20" t="s">
        <v>2710</v>
      </c>
      <c r="HD44" s="17">
        <v>0.98</v>
      </c>
      <c r="HE44" s="285">
        <f t="shared" si="54"/>
        <v>1.2061538461538466</v>
      </c>
      <c r="HF44" s="17" t="s">
        <v>46</v>
      </c>
      <c r="HG44" s="20" t="s">
        <v>2711</v>
      </c>
      <c r="HH44" s="17">
        <v>0.78</v>
      </c>
      <c r="HI44" s="446">
        <f t="shared" si="55"/>
        <v>0.96000000000000041</v>
      </c>
      <c r="HJ44" s="17" t="s">
        <v>108</v>
      </c>
      <c r="HK44" s="41"/>
      <c r="HL44" s="17">
        <v>0.87</v>
      </c>
      <c r="HM44" s="705">
        <f t="shared" si="56"/>
        <v>1.0707692307692311</v>
      </c>
      <c r="HN44" s="17" t="s">
        <v>108</v>
      </c>
      <c r="HO44" s="5"/>
      <c r="HP44" s="17">
        <v>0.9</v>
      </c>
      <c r="HQ44" s="474">
        <f t="shared" si="57"/>
        <v>1.1076923076923082</v>
      </c>
      <c r="HR44" s="17" t="s">
        <v>48</v>
      </c>
      <c r="HS44" s="73" t="s">
        <v>2712</v>
      </c>
      <c r="HT44" s="17">
        <v>1.1299999999999999</v>
      </c>
      <c r="HU44" s="604">
        <f t="shared" si="58"/>
        <v>1.3907692307692312</v>
      </c>
      <c r="HV44" s="17" t="s">
        <v>108</v>
      </c>
      <c r="HW44" s="40"/>
      <c r="HX44" s="17">
        <v>0.82</v>
      </c>
      <c r="HY44" s="618">
        <f t="shared" si="59"/>
        <v>1.0092307692307696</v>
      </c>
      <c r="HZ44" s="21" t="s">
        <v>66</v>
      </c>
      <c r="IA44" s="75" t="s">
        <v>2713</v>
      </c>
      <c r="IB44" s="17">
        <v>0.75</v>
      </c>
      <c r="IC44" s="297">
        <f t="shared" si="60"/>
        <v>0.92307692307692346</v>
      </c>
      <c r="ID44" s="17" t="s">
        <v>108</v>
      </c>
      <c r="IE44" s="51" t="s">
        <v>2714</v>
      </c>
      <c r="IF44" s="17">
        <v>0.4</v>
      </c>
      <c r="IG44" s="304">
        <f t="shared" si="61"/>
        <v>0.49230769230769256</v>
      </c>
      <c r="IH44" s="17" t="s">
        <v>108</v>
      </c>
      <c r="II44" s="51" t="s">
        <v>2715</v>
      </c>
      <c r="IJ44" s="164">
        <v>0.75</v>
      </c>
      <c r="IK44" s="297">
        <f t="shared" si="62"/>
        <v>0.92307692307692346</v>
      </c>
      <c r="IL44" s="17" t="s">
        <v>66</v>
      </c>
      <c r="IM44" s="51" t="s">
        <v>2716</v>
      </c>
      <c r="IN44" s="17">
        <v>0.99</v>
      </c>
      <c r="IO44" s="472">
        <f t="shared" si="63"/>
        <v>1.2184615384615389</v>
      </c>
      <c r="IP44" s="17" t="s">
        <v>46</v>
      </c>
      <c r="IQ44" s="51" t="s">
        <v>2717</v>
      </c>
      <c r="IR44" s="17">
        <v>0.92</v>
      </c>
      <c r="IS44" s="258">
        <f t="shared" si="64"/>
        <v>1.1323076923076929</v>
      </c>
      <c r="IT44" s="17" t="s">
        <v>108</v>
      </c>
      <c r="IU44" s="63"/>
      <c r="IV44" s="17">
        <v>0.37</v>
      </c>
      <c r="IW44" s="76">
        <f t="shared" si="65"/>
        <v>0.45538461538461555</v>
      </c>
      <c r="IX44" s="17" t="s">
        <v>1697</v>
      </c>
      <c r="IY44" s="51" t="s">
        <v>2718</v>
      </c>
      <c r="IZ44" s="17">
        <v>1</v>
      </c>
      <c r="JA44" s="685">
        <f t="shared" si="66"/>
        <v>1.2307692307692313</v>
      </c>
      <c r="JB44" s="17" t="s">
        <v>46</v>
      </c>
      <c r="JC44" s="51" t="s">
        <v>2719</v>
      </c>
      <c r="JD44" s="17">
        <v>0.66</v>
      </c>
      <c r="JE44" s="223">
        <f t="shared" si="67"/>
        <v>0.81230769230769273</v>
      </c>
      <c r="JF44" s="17" t="s">
        <v>42</v>
      </c>
      <c r="JG44" s="51" t="s">
        <v>2720</v>
      </c>
      <c r="JH44" s="17">
        <v>0.85</v>
      </c>
      <c r="JI44" s="395">
        <f t="shared" si="68"/>
        <v>1.0461538461538467</v>
      </c>
      <c r="JJ44" s="17" t="s">
        <v>70</v>
      </c>
      <c r="JK44" s="51" t="s">
        <v>2721</v>
      </c>
      <c r="JL44" s="21">
        <v>0.48</v>
      </c>
      <c r="JM44" s="147">
        <f t="shared" si="69"/>
        <v>0.59076923076923094</v>
      </c>
      <c r="JN44" s="21" t="s">
        <v>179</v>
      </c>
      <c r="JO44" s="75" t="s">
        <v>2722</v>
      </c>
      <c r="JP44" s="21">
        <v>0.54</v>
      </c>
      <c r="JQ44" s="178">
        <f t="shared" si="70"/>
        <v>0.66461538461538494</v>
      </c>
      <c r="JR44" s="21" t="s">
        <v>48</v>
      </c>
      <c r="JS44" s="51" t="s">
        <v>2723</v>
      </c>
      <c r="JT44" s="21">
        <v>0.66</v>
      </c>
      <c r="JU44" s="223">
        <f t="shared" si="71"/>
        <v>0.81230769230769273</v>
      </c>
      <c r="JV44" s="21" t="s">
        <v>42</v>
      </c>
      <c r="JW44" s="75" t="s">
        <v>2724</v>
      </c>
      <c r="JX44" s="17">
        <v>0.49</v>
      </c>
      <c r="JY44" s="39">
        <f t="shared" si="72"/>
        <v>0.60307692307692329</v>
      </c>
      <c r="JZ44" s="51" t="s">
        <v>46</v>
      </c>
      <c r="KA44" s="51" t="s">
        <v>2725</v>
      </c>
      <c r="KB44" s="21">
        <v>0.82</v>
      </c>
      <c r="KC44" s="618">
        <f t="shared" si="73"/>
        <v>1.0092307692307696</v>
      </c>
      <c r="KD44" s="75" t="s">
        <v>108</v>
      </c>
      <c r="KE44" s="63"/>
      <c r="KF44" s="17">
        <v>0.76</v>
      </c>
      <c r="KG44" s="24">
        <f t="shared" si="74"/>
        <v>0.93538461538461581</v>
      </c>
      <c r="KH44" s="51" t="s">
        <v>70</v>
      </c>
      <c r="KI44" s="51" t="s">
        <v>2726</v>
      </c>
      <c r="KJ44" s="21">
        <v>0.72</v>
      </c>
      <c r="KK44" s="436">
        <f t="shared" si="75"/>
        <v>0.88615384615384651</v>
      </c>
      <c r="KL44" s="75" t="s">
        <v>46</v>
      </c>
      <c r="KM44" s="75" t="s">
        <v>2727</v>
      </c>
      <c r="KN44" s="17">
        <v>0.88</v>
      </c>
      <c r="KO44" s="27">
        <f t="shared" si="76"/>
        <v>1.0830769230769235</v>
      </c>
      <c r="KP44" s="51" t="s">
        <v>48</v>
      </c>
      <c r="KQ44" s="51" t="s">
        <v>2728</v>
      </c>
      <c r="KR44" s="21">
        <v>0.79</v>
      </c>
      <c r="KS44" s="409">
        <f t="shared" si="77"/>
        <v>0.97230769230769276</v>
      </c>
      <c r="KT44" s="75" t="s">
        <v>70</v>
      </c>
      <c r="KU44" s="75" t="s">
        <v>2729</v>
      </c>
      <c r="KV44" s="82">
        <v>1.07</v>
      </c>
      <c r="KW44" s="531">
        <f t="shared" si="78"/>
        <v>1.3169230769230775</v>
      </c>
      <c r="KX44" s="51" t="s">
        <v>70</v>
      </c>
      <c r="KY44" s="51" t="s">
        <v>2730</v>
      </c>
      <c r="KZ44" s="83">
        <v>0.46</v>
      </c>
      <c r="LA44" s="269">
        <f t="shared" si="79"/>
        <v>0.56615384615384645</v>
      </c>
      <c r="LB44" s="75" t="s">
        <v>48</v>
      </c>
      <c r="LC44" s="75" t="s">
        <v>2731</v>
      </c>
      <c r="LD44" s="82">
        <v>0.81</v>
      </c>
      <c r="LE44" s="231">
        <f t="shared" si="80"/>
        <v>0.99692307692307736</v>
      </c>
      <c r="LF44" s="51" t="s">
        <v>42</v>
      </c>
      <c r="LG44" s="51" t="s">
        <v>2732</v>
      </c>
      <c r="LH44" s="83">
        <v>0.7</v>
      </c>
      <c r="LI44" s="84"/>
      <c r="LJ44" s="85"/>
      <c r="LK44" s="85"/>
      <c r="LL44" s="86">
        <f t="shared" si="81"/>
        <v>0.813291139240506</v>
      </c>
      <c r="LM44" s="86">
        <f t="shared" si="82"/>
        <v>0.92217898832684864</v>
      </c>
      <c r="LN44" s="86">
        <f t="shared" si="90"/>
        <v>1.0110051534159996</v>
      </c>
      <c r="LO44" s="86">
        <f t="shared" si="94"/>
        <v>0.8538562470856188</v>
      </c>
      <c r="LP44" s="86">
        <f t="shared" si="95"/>
        <v>-7.4966195870523111E-2</v>
      </c>
      <c r="LQ44" s="87">
        <f t="shared" si="96"/>
        <v>1</v>
      </c>
      <c r="LR44" s="86">
        <f t="shared" si="97"/>
        <v>0.83699890919220743</v>
      </c>
      <c r="LS44" s="84">
        <v>1</v>
      </c>
      <c r="LT44" s="87">
        <f t="shared" si="100"/>
        <v>1</v>
      </c>
      <c r="LU44" s="87">
        <f t="shared" si="92"/>
        <v>1</v>
      </c>
      <c r="LV44" s="86">
        <f t="shared" si="98"/>
        <v>0.92</v>
      </c>
      <c r="LW44" s="88" t="s">
        <v>3807</v>
      </c>
      <c r="LX44" s="89" t="str">
        <f t="shared" si="87"/>
        <v>—</v>
      </c>
      <c r="LY44" s="89" t="str">
        <f t="shared" si="102"/>
        <v>Queda severa — voltar ao que deu certo</v>
      </c>
      <c r="LZ44" s="5"/>
      <c r="MA44" s="67" t="str">
        <f t="shared" si="99"/>
        <v>NBA</v>
      </c>
      <c r="MB44" s="89" t="s">
        <v>3808</v>
      </c>
    </row>
    <row r="45" spans="1:340" x14ac:dyDescent="0.2">
      <c r="A45" s="16">
        <v>0.77916666666666667</v>
      </c>
      <c r="B45" s="707">
        <f t="shared" si="0"/>
        <v>0.81424999999999981</v>
      </c>
      <c r="C45" s="708">
        <f t="shared" si="1"/>
        <v>-0.1648756524408963</v>
      </c>
      <c r="D45" s="17">
        <v>0.68</v>
      </c>
      <c r="E45" s="514">
        <f t="shared" si="2"/>
        <v>0.8351243475591037</v>
      </c>
      <c r="F45" s="17" t="s">
        <v>1332</v>
      </c>
      <c r="G45" s="20" t="s">
        <v>2733</v>
      </c>
      <c r="H45" s="21">
        <v>0.9</v>
      </c>
      <c r="I45" s="49">
        <f t="shared" si="3"/>
        <v>1.1053116364752842</v>
      </c>
      <c r="J45" s="21" t="s">
        <v>2734</v>
      </c>
      <c r="K45" s="23" t="s">
        <v>2735</v>
      </c>
      <c r="L45" s="17">
        <v>1.1399999999999999</v>
      </c>
      <c r="M45" s="140">
        <f t="shared" si="4"/>
        <v>1.4000614062020267</v>
      </c>
      <c r="N45" s="17" t="s">
        <v>48</v>
      </c>
      <c r="O45" s="20" t="s">
        <v>2736</v>
      </c>
      <c r="P45" s="21">
        <v>1.04</v>
      </c>
      <c r="Q45" s="605">
        <f t="shared" si="5"/>
        <v>1.2772490021492173</v>
      </c>
      <c r="R45" s="21" t="s">
        <v>42</v>
      </c>
      <c r="S45" s="23" t="s">
        <v>2737</v>
      </c>
      <c r="T45" s="17">
        <v>0.54</v>
      </c>
      <c r="U45" s="178">
        <f t="shared" si="6"/>
        <v>0.66318698188517056</v>
      </c>
      <c r="V45" s="17" t="s">
        <v>42</v>
      </c>
      <c r="W45" s="5"/>
      <c r="X45" s="21">
        <v>1.04</v>
      </c>
      <c r="Y45" s="605">
        <f t="shared" si="7"/>
        <v>1.2772490021492173</v>
      </c>
      <c r="Z45" s="21" t="s">
        <v>49</v>
      </c>
      <c r="AA45" s="28"/>
      <c r="AB45" s="17">
        <v>0.74</v>
      </c>
      <c r="AC45" s="492">
        <f t="shared" si="8"/>
        <v>0.90881178999078926</v>
      </c>
      <c r="AD45" s="17" t="s">
        <v>70</v>
      </c>
      <c r="AE45" s="20" t="s">
        <v>2738</v>
      </c>
      <c r="AF45" s="21">
        <v>0.96</v>
      </c>
      <c r="AG45" s="25">
        <f t="shared" si="9"/>
        <v>1.1789990789069698</v>
      </c>
      <c r="AH45" s="21" t="s">
        <v>48</v>
      </c>
      <c r="AI45" s="23" t="s">
        <v>2739</v>
      </c>
      <c r="AJ45" s="17">
        <v>1.07</v>
      </c>
      <c r="AK45" s="709">
        <f t="shared" si="10"/>
        <v>1.3140927233650603</v>
      </c>
      <c r="AL45" s="17" t="s">
        <v>46</v>
      </c>
      <c r="AM45" s="20" t="s">
        <v>2740</v>
      </c>
      <c r="AN45" s="21">
        <v>1.1299999999999999</v>
      </c>
      <c r="AO45" s="179">
        <f t="shared" si="11"/>
        <v>1.3877801657967457</v>
      </c>
      <c r="AP45" s="21" t="s">
        <v>46</v>
      </c>
      <c r="AQ45" s="23" t="s">
        <v>2741</v>
      </c>
      <c r="AR45" s="17">
        <v>0.97</v>
      </c>
      <c r="AS45" s="664">
        <f t="shared" si="12"/>
        <v>1.1912803193122508</v>
      </c>
      <c r="AT45" s="17" t="s">
        <v>42</v>
      </c>
      <c r="AU45" s="20" t="s">
        <v>2680</v>
      </c>
      <c r="AV45" s="21">
        <v>1.3</v>
      </c>
      <c r="AW45" s="168">
        <f t="shared" si="13"/>
        <v>1.5965612526865218</v>
      </c>
      <c r="AX45" s="46" t="s">
        <v>48</v>
      </c>
      <c r="AY45" s="23" t="s">
        <v>2742</v>
      </c>
      <c r="AZ45" s="710">
        <v>1.1299999999999999</v>
      </c>
      <c r="BA45" s="179">
        <f t="shared" si="14"/>
        <v>1.3877801657967457</v>
      </c>
      <c r="BB45" s="17" t="s">
        <v>42</v>
      </c>
      <c r="BC45" s="20" t="s">
        <v>2743</v>
      </c>
      <c r="BD45" s="17">
        <v>1.1000000000000001</v>
      </c>
      <c r="BE45" s="613">
        <f t="shared" si="15"/>
        <v>1.3509364445809031</v>
      </c>
      <c r="BF45" s="17" t="s">
        <v>46</v>
      </c>
      <c r="BG45" s="20" t="s">
        <v>2744</v>
      </c>
      <c r="BH45" s="37">
        <v>1.21</v>
      </c>
      <c r="BI45" s="276">
        <f t="shared" si="16"/>
        <v>1.4860300890389933</v>
      </c>
      <c r="BJ45" s="37" t="s">
        <v>46</v>
      </c>
      <c r="BK45" s="38" t="s">
        <v>2745</v>
      </c>
      <c r="BL45" s="17">
        <v>0.75</v>
      </c>
      <c r="BM45" s="110">
        <f t="shared" si="17"/>
        <v>0.92109303039607027</v>
      </c>
      <c r="BN45" s="17" t="s">
        <v>42</v>
      </c>
      <c r="BO45" s="40"/>
      <c r="BP45" s="17">
        <v>0.64</v>
      </c>
      <c r="BQ45" s="174">
        <f t="shared" si="18"/>
        <v>0.78599938593797991</v>
      </c>
      <c r="BR45" s="17" t="s">
        <v>42</v>
      </c>
      <c r="BS45" s="41"/>
      <c r="BT45" s="37">
        <v>0.73</v>
      </c>
      <c r="BU45" s="108">
        <f t="shared" si="19"/>
        <v>0.89653054958550837</v>
      </c>
      <c r="BV45" s="46" t="s">
        <v>42</v>
      </c>
      <c r="BW45" s="23" t="s">
        <v>2746</v>
      </c>
      <c r="BX45" s="17">
        <v>0.56000000000000005</v>
      </c>
      <c r="BY45" s="130">
        <f t="shared" si="20"/>
        <v>0.68774946269573245</v>
      </c>
      <c r="BZ45" s="17" t="s">
        <v>108</v>
      </c>
      <c r="CA45" s="20" t="s">
        <v>2747</v>
      </c>
      <c r="CB45" s="37">
        <v>0.76</v>
      </c>
      <c r="CC45" s="24">
        <f t="shared" si="21"/>
        <v>0.93337427080135116</v>
      </c>
      <c r="CD45" s="46" t="s">
        <v>48</v>
      </c>
      <c r="CE45" s="28"/>
      <c r="CF45" s="17">
        <v>0.63</v>
      </c>
      <c r="CG45" s="217">
        <f t="shared" si="22"/>
        <v>0.77371814553269902</v>
      </c>
      <c r="CH45" s="17" t="s">
        <v>42</v>
      </c>
      <c r="CI45" s="20" t="s">
        <v>2748</v>
      </c>
      <c r="CJ45" s="37">
        <v>0.27</v>
      </c>
      <c r="CK45" s="656">
        <f t="shared" si="23"/>
        <v>0.33159349094258528</v>
      </c>
      <c r="CL45" s="46" t="s">
        <v>42</v>
      </c>
      <c r="CM45" s="23" t="s">
        <v>2749</v>
      </c>
      <c r="CN45" s="17">
        <v>0.93</v>
      </c>
      <c r="CO45" s="381">
        <f t="shared" si="24"/>
        <v>1.1421553576911272</v>
      </c>
      <c r="CP45" s="17" t="s">
        <v>356</v>
      </c>
      <c r="CQ45" s="20" t="s">
        <v>2750</v>
      </c>
      <c r="CR45" s="37">
        <v>0.69</v>
      </c>
      <c r="CS45" s="288">
        <f t="shared" si="25"/>
        <v>0.84740558796438459</v>
      </c>
      <c r="CT45" s="21" t="s">
        <v>48</v>
      </c>
      <c r="CU45" s="23" t="s">
        <v>2751</v>
      </c>
      <c r="CV45" s="17">
        <v>0.96</v>
      </c>
      <c r="CW45" s="25">
        <f t="shared" si="26"/>
        <v>1.1789990789069698</v>
      </c>
      <c r="CX45" s="17" t="s">
        <v>46</v>
      </c>
      <c r="CY45" s="20" t="s">
        <v>2752</v>
      </c>
      <c r="CZ45" s="37">
        <v>0.63</v>
      </c>
      <c r="DA45" s="217">
        <f t="shared" si="27"/>
        <v>0.77371814553269902</v>
      </c>
      <c r="DB45" s="21" t="s">
        <v>70</v>
      </c>
      <c r="DC45" s="23" t="s">
        <v>2753</v>
      </c>
      <c r="DD45" s="17">
        <v>1.01</v>
      </c>
      <c r="DE45" s="243">
        <f t="shared" si="28"/>
        <v>1.2404052809333745</v>
      </c>
      <c r="DF45" s="17" t="s">
        <v>66</v>
      </c>
      <c r="DG45" s="20" t="s">
        <v>2754</v>
      </c>
      <c r="DH45" s="37">
        <v>0.98</v>
      </c>
      <c r="DI45" s="330">
        <f t="shared" si="29"/>
        <v>1.2035615597175318</v>
      </c>
      <c r="DJ45" s="21" t="s">
        <v>70</v>
      </c>
      <c r="DK45" s="28"/>
      <c r="DL45" s="17">
        <v>0.13</v>
      </c>
      <c r="DM45" s="633">
        <f t="shared" si="30"/>
        <v>0.15965612526865217</v>
      </c>
      <c r="DN45" s="17" t="s">
        <v>42</v>
      </c>
      <c r="DO45" s="51" t="s">
        <v>2755</v>
      </c>
      <c r="DP45" s="21">
        <v>1.02</v>
      </c>
      <c r="DQ45" s="310">
        <f t="shared" si="31"/>
        <v>1.2526865213386555</v>
      </c>
      <c r="DR45" s="53" t="s">
        <v>42</v>
      </c>
      <c r="DS45" s="54" t="s">
        <v>2756</v>
      </c>
      <c r="DT45" s="53">
        <v>0.69</v>
      </c>
      <c r="DU45" s="288">
        <f t="shared" si="32"/>
        <v>0.84740558796438459</v>
      </c>
      <c r="DV45" s="56" t="s">
        <v>48</v>
      </c>
      <c r="DW45" s="57" t="s">
        <v>2696</v>
      </c>
      <c r="DX45" s="53">
        <v>0.71</v>
      </c>
      <c r="DY45" s="115">
        <f t="shared" si="33"/>
        <v>0.87196806877494648</v>
      </c>
      <c r="DZ45" s="53" t="s">
        <v>108</v>
      </c>
      <c r="EA45" s="64"/>
      <c r="EB45" s="56">
        <v>0.5</v>
      </c>
      <c r="EC45" s="157">
        <f t="shared" si="34"/>
        <v>0.61406202026404677</v>
      </c>
      <c r="ED45" s="56" t="s">
        <v>66</v>
      </c>
      <c r="EE45" s="711"/>
      <c r="EF45" s="53">
        <v>0.44</v>
      </c>
      <c r="EG45" s="189">
        <f t="shared" si="35"/>
        <v>0.5403745778323612</v>
      </c>
      <c r="EH45" s="53" t="s">
        <v>46</v>
      </c>
      <c r="EI45" s="57" t="s">
        <v>2757</v>
      </c>
      <c r="EJ45" s="53">
        <v>0.84</v>
      </c>
      <c r="EK45" s="94">
        <f t="shared" si="36"/>
        <v>1.0316241940435986</v>
      </c>
      <c r="EL45" s="56" t="s">
        <v>108</v>
      </c>
      <c r="EM45" s="614"/>
      <c r="EN45" s="53">
        <v>0.91</v>
      </c>
      <c r="EO45" s="213">
        <f t="shared" si="37"/>
        <v>1.1175928768805652</v>
      </c>
      <c r="EP45" s="53" t="s">
        <v>48</v>
      </c>
      <c r="EQ45" s="23" t="s">
        <v>2758</v>
      </c>
      <c r="ER45" s="53">
        <v>0.66</v>
      </c>
      <c r="ES45" s="159">
        <f t="shared" si="38"/>
        <v>0.8105618667485418</v>
      </c>
      <c r="ET45" s="53" t="s">
        <v>108</v>
      </c>
      <c r="EU45" s="41"/>
      <c r="EV45" s="53">
        <v>1.0900000000000001</v>
      </c>
      <c r="EW45" s="292">
        <f t="shared" si="39"/>
        <v>1.3386552041756221</v>
      </c>
      <c r="EX45" s="21" t="s">
        <v>42</v>
      </c>
      <c r="EY45" s="57" t="s">
        <v>2759</v>
      </c>
      <c r="EZ45" s="53">
        <v>0.64</v>
      </c>
      <c r="FA45" s="174">
        <f t="shared" si="40"/>
        <v>0.78599938593797991</v>
      </c>
      <c r="FB45" s="40"/>
      <c r="FC45" s="40"/>
      <c r="FD45" s="53">
        <v>0.86</v>
      </c>
      <c r="FE45" s="71">
        <f t="shared" si="41"/>
        <v>1.0561866748541604</v>
      </c>
      <c r="FF45" s="21" t="s">
        <v>108</v>
      </c>
      <c r="FG45" s="64"/>
      <c r="FH45" s="17">
        <v>1.04</v>
      </c>
      <c r="FI45" s="605">
        <f t="shared" si="42"/>
        <v>1.2772490021492173</v>
      </c>
      <c r="FJ45" s="17" t="s">
        <v>42</v>
      </c>
      <c r="FK45" s="51" t="s">
        <v>2760</v>
      </c>
      <c r="FL45" s="17">
        <v>0.87</v>
      </c>
      <c r="FM45" s="404">
        <f t="shared" si="43"/>
        <v>1.0684679152594414</v>
      </c>
      <c r="FN45" s="21" t="s">
        <v>42</v>
      </c>
      <c r="FO45" s="51" t="s">
        <v>2761</v>
      </c>
      <c r="FP45" s="17">
        <v>0.6</v>
      </c>
      <c r="FQ45" s="92">
        <f t="shared" si="44"/>
        <v>0.73687442431685612</v>
      </c>
      <c r="FR45" s="17" t="s">
        <v>46</v>
      </c>
      <c r="FS45" s="51" t="s">
        <v>2702</v>
      </c>
      <c r="FT45" s="17">
        <v>0.89</v>
      </c>
      <c r="FU45" s="270">
        <f t="shared" si="45"/>
        <v>1.0930303960700034</v>
      </c>
      <c r="FV45" s="17" t="s">
        <v>42</v>
      </c>
      <c r="FW45" s="51" t="s">
        <v>2762</v>
      </c>
      <c r="FX45" s="17">
        <v>1.46</v>
      </c>
      <c r="FY45" s="167">
        <f t="shared" si="46"/>
        <v>1.7930610991710167</v>
      </c>
      <c r="FZ45" s="17" t="s">
        <v>108</v>
      </c>
      <c r="GA45" s="40"/>
      <c r="GB45" s="53">
        <v>0.65</v>
      </c>
      <c r="GC45" s="491">
        <f t="shared" si="47"/>
        <v>0.79828062634326091</v>
      </c>
      <c r="GD45" s="21" t="s">
        <v>42</v>
      </c>
      <c r="GE45" s="63"/>
      <c r="GF45" s="17">
        <v>0.91</v>
      </c>
      <c r="GG45" s="213">
        <f t="shared" si="48"/>
        <v>1.1175928768805652</v>
      </c>
      <c r="GH45" s="17" t="s">
        <v>48</v>
      </c>
      <c r="GI45" s="51" t="s">
        <v>2763</v>
      </c>
      <c r="GJ45" s="17">
        <v>1.1399999999999999</v>
      </c>
      <c r="GK45" s="140">
        <f t="shared" si="49"/>
        <v>1.4000614062020267</v>
      </c>
      <c r="GL45" s="82" t="s">
        <v>48</v>
      </c>
      <c r="GM45" s="67" t="s">
        <v>2706</v>
      </c>
      <c r="GN45" s="17">
        <v>0.57999999999999996</v>
      </c>
      <c r="GO45" s="129">
        <f t="shared" si="50"/>
        <v>0.71231194350629423</v>
      </c>
      <c r="GP45" s="82" t="s">
        <v>48</v>
      </c>
      <c r="GQ45" s="51" t="s">
        <v>2764</v>
      </c>
      <c r="GR45" s="17">
        <v>0.78</v>
      </c>
      <c r="GS45" s="446">
        <f t="shared" si="51"/>
        <v>0.95793675161191305</v>
      </c>
      <c r="GT45" s="17" t="s">
        <v>42</v>
      </c>
      <c r="GU45" s="51" t="s">
        <v>2765</v>
      </c>
      <c r="GV45" s="17">
        <v>0.94</v>
      </c>
      <c r="GW45" s="402">
        <f t="shared" si="52"/>
        <v>1.154436598096408</v>
      </c>
      <c r="GX45" s="17" t="s">
        <v>42</v>
      </c>
      <c r="GY45" s="67" t="s">
        <v>2766</v>
      </c>
      <c r="GZ45" s="17">
        <v>0.73</v>
      </c>
      <c r="HA45" s="108">
        <f t="shared" si="53"/>
        <v>0.89653054958550837</v>
      </c>
      <c r="HB45" s="17" t="s">
        <v>48</v>
      </c>
      <c r="HC45" s="20" t="s">
        <v>2710</v>
      </c>
      <c r="HD45" s="17">
        <v>0.98</v>
      </c>
      <c r="HE45" s="330">
        <f t="shared" si="54"/>
        <v>1.2035615597175318</v>
      </c>
      <c r="HF45" s="17" t="s">
        <v>46</v>
      </c>
      <c r="HG45" s="20" t="s">
        <v>2767</v>
      </c>
      <c r="HH45" s="17">
        <v>0.66</v>
      </c>
      <c r="HI45" s="159">
        <f t="shared" si="55"/>
        <v>0.8105618667485418</v>
      </c>
      <c r="HJ45" s="17" t="s">
        <v>108</v>
      </c>
      <c r="HK45" s="41"/>
      <c r="HL45" s="17">
        <v>0.87</v>
      </c>
      <c r="HM45" s="404">
        <f t="shared" si="56"/>
        <v>1.0684679152594414</v>
      </c>
      <c r="HN45" s="17" t="s">
        <v>108</v>
      </c>
      <c r="HO45" s="5"/>
      <c r="HP45" s="17">
        <v>0.77</v>
      </c>
      <c r="HQ45" s="530">
        <f t="shared" si="57"/>
        <v>0.94565551120663216</v>
      </c>
      <c r="HR45" s="17" t="s">
        <v>46</v>
      </c>
      <c r="HS45" s="73" t="s">
        <v>2768</v>
      </c>
      <c r="HT45" s="17">
        <v>1.08</v>
      </c>
      <c r="HU45" s="615">
        <f t="shared" si="58"/>
        <v>1.3263739637703411</v>
      </c>
      <c r="HV45" s="17" t="s">
        <v>108</v>
      </c>
      <c r="HW45" s="40"/>
      <c r="HX45" s="17">
        <v>0.82</v>
      </c>
      <c r="HY45" s="606">
        <f t="shared" si="59"/>
        <v>1.0070617132330366</v>
      </c>
      <c r="HZ45" s="21" t="s">
        <v>66</v>
      </c>
      <c r="IA45" s="75" t="s">
        <v>2769</v>
      </c>
      <c r="IB45" s="17">
        <v>0.82</v>
      </c>
      <c r="IC45" s="606">
        <f t="shared" si="60"/>
        <v>1.0070617132330366</v>
      </c>
      <c r="ID45" s="17" t="s">
        <v>108</v>
      </c>
      <c r="IE45" s="51" t="s">
        <v>2770</v>
      </c>
      <c r="IF45" s="17">
        <v>0.4</v>
      </c>
      <c r="IG45" s="304">
        <f t="shared" si="61"/>
        <v>0.49124961621123747</v>
      </c>
      <c r="IH45" s="17" t="s">
        <v>108</v>
      </c>
      <c r="II45" s="51" t="s">
        <v>2771</v>
      </c>
      <c r="IJ45" s="204">
        <v>0.75</v>
      </c>
      <c r="IK45" s="110">
        <f t="shared" si="62"/>
        <v>0.92109303039607027</v>
      </c>
      <c r="IL45" s="17" t="s">
        <v>42</v>
      </c>
      <c r="IM45" s="51" t="s">
        <v>2716</v>
      </c>
      <c r="IN45" s="17">
        <v>0.93</v>
      </c>
      <c r="IO45" s="381">
        <f t="shared" si="63"/>
        <v>1.1421553576911272</v>
      </c>
      <c r="IP45" s="17" t="s">
        <v>108</v>
      </c>
      <c r="IQ45" s="274"/>
      <c r="IR45" s="17">
        <v>0.99</v>
      </c>
      <c r="IS45" s="361">
        <f t="shared" si="64"/>
        <v>1.2158428001228128</v>
      </c>
      <c r="IT45" s="17" t="s">
        <v>108</v>
      </c>
      <c r="IU45" s="63"/>
      <c r="IV45" s="17">
        <v>0.37</v>
      </c>
      <c r="IW45" s="290">
        <f t="shared" si="65"/>
        <v>0.45440589499539463</v>
      </c>
      <c r="IX45" s="17" t="s">
        <v>1697</v>
      </c>
      <c r="IY45" s="51" t="s">
        <v>2772</v>
      </c>
      <c r="IZ45" s="17">
        <v>0.94</v>
      </c>
      <c r="JA45" s="402">
        <f t="shared" si="66"/>
        <v>1.154436598096408</v>
      </c>
      <c r="JB45" s="17" t="s">
        <v>46</v>
      </c>
      <c r="JC45" s="51" t="s">
        <v>2773</v>
      </c>
      <c r="JD45" s="17">
        <v>0.72</v>
      </c>
      <c r="JE45" s="436">
        <f t="shared" si="67"/>
        <v>0.88424930918022737</v>
      </c>
      <c r="JF45" s="17" t="s">
        <v>42</v>
      </c>
      <c r="JG45" s="51" t="s">
        <v>2774</v>
      </c>
      <c r="JH45" s="17">
        <v>0.85</v>
      </c>
      <c r="JI45" s="647">
        <f t="shared" si="68"/>
        <v>1.0439054344488796</v>
      </c>
      <c r="JJ45" s="17" t="s">
        <v>42</v>
      </c>
      <c r="JK45" s="51" t="s">
        <v>2775</v>
      </c>
      <c r="JL45" s="21">
        <v>0.53</v>
      </c>
      <c r="JM45" s="240">
        <f t="shared" si="69"/>
        <v>0.65090574147988967</v>
      </c>
      <c r="JN45" s="21" t="s">
        <v>179</v>
      </c>
      <c r="JO45" s="75" t="s">
        <v>2776</v>
      </c>
      <c r="JP45" s="21">
        <v>0.6</v>
      </c>
      <c r="JQ45" s="92">
        <f t="shared" si="70"/>
        <v>0.73687442431685612</v>
      </c>
      <c r="JR45" s="21" t="s">
        <v>48</v>
      </c>
      <c r="JS45" s="51" t="s">
        <v>2777</v>
      </c>
      <c r="JT45" s="21">
        <v>0.73</v>
      </c>
      <c r="JU45" s="108">
        <f t="shared" si="71"/>
        <v>0.89653054958550837</v>
      </c>
      <c r="JV45" s="21" t="s">
        <v>42</v>
      </c>
      <c r="JW45" s="75" t="s">
        <v>2778</v>
      </c>
      <c r="JX45" s="17">
        <v>0.49</v>
      </c>
      <c r="JY45" s="39">
        <f t="shared" si="72"/>
        <v>0.60178077985876588</v>
      </c>
      <c r="JZ45" s="51" t="s">
        <v>46</v>
      </c>
      <c r="KA45" s="51" t="s">
        <v>2779</v>
      </c>
      <c r="KB45" s="21">
        <v>0.77</v>
      </c>
      <c r="KC45" s="530">
        <f t="shared" si="73"/>
        <v>0.94565551120663216</v>
      </c>
      <c r="KD45" s="75" t="s">
        <v>108</v>
      </c>
      <c r="KE45" s="63"/>
      <c r="KF45" s="17">
        <v>0.81</v>
      </c>
      <c r="KG45" s="251">
        <f t="shared" si="74"/>
        <v>0.99478047282775595</v>
      </c>
      <c r="KH45" s="51" t="s">
        <v>48</v>
      </c>
      <c r="KI45" s="51" t="s">
        <v>2780</v>
      </c>
      <c r="KJ45" s="21">
        <v>0.72</v>
      </c>
      <c r="KK45" s="436">
        <f t="shared" si="75"/>
        <v>0.88424930918022737</v>
      </c>
      <c r="KL45" s="75" t="s">
        <v>46</v>
      </c>
      <c r="KM45" s="75" t="s">
        <v>2781</v>
      </c>
      <c r="KN45" s="17">
        <v>1</v>
      </c>
      <c r="KO45" s="434">
        <f t="shared" si="76"/>
        <v>1.2281240405280935</v>
      </c>
      <c r="KP45" s="51" t="s">
        <v>48</v>
      </c>
      <c r="KQ45" s="51" t="s">
        <v>2782</v>
      </c>
      <c r="KR45" s="21">
        <v>0.79</v>
      </c>
      <c r="KS45" s="409">
        <f t="shared" si="77"/>
        <v>0.97021799201719405</v>
      </c>
      <c r="KT45" s="75" t="s">
        <v>70</v>
      </c>
      <c r="KU45" s="75" t="s">
        <v>2783</v>
      </c>
      <c r="KV45" s="82">
        <v>1.07</v>
      </c>
      <c r="KW45" s="709">
        <f t="shared" si="78"/>
        <v>1.3140927233650603</v>
      </c>
      <c r="KX45" s="51" t="s">
        <v>48</v>
      </c>
      <c r="KY45" s="51" t="s">
        <v>2784</v>
      </c>
      <c r="KZ45" s="83">
        <v>0.46</v>
      </c>
      <c r="LA45" s="269">
        <f t="shared" si="79"/>
        <v>0.5649370586429231</v>
      </c>
      <c r="LB45" s="75" t="s">
        <v>48</v>
      </c>
      <c r="LC45" s="75" t="s">
        <v>2785</v>
      </c>
      <c r="LD45" s="82">
        <v>0.88</v>
      </c>
      <c r="LE45" s="27">
        <f t="shared" si="80"/>
        <v>1.0807491556647224</v>
      </c>
      <c r="LF45" s="51" t="s">
        <v>42</v>
      </c>
      <c r="LG45" s="51" t="s">
        <v>2786</v>
      </c>
      <c r="LH45" s="83">
        <v>0.77</v>
      </c>
      <c r="LI45" s="84"/>
      <c r="LJ45" s="85"/>
      <c r="LK45" s="85"/>
      <c r="LL45" s="86">
        <f t="shared" si="81"/>
        <v>0.81594936708860755</v>
      </c>
      <c r="LM45" s="86">
        <f t="shared" si="82"/>
        <v>0.83338504498914068</v>
      </c>
      <c r="LN45" s="86">
        <f t="shared" si="90"/>
        <v>1.0088902447234007</v>
      </c>
      <c r="LO45" s="86">
        <f t="shared" si="94"/>
        <v>0.88426260379440325</v>
      </c>
      <c r="LP45" s="86">
        <f t="shared" si="95"/>
        <v>3.0933500962227578E-2</v>
      </c>
      <c r="LQ45" s="87">
        <f t="shared" si="96"/>
        <v>1</v>
      </c>
      <c r="LR45" s="86">
        <f t="shared" si="97"/>
        <v>0.89683505002373742</v>
      </c>
      <c r="LS45" s="84">
        <v>1</v>
      </c>
      <c r="LT45" s="87">
        <f t="shared" si="100"/>
        <v>0</v>
      </c>
      <c r="LU45" s="87">
        <f t="shared" si="92"/>
        <v>2</v>
      </c>
      <c r="LV45" s="86">
        <f t="shared" si="98"/>
        <v>0.96</v>
      </c>
      <c r="LW45" s="581" t="s">
        <v>3815</v>
      </c>
      <c r="LX45" s="89" t="str">
        <f t="shared" si="87"/>
        <v>—</v>
      </c>
      <c r="LY45" s="89" t="str">
        <f t="shared" si="102"/>
        <v>Queda moderada — repetir melhor 1aM</v>
      </c>
      <c r="LZ45" s="5"/>
      <c r="MA45" s="67" t="str">
        <f t="shared" si="99"/>
        <v>NBA</v>
      </c>
      <c r="MB45" s="89" t="s">
        <v>3808</v>
      </c>
    </row>
    <row r="46" spans="1:340" x14ac:dyDescent="0.2">
      <c r="A46" s="16">
        <v>0.77986111111111112</v>
      </c>
      <c r="B46" s="712">
        <f t="shared" si="0"/>
        <v>0.80625000000000002</v>
      </c>
      <c r="C46" s="713">
        <f t="shared" si="1"/>
        <v>-0.14418604651162803</v>
      </c>
      <c r="D46" s="17">
        <v>0.69</v>
      </c>
      <c r="E46" s="272">
        <f t="shared" si="2"/>
        <v>0.85581395348837197</v>
      </c>
      <c r="F46" s="17" t="s">
        <v>2787</v>
      </c>
      <c r="G46" s="41"/>
      <c r="H46" s="21">
        <v>0.9</v>
      </c>
      <c r="I46" s="146">
        <f t="shared" si="3"/>
        <v>1.1162790697674418</v>
      </c>
      <c r="J46" s="21" t="s">
        <v>2734</v>
      </c>
      <c r="K46" s="23" t="s">
        <v>2735</v>
      </c>
      <c r="L46" s="17">
        <v>1.0900000000000001</v>
      </c>
      <c r="M46" s="648">
        <f t="shared" si="4"/>
        <v>1.3519379844961241</v>
      </c>
      <c r="N46" s="17" t="s">
        <v>48</v>
      </c>
      <c r="O46" s="20" t="s">
        <v>2788</v>
      </c>
      <c r="P46" s="21">
        <v>0.97</v>
      </c>
      <c r="Q46" s="81">
        <f t="shared" si="5"/>
        <v>1.2031007751937983</v>
      </c>
      <c r="R46" s="21" t="s">
        <v>42</v>
      </c>
      <c r="S46" s="23" t="s">
        <v>2789</v>
      </c>
      <c r="T46" s="17">
        <v>0.54</v>
      </c>
      <c r="U46" s="411">
        <f t="shared" si="6"/>
        <v>0.66976744186046511</v>
      </c>
      <c r="V46" s="17" t="s">
        <v>42</v>
      </c>
      <c r="W46" s="5"/>
      <c r="X46" s="21">
        <v>1.04</v>
      </c>
      <c r="Y46" s="124">
        <f t="shared" si="7"/>
        <v>1.289922480620155</v>
      </c>
      <c r="Z46" s="21" t="s">
        <v>49</v>
      </c>
      <c r="AA46" s="28"/>
      <c r="AB46" s="17">
        <v>0.74</v>
      </c>
      <c r="AC46" s="110">
        <f t="shared" si="8"/>
        <v>0.91782945736434107</v>
      </c>
      <c r="AD46" s="17" t="s">
        <v>70</v>
      </c>
      <c r="AE46" s="20" t="s">
        <v>2738</v>
      </c>
      <c r="AF46" s="21">
        <v>0.96</v>
      </c>
      <c r="AG46" s="254">
        <f t="shared" si="9"/>
        <v>1.1906976744186046</v>
      </c>
      <c r="AH46" s="21" t="s">
        <v>48</v>
      </c>
      <c r="AI46" s="23" t="s">
        <v>2790</v>
      </c>
      <c r="AJ46" s="17">
        <v>1.07</v>
      </c>
      <c r="AK46" s="182">
        <f t="shared" si="10"/>
        <v>1.3271317829457365</v>
      </c>
      <c r="AL46" s="17" t="s">
        <v>66</v>
      </c>
      <c r="AM46" s="41"/>
      <c r="AN46" s="21">
        <v>1.19</v>
      </c>
      <c r="AO46" s="607">
        <f t="shared" si="11"/>
        <v>1.4759689922480619</v>
      </c>
      <c r="AP46" s="21" t="s">
        <v>46</v>
      </c>
      <c r="AQ46" s="23" t="s">
        <v>2791</v>
      </c>
      <c r="AR46" s="17">
        <v>0.9</v>
      </c>
      <c r="AS46" s="146">
        <f t="shared" si="12"/>
        <v>1.1162790697674418</v>
      </c>
      <c r="AT46" s="17" t="s">
        <v>42</v>
      </c>
      <c r="AU46" s="20" t="s">
        <v>2792</v>
      </c>
      <c r="AV46" s="21">
        <v>1.3</v>
      </c>
      <c r="AW46" s="342">
        <f t="shared" si="13"/>
        <v>1.6124031007751938</v>
      </c>
      <c r="AX46" s="46" t="s">
        <v>48</v>
      </c>
      <c r="AY46" s="28"/>
      <c r="AZ46" s="17">
        <v>1.1299999999999999</v>
      </c>
      <c r="BA46" s="714">
        <f t="shared" si="14"/>
        <v>1.4015503875968991</v>
      </c>
      <c r="BB46" s="17" t="s">
        <v>42</v>
      </c>
      <c r="BC46" s="20" t="s">
        <v>2793</v>
      </c>
      <c r="BD46" s="17">
        <v>1.03</v>
      </c>
      <c r="BE46" s="420">
        <f t="shared" si="15"/>
        <v>1.2775193798449613</v>
      </c>
      <c r="BF46" s="17" t="s">
        <v>46</v>
      </c>
      <c r="BG46" s="20" t="s">
        <v>2794</v>
      </c>
      <c r="BH46" s="37">
        <v>1.21</v>
      </c>
      <c r="BI46" s="690">
        <f t="shared" si="16"/>
        <v>1.5007751937984495</v>
      </c>
      <c r="BJ46" s="37" t="s">
        <v>1312</v>
      </c>
      <c r="BK46" s="38" t="s">
        <v>2795</v>
      </c>
      <c r="BL46" s="17">
        <v>0.75</v>
      </c>
      <c r="BM46" s="191">
        <f t="shared" si="17"/>
        <v>0.93023255813953487</v>
      </c>
      <c r="BN46" s="17" t="s">
        <v>42</v>
      </c>
      <c r="BO46" s="40"/>
      <c r="BP46" s="17">
        <v>0.64</v>
      </c>
      <c r="BQ46" s="31">
        <f t="shared" si="18"/>
        <v>0.79379844961240309</v>
      </c>
      <c r="BR46" s="17" t="s">
        <v>42</v>
      </c>
      <c r="BS46" s="41"/>
      <c r="BT46" s="37">
        <v>0.73</v>
      </c>
      <c r="BU46" s="300">
        <f t="shared" si="19"/>
        <v>0.90542635658914727</v>
      </c>
      <c r="BV46" s="46" t="s">
        <v>42</v>
      </c>
      <c r="BW46" s="23" t="s">
        <v>2796</v>
      </c>
      <c r="BX46" s="17">
        <v>0.62</v>
      </c>
      <c r="BY46" s="19">
        <f t="shared" si="20"/>
        <v>0.76899224806201549</v>
      </c>
      <c r="BZ46" s="17" t="s">
        <v>108</v>
      </c>
      <c r="CA46" s="20" t="s">
        <v>2797</v>
      </c>
      <c r="CB46" s="37">
        <v>0.76</v>
      </c>
      <c r="CC46" s="121">
        <f t="shared" si="21"/>
        <v>0.94263565891472867</v>
      </c>
      <c r="CD46" s="46" t="s">
        <v>48</v>
      </c>
      <c r="CE46" s="28"/>
      <c r="CF46" s="17">
        <v>0.63</v>
      </c>
      <c r="CG46" s="109">
        <f t="shared" si="22"/>
        <v>0.78139534883720929</v>
      </c>
      <c r="CH46" s="17" t="s">
        <v>42</v>
      </c>
      <c r="CI46" s="20" t="s">
        <v>2798</v>
      </c>
      <c r="CJ46" s="37">
        <v>0.14000000000000001</v>
      </c>
      <c r="CK46" s="544">
        <f t="shared" si="23"/>
        <v>0.1736434108527132</v>
      </c>
      <c r="CL46" s="46" t="s">
        <v>46</v>
      </c>
      <c r="CM46" s="23" t="s">
        <v>2799</v>
      </c>
      <c r="CN46" s="17">
        <v>0.93</v>
      </c>
      <c r="CO46" s="402">
        <f t="shared" si="24"/>
        <v>1.1534883720930234</v>
      </c>
      <c r="CP46" s="17" t="s">
        <v>66</v>
      </c>
      <c r="CQ46" s="20" t="s">
        <v>2800</v>
      </c>
      <c r="CR46" s="37">
        <v>0.69</v>
      </c>
      <c r="CS46" s="272">
        <f t="shared" si="25"/>
        <v>0.85581395348837197</v>
      </c>
      <c r="CT46" s="21" t="s">
        <v>48</v>
      </c>
      <c r="CU46" s="23" t="s">
        <v>2801</v>
      </c>
      <c r="CV46" s="17">
        <v>0.96</v>
      </c>
      <c r="CW46" s="254">
        <f t="shared" si="26"/>
        <v>1.1906976744186046</v>
      </c>
      <c r="CX46" s="17" t="s">
        <v>46</v>
      </c>
      <c r="CY46" s="20" t="s">
        <v>2802</v>
      </c>
      <c r="CZ46" s="37">
        <v>0.64</v>
      </c>
      <c r="DA46" s="31">
        <f t="shared" si="27"/>
        <v>0.79379844961240309</v>
      </c>
      <c r="DB46" s="21" t="s">
        <v>46</v>
      </c>
      <c r="DC46" s="23" t="s">
        <v>2803</v>
      </c>
      <c r="DD46" s="17">
        <v>0.94</v>
      </c>
      <c r="DE46" s="448">
        <f t="shared" si="28"/>
        <v>1.165891472868217</v>
      </c>
      <c r="DF46" s="17" t="s">
        <v>66</v>
      </c>
      <c r="DG46" s="20" t="s">
        <v>2804</v>
      </c>
      <c r="DH46" s="37">
        <v>0.98</v>
      </c>
      <c r="DI46" s="361">
        <f t="shared" si="29"/>
        <v>1.2155038759689922</v>
      </c>
      <c r="DJ46" s="21" t="s">
        <v>48</v>
      </c>
      <c r="DK46" s="28"/>
      <c r="DL46" s="17">
        <v>0.25</v>
      </c>
      <c r="DM46" s="438">
        <f t="shared" si="30"/>
        <v>0.31007751937984496</v>
      </c>
      <c r="DN46" s="17" t="s">
        <v>42</v>
      </c>
      <c r="DO46" s="51" t="s">
        <v>2755</v>
      </c>
      <c r="DP46" s="21">
        <v>1.02</v>
      </c>
      <c r="DQ46" s="95">
        <f t="shared" si="31"/>
        <v>1.2651162790697674</v>
      </c>
      <c r="DR46" s="53" t="s">
        <v>42</v>
      </c>
      <c r="DS46" s="54" t="s">
        <v>2805</v>
      </c>
      <c r="DT46" s="53">
        <v>0.69</v>
      </c>
      <c r="DU46" s="272">
        <f t="shared" si="32"/>
        <v>0.85581395348837197</v>
      </c>
      <c r="DV46" s="56" t="s">
        <v>108</v>
      </c>
      <c r="DW46" s="57" t="s">
        <v>2806</v>
      </c>
      <c r="DX46" s="53">
        <v>0.64</v>
      </c>
      <c r="DY46" s="31">
        <f t="shared" si="33"/>
        <v>0.79379844961240309</v>
      </c>
      <c r="DZ46" s="53" t="s">
        <v>108</v>
      </c>
      <c r="EA46" s="64"/>
      <c r="EB46" s="56">
        <v>0.5</v>
      </c>
      <c r="EC46" s="125">
        <f t="shared" si="34"/>
        <v>0.62015503875968991</v>
      </c>
      <c r="ED46" s="56" t="s">
        <v>108</v>
      </c>
      <c r="EE46" s="711"/>
      <c r="EF46" s="53">
        <v>0.44</v>
      </c>
      <c r="EG46" s="166">
        <f t="shared" si="35"/>
        <v>0.54573643410852712</v>
      </c>
      <c r="EH46" s="53" t="s">
        <v>46</v>
      </c>
      <c r="EI46" s="57" t="s">
        <v>2807</v>
      </c>
      <c r="EJ46" s="53">
        <v>0.78</v>
      </c>
      <c r="EK46" s="433">
        <f t="shared" si="36"/>
        <v>0.96744186046511627</v>
      </c>
      <c r="EL46" s="56" t="s">
        <v>108</v>
      </c>
      <c r="EM46" s="614"/>
      <c r="EN46" s="53">
        <v>0.91</v>
      </c>
      <c r="EO46" s="33">
        <f t="shared" si="37"/>
        <v>1.1286821705426358</v>
      </c>
      <c r="EP46" s="53" t="s">
        <v>66</v>
      </c>
      <c r="EQ46" s="23" t="s">
        <v>2808</v>
      </c>
      <c r="ER46" s="53">
        <v>0.67</v>
      </c>
      <c r="ES46" s="137">
        <f t="shared" si="38"/>
        <v>0.83100775193798448</v>
      </c>
      <c r="ET46" s="53" t="s">
        <v>66</v>
      </c>
      <c r="EU46" s="20" t="s">
        <v>2809</v>
      </c>
      <c r="EV46" s="53">
        <v>1.03</v>
      </c>
      <c r="EW46" s="420">
        <f t="shared" si="39"/>
        <v>1.2775193798449613</v>
      </c>
      <c r="EX46" s="21" t="s">
        <v>42</v>
      </c>
      <c r="EY46" s="57" t="s">
        <v>2810</v>
      </c>
      <c r="EZ46" s="53">
        <v>0.64</v>
      </c>
      <c r="FA46" s="31">
        <f t="shared" si="40"/>
        <v>0.79379844961240309</v>
      </c>
      <c r="FB46" s="40"/>
      <c r="FC46" s="40"/>
      <c r="FD46" s="53">
        <v>0.79</v>
      </c>
      <c r="FE46" s="389">
        <f t="shared" si="41"/>
        <v>0.97984496124031006</v>
      </c>
      <c r="FF46" s="21" t="s">
        <v>108</v>
      </c>
      <c r="FG46" s="64"/>
      <c r="FH46" s="17">
        <v>1.1299999999999999</v>
      </c>
      <c r="FI46" s="714">
        <f t="shared" si="42"/>
        <v>1.4015503875968991</v>
      </c>
      <c r="FJ46" s="17" t="s">
        <v>42</v>
      </c>
      <c r="FK46" s="51" t="s">
        <v>2811</v>
      </c>
      <c r="FL46" s="17">
        <v>0.87</v>
      </c>
      <c r="FM46" s="176">
        <f t="shared" si="43"/>
        <v>1.0790697674418603</v>
      </c>
      <c r="FN46" s="21" t="s">
        <v>42</v>
      </c>
      <c r="FO46" s="51" t="s">
        <v>2812</v>
      </c>
      <c r="FP46" s="17">
        <v>0.55000000000000004</v>
      </c>
      <c r="FQ46" s="312">
        <f t="shared" si="44"/>
        <v>0.68217054263565891</v>
      </c>
      <c r="FR46" s="17" t="s">
        <v>46</v>
      </c>
      <c r="FS46" s="51" t="s">
        <v>2813</v>
      </c>
      <c r="FT46" s="17">
        <v>0.89</v>
      </c>
      <c r="FU46" s="49">
        <f t="shared" si="45"/>
        <v>1.1038759689922482</v>
      </c>
      <c r="FV46" s="17" t="s">
        <v>42</v>
      </c>
      <c r="FW46" s="51" t="s">
        <v>2814</v>
      </c>
      <c r="FX46" s="17">
        <v>1.46</v>
      </c>
      <c r="FY46" s="499">
        <f t="shared" si="46"/>
        <v>1.8108527131782945</v>
      </c>
      <c r="FZ46" s="17" t="s">
        <v>108</v>
      </c>
      <c r="GA46" s="40"/>
      <c r="GB46" s="53">
        <v>0.79</v>
      </c>
      <c r="GC46" s="389">
        <f t="shared" si="47"/>
        <v>0.97984496124031006</v>
      </c>
      <c r="GD46" s="21" t="s">
        <v>42</v>
      </c>
      <c r="GE46" s="63"/>
      <c r="GF46" s="17">
        <v>0.91</v>
      </c>
      <c r="GG46" s="33">
        <f t="shared" si="48"/>
        <v>1.1286821705426358</v>
      </c>
      <c r="GH46" s="17" t="s">
        <v>48</v>
      </c>
      <c r="GI46" s="51" t="s">
        <v>2815</v>
      </c>
      <c r="GJ46" s="17">
        <v>1.2</v>
      </c>
      <c r="GK46" s="169">
        <f t="shared" si="49"/>
        <v>1.4883720930232558</v>
      </c>
      <c r="GL46" s="82" t="s">
        <v>48</v>
      </c>
      <c r="GM46" s="67" t="s">
        <v>2816</v>
      </c>
      <c r="GN46" s="17">
        <v>0.57999999999999996</v>
      </c>
      <c r="GO46" s="74">
        <f t="shared" si="50"/>
        <v>0.71937984496124019</v>
      </c>
      <c r="GP46" s="82" t="s">
        <v>48</v>
      </c>
      <c r="GQ46" s="51" t="s">
        <v>2817</v>
      </c>
      <c r="GR46" s="17">
        <v>0.78</v>
      </c>
      <c r="GS46" s="433">
        <f t="shared" si="51"/>
        <v>0.96744186046511627</v>
      </c>
      <c r="GT46" s="17" t="s">
        <v>42</v>
      </c>
      <c r="GU46" s="51" t="s">
        <v>2818</v>
      </c>
      <c r="GV46" s="17">
        <v>0.94</v>
      </c>
      <c r="GW46" s="448">
        <f t="shared" si="52"/>
        <v>1.165891472868217</v>
      </c>
      <c r="GX46" s="17" t="s">
        <v>42</v>
      </c>
      <c r="GY46" s="274"/>
      <c r="GZ46" s="17">
        <v>0.73</v>
      </c>
      <c r="HA46" s="300">
        <f t="shared" si="53"/>
        <v>0.90542635658914727</v>
      </c>
      <c r="HB46" s="17" t="s">
        <v>48</v>
      </c>
      <c r="HC46" s="20" t="s">
        <v>2710</v>
      </c>
      <c r="HD46" s="17">
        <v>0.97</v>
      </c>
      <c r="HE46" s="81">
        <f t="shared" si="54"/>
        <v>1.2031007751937983</v>
      </c>
      <c r="HF46" s="17" t="s">
        <v>46</v>
      </c>
      <c r="HG46" s="20" t="s">
        <v>2819</v>
      </c>
      <c r="HH46" s="17">
        <v>0.6</v>
      </c>
      <c r="HI46" s="58">
        <f t="shared" si="55"/>
        <v>0.7441860465116279</v>
      </c>
      <c r="HJ46" s="17" t="s">
        <v>108</v>
      </c>
      <c r="HK46" s="41"/>
      <c r="HL46" s="17">
        <v>0.75</v>
      </c>
      <c r="HM46" s="191">
        <f t="shared" si="56"/>
        <v>0.93023255813953487</v>
      </c>
      <c r="HN46" s="17" t="s">
        <v>108</v>
      </c>
      <c r="HO46" s="5"/>
      <c r="HP46" s="17">
        <v>0.7</v>
      </c>
      <c r="HQ46" s="282">
        <f t="shared" si="57"/>
        <v>0.86821705426356577</v>
      </c>
      <c r="HR46" s="17" t="s">
        <v>46</v>
      </c>
      <c r="HS46" s="73" t="s">
        <v>2820</v>
      </c>
      <c r="HT46" s="17">
        <v>1.02</v>
      </c>
      <c r="HU46" s="95">
        <f t="shared" si="58"/>
        <v>1.2651162790697674</v>
      </c>
      <c r="HV46" s="17" t="s">
        <v>42</v>
      </c>
      <c r="HW46" s="75" t="s">
        <v>2821</v>
      </c>
      <c r="HX46" s="17">
        <v>0.65</v>
      </c>
      <c r="HY46" s="471">
        <f t="shared" si="59"/>
        <v>0.80620155038759689</v>
      </c>
      <c r="HZ46" s="21" t="s">
        <v>108</v>
      </c>
      <c r="IA46" s="75" t="s">
        <v>2822</v>
      </c>
      <c r="IB46" s="17">
        <v>0.81</v>
      </c>
      <c r="IC46" s="564">
        <f t="shared" si="60"/>
        <v>1.0046511627906978</v>
      </c>
      <c r="ID46" s="17" t="s">
        <v>108</v>
      </c>
      <c r="IE46" s="51" t="s">
        <v>2823</v>
      </c>
      <c r="IF46" s="17">
        <v>0.4</v>
      </c>
      <c r="IG46" s="210">
        <f t="shared" si="61"/>
        <v>0.49612403100775193</v>
      </c>
      <c r="IH46" s="17" t="s">
        <v>108</v>
      </c>
      <c r="II46" s="51" t="s">
        <v>2824</v>
      </c>
      <c r="IJ46" s="236">
        <v>0.8</v>
      </c>
      <c r="IK46" s="251">
        <f t="shared" si="62"/>
        <v>0.99224806201550386</v>
      </c>
      <c r="IL46" s="17" t="s">
        <v>42</v>
      </c>
      <c r="IM46" s="51" t="s">
        <v>2825</v>
      </c>
      <c r="IN46" s="17">
        <v>0.8</v>
      </c>
      <c r="IO46" s="251">
        <f t="shared" si="63"/>
        <v>0.99224806201550386</v>
      </c>
      <c r="IP46" s="17" t="s">
        <v>108</v>
      </c>
      <c r="IQ46" s="274"/>
      <c r="IR46" s="17">
        <v>0.87</v>
      </c>
      <c r="IS46" s="176">
        <f t="shared" si="64"/>
        <v>1.0790697674418603</v>
      </c>
      <c r="IT46" s="17" t="s">
        <v>108</v>
      </c>
      <c r="IU46" s="274"/>
      <c r="IV46" s="17">
        <v>0.44</v>
      </c>
      <c r="IW46" s="166">
        <f t="shared" si="65"/>
        <v>0.54573643410852712</v>
      </c>
      <c r="IX46" s="17" t="s">
        <v>1697</v>
      </c>
      <c r="IY46" s="20" t="s">
        <v>2826</v>
      </c>
      <c r="IZ46" s="17">
        <v>0.89</v>
      </c>
      <c r="JA46" s="49">
        <f t="shared" si="66"/>
        <v>1.1038759689922482</v>
      </c>
      <c r="JB46" s="17" t="s">
        <v>46</v>
      </c>
      <c r="JC46" s="20" t="s">
        <v>2827</v>
      </c>
      <c r="JD46" s="17">
        <v>0.73</v>
      </c>
      <c r="JE46" s="300">
        <f t="shared" si="67"/>
        <v>0.90542635658914727</v>
      </c>
      <c r="JF46" s="17" t="s">
        <v>42</v>
      </c>
      <c r="JG46" s="20" t="s">
        <v>2828</v>
      </c>
      <c r="JH46" s="17">
        <v>0.9</v>
      </c>
      <c r="JI46" s="146">
        <f t="shared" si="68"/>
        <v>1.1162790697674418</v>
      </c>
      <c r="JJ46" s="17" t="s">
        <v>42</v>
      </c>
      <c r="JK46" s="51" t="s">
        <v>2829</v>
      </c>
      <c r="JL46" s="21">
        <v>0.53</v>
      </c>
      <c r="JM46" s="163">
        <f t="shared" si="69"/>
        <v>0.65736434108527131</v>
      </c>
      <c r="JN46" s="21" t="s">
        <v>42</v>
      </c>
      <c r="JO46" s="75" t="s">
        <v>2830</v>
      </c>
      <c r="JP46" s="21">
        <v>0.52</v>
      </c>
      <c r="JQ46" s="256">
        <f t="shared" si="70"/>
        <v>0.64496124031007751</v>
      </c>
      <c r="JR46" s="21" t="s">
        <v>48</v>
      </c>
      <c r="JS46" s="51" t="s">
        <v>2831</v>
      </c>
      <c r="JT46" s="21">
        <v>0.66</v>
      </c>
      <c r="JU46" s="62">
        <f t="shared" si="71"/>
        <v>0.81860465116279069</v>
      </c>
      <c r="JV46" s="21" t="s">
        <v>42</v>
      </c>
      <c r="JW46" s="75" t="s">
        <v>2832</v>
      </c>
      <c r="JX46" s="17">
        <v>0.49</v>
      </c>
      <c r="JY46" s="247">
        <f t="shared" si="72"/>
        <v>0.60775193798449612</v>
      </c>
      <c r="JZ46" s="51" t="s">
        <v>46</v>
      </c>
      <c r="KA46" s="51" t="s">
        <v>2833</v>
      </c>
      <c r="KB46" s="21">
        <v>0.92</v>
      </c>
      <c r="KC46" s="490">
        <f t="shared" si="73"/>
        <v>1.1410852713178294</v>
      </c>
      <c r="KD46" s="75" t="s">
        <v>108</v>
      </c>
      <c r="KE46" s="63"/>
      <c r="KF46" s="17">
        <v>0.76</v>
      </c>
      <c r="KG46" s="121">
        <f t="shared" si="74"/>
        <v>0.94263565891472867</v>
      </c>
      <c r="KH46" s="51" t="s">
        <v>48</v>
      </c>
      <c r="KI46" s="51" t="s">
        <v>2834</v>
      </c>
      <c r="KJ46" s="21">
        <v>0.72</v>
      </c>
      <c r="KK46" s="199">
        <f t="shared" si="75"/>
        <v>0.89302325581395348</v>
      </c>
      <c r="KL46" s="75" t="s">
        <v>42</v>
      </c>
      <c r="KM46" s="75" t="s">
        <v>2835</v>
      </c>
      <c r="KN46" s="17">
        <v>1.07</v>
      </c>
      <c r="KO46" s="182">
        <f t="shared" si="76"/>
        <v>1.3271317829457365</v>
      </c>
      <c r="KP46" s="51" t="s">
        <v>48</v>
      </c>
      <c r="KQ46" s="51" t="s">
        <v>2836</v>
      </c>
      <c r="KR46" s="21">
        <v>0.86</v>
      </c>
      <c r="KS46" s="404">
        <f t="shared" si="77"/>
        <v>1.0666666666666667</v>
      </c>
      <c r="KT46" s="75" t="s">
        <v>42</v>
      </c>
      <c r="KU46" s="75" t="s">
        <v>2837</v>
      </c>
      <c r="KV46" s="82">
        <v>1.07</v>
      </c>
      <c r="KW46" s="182">
        <f t="shared" si="78"/>
        <v>1.3271317829457365</v>
      </c>
      <c r="KX46" s="51" t="s">
        <v>48</v>
      </c>
      <c r="KY46" s="51" t="s">
        <v>2784</v>
      </c>
      <c r="KZ46" s="83">
        <v>0.46</v>
      </c>
      <c r="LA46" s="165">
        <f t="shared" si="79"/>
        <v>0.57054263565891472</v>
      </c>
      <c r="LB46" s="75" t="s">
        <v>48</v>
      </c>
      <c r="LC46" s="75" t="s">
        <v>2838</v>
      </c>
      <c r="LD46" s="82">
        <v>0.98</v>
      </c>
      <c r="LE46" s="361">
        <f t="shared" si="80"/>
        <v>1.2155038759689922</v>
      </c>
      <c r="LF46" s="51" t="s">
        <v>42</v>
      </c>
      <c r="LG46" s="51" t="s">
        <v>2839</v>
      </c>
      <c r="LH46" s="83">
        <v>0.77</v>
      </c>
      <c r="LI46" s="84"/>
      <c r="LJ46" s="85"/>
      <c r="LK46" s="85"/>
      <c r="LL46" s="86">
        <f t="shared" si="81"/>
        <v>0.80772151898734168</v>
      </c>
      <c r="LM46" s="86">
        <f t="shared" si="82"/>
        <v>0.85425481899388811</v>
      </c>
      <c r="LN46" s="86">
        <f t="shared" si="90"/>
        <v>1.0048087284505109</v>
      </c>
      <c r="LO46" s="86">
        <f t="shared" si="94"/>
        <v>0.85662889376466145</v>
      </c>
      <c r="LP46" s="86">
        <f t="shared" si="95"/>
        <v>1.6971671128958032E-2</v>
      </c>
      <c r="LQ46" s="87">
        <f t="shared" si="96"/>
        <v>1</v>
      </c>
      <c r="LR46" s="86">
        <f t="shared" si="97"/>
        <v>0.85251509868367714</v>
      </c>
      <c r="LS46" s="86">
        <v>1</v>
      </c>
      <c r="LT46" s="87">
        <f t="shared" si="100"/>
        <v>1</v>
      </c>
      <c r="LU46" s="87">
        <f t="shared" si="92"/>
        <v>1</v>
      </c>
      <c r="LV46" s="86">
        <f t="shared" si="98"/>
        <v>0.92</v>
      </c>
      <c r="LW46" s="581" t="s">
        <v>3815</v>
      </c>
      <c r="LX46" s="89" t="str">
        <f t="shared" si="87"/>
        <v>—</v>
      </c>
      <c r="LY46" s="89" t="str">
        <f t="shared" si="102"/>
        <v>Queda moderada — repetir melhor 1aM</v>
      </c>
      <c r="LZ46" s="5"/>
      <c r="MA46" s="67" t="str">
        <f t="shared" si="99"/>
        <v>BREAK</v>
      </c>
      <c r="MB46" s="89" t="s">
        <v>3808</v>
      </c>
    </row>
    <row r="47" spans="1:340" x14ac:dyDescent="0.2">
      <c r="A47" s="16">
        <v>0.78055555555555556</v>
      </c>
      <c r="B47" s="657">
        <f t="shared" si="0"/>
        <v>0.7995000000000001</v>
      </c>
      <c r="C47" s="715">
        <f t="shared" si="1"/>
        <v>-0.22451532207629776</v>
      </c>
      <c r="D47" s="17">
        <v>0.62</v>
      </c>
      <c r="E47" s="217">
        <f t="shared" si="2"/>
        <v>0.77548467792370224</v>
      </c>
      <c r="F47" s="17" t="s">
        <v>2787</v>
      </c>
      <c r="G47" s="41"/>
      <c r="H47" s="21">
        <v>0.97</v>
      </c>
      <c r="I47" s="361">
        <f t="shared" si="3"/>
        <v>1.213258286429018</v>
      </c>
      <c r="J47" s="21" t="s">
        <v>2734</v>
      </c>
      <c r="K47" s="23" t="s">
        <v>2735</v>
      </c>
      <c r="L47" s="17">
        <v>1.22</v>
      </c>
      <c r="M47" s="653">
        <f t="shared" si="4"/>
        <v>1.5259537210756722</v>
      </c>
      <c r="N47" s="17" t="s">
        <v>48</v>
      </c>
      <c r="O47" s="20" t="s">
        <v>2840</v>
      </c>
      <c r="P47" s="21">
        <v>0.97</v>
      </c>
      <c r="Q47" s="361">
        <f t="shared" si="5"/>
        <v>1.213258286429018</v>
      </c>
      <c r="R47" s="21" t="s">
        <v>42</v>
      </c>
      <c r="S47" s="23" t="s">
        <v>2841</v>
      </c>
      <c r="T47" s="17">
        <v>0.54</v>
      </c>
      <c r="U47" s="162">
        <f t="shared" si="6"/>
        <v>0.67542213883677293</v>
      </c>
      <c r="V47" s="17" t="s">
        <v>414</v>
      </c>
      <c r="W47" s="5"/>
      <c r="X47" s="21">
        <v>1.04</v>
      </c>
      <c r="Y47" s="716">
        <f t="shared" si="7"/>
        <v>1.3008130081300813</v>
      </c>
      <c r="Z47" s="21" t="s">
        <v>48</v>
      </c>
      <c r="AA47" s="28"/>
      <c r="AB47" s="17">
        <v>0.8</v>
      </c>
      <c r="AC47" s="17">
        <f t="shared" si="8"/>
        <v>1.0006253908692933</v>
      </c>
      <c r="AD47" s="17" t="s">
        <v>108</v>
      </c>
      <c r="AE47" s="41"/>
      <c r="AF47" s="21">
        <v>0.96</v>
      </c>
      <c r="AG47" s="218">
        <f t="shared" si="9"/>
        <v>1.2007504690431519</v>
      </c>
      <c r="AH47" s="21" t="s">
        <v>48</v>
      </c>
      <c r="AI47" s="23" t="s">
        <v>2842</v>
      </c>
      <c r="AJ47" s="17">
        <v>1.08</v>
      </c>
      <c r="AK47" s="613">
        <f t="shared" si="10"/>
        <v>1.3508442776735459</v>
      </c>
      <c r="AL47" s="17" t="s">
        <v>108</v>
      </c>
      <c r="AM47" s="41"/>
      <c r="AN47" s="21">
        <v>1.19</v>
      </c>
      <c r="AO47" s="169">
        <f t="shared" si="11"/>
        <v>1.4884302689180735</v>
      </c>
      <c r="AP47" s="21" t="s">
        <v>46</v>
      </c>
      <c r="AQ47" s="23" t="s">
        <v>2843</v>
      </c>
      <c r="AR47" s="17">
        <v>0.9</v>
      </c>
      <c r="AS47" s="367">
        <f t="shared" si="12"/>
        <v>1.125703564727955</v>
      </c>
      <c r="AT47" s="17" t="s">
        <v>108</v>
      </c>
      <c r="AU47" s="20" t="s">
        <v>2844</v>
      </c>
      <c r="AV47" s="21">
        <v>1.37</v>
      </c>
      <c r="AW47" s="717">
        <f t="shared" si="13"/>
        <v>1.7135709818636646</v>
      </c>
      <c r="AX47" s="21" t="s">
        <v>108</v>
      </c>
      <c r="AY47" s="28"/>
      <c r="AZ47" s="17">
        <v>1.1299999999999999</v>
      </c>
      <c r="BA47" s="281">
        <f t="shared" si="14"/>
        <v>1.4133833646028764</v>
      </c>
      <c r="BB47" s="17" t="s">
        <v>66</v>
      </c>
      <c r="BC47" s="20" t="s">
        <v>2845</v>
      </c>
      <c r="BD47" s="17">
        <v>1.03</v>
      </c>
      <c r="BE47" s="124">
        <f t="shared" si="15"/>
        <v>1.2883051907442149</v>
      </c>
      <c r="BF47" s="17" t="s">
        <v>46</v>
      </c>
      <c r="BG47" s="20" t="s">
        <v>2846</v>
      </c>
      <c r="BH47" s="37">
        <v>1.21</v>
      </c>
      <c r="BI47" s="60">
        <f t="shared" si="16"/>
        <v>1.5134459036898058</v>
      </c>
      <c r="BJ47" s="37" t="s">
        <v>42</v>
      </c>
      <c r="BK47" s="38" t="s">
        <v>2847</v>
      </c>
      <c r="BL47" s="17">
        <v>0.75</v>
      </c>
      <c r="BM47" s="155">
        <f t="shared" si="17"/>
        <v>0.9380863039399624</v>
      </c>
      <c r="BN47" s="17" t="s">
        <v>42</v>
      </c>
      <c r="BO47" s="40"/>
      <c r="BP47" s="17">
        <v>0.64</v>
      </c>
      <c r="BQ47" s="268">
        <f t="shared" si="18"/>
        <v>0.80050031269543453</v>
      </c>
      <c r="BR47" s="17" t="s">
        <v>42</v>
      </c>
      <c r="BS47" s="41"/>
      <c r="BT47" s="37">
        <v>0.79</v>
      </c>
      <c r="BU47" s="61">
        <f t="shared" si="19"/>
        <v>0.9881175734834271</v>
      </c>
      <c r="BV47" s="46" t="s">
        <v>42</v>
      </c>
      <c r="BW47" s="23" t="s">
        <v>2796</v>
      </c>
      <c r="BX47" s="17">
        <v>0.62</v>
      </c>
      <c r="BY47" s="217">
        <f t="shared" si="20"/>
        <v>0.77548467792370224</v>
      </c>
      <c r="BZ47" s="17" t="s">
        <v>108</v>
      </c>
      <c r="CA47" s="20" t="s">
        <v>2848</v>
      </c>
      <c r="CB47" s="37">
        <v>0.77</v>
      </c>
      <c r="CC47" s="55">
        <f t="shared" si="21"/>
        <v>0.96310193871169469</v>
      </c>
      <c r="CD47" s="46" t="s">
        <v>66</v>
      </c>
      <c r="CE47" s="23" t="s">
        <v>2849</v>
      </c>
      <c r="CF47" s="17">
        <v>0.63</v>
      </c>
      <c r="CG47" s="174">
        <f t="shared" si="22"/>
        <v>0.78799249530956839</v>
      </c>
      <c r="CH47" s="17" t="s">
        <v>42</v>
      </c>
      <c r="CI47" s="20" t="s">
        <v>2850</v>
      </c>
      <c r="CJ47" s="37">
        <v>0.12</v>
      </c>
      <c r="CK47" s="655">
        <f t="shared" si="23"/>
        <v>0.15009380863039398</v>
      </c>
      <c r="CL47" s="46" t="s">
        <v>46</v>
      </c>
      <c r="CM47" s="23" t="s">
        <v>2851</v>
      </c>
      <c r="CN47" s="17">
        <v>0.93</v>
      </c>
      <c r="CO47" s="205">
        <f t="shared" si="24"/>
        <v>1.1632270168855534</v>
      </c>
      <c r="CP47" s="17" t="s">
        <v>48</v>
      </c>
      <c r="CQ47" s="20" t="s">
        <v>2852</v>
      </c>
      <c r="CR47" s="37">
        <v>0.69</v>
      </c>
      <c r="CS47" s="461">
        <f t="shared" si="25"/>
        <v>0.86303939962476528</v>
      </c>
      <c r="CT47" s="21" t="s">
        <v>48</v>
      </c>
      <c r="CU47" s="23" t="s">
        <v>2853</v>
      </c>
      <c r="CV47" s="17">
        <v>0.96</v>
      </c>
      <c r="CW47" s="218">
        <f t="shared" si="26"/>
        <v>1.2007504690431519</v>
      </c>
      <c r="CX47" s="17" t="s">
        <v>46</v>
      </c>
      <c r="CY47" s="20" t="s">
        <v>2854</v>
      </c>
      <c r="CZ47" s="37">
        <v>0.64</v>
      </c>
      <c r="DA47" s="268">
        <f t="shared" si="27"/>
        <v>0.80050031269543453</v>
      </c>
      <c r="DB47" s="21" t="s">
        <v>48</v>
      </c>
      <c r="DC47" s="23" t="s">
        <v>2855</v>
      </c>
      <c r="DD47" s="17">
        <v>0.82</v>
      </c>
      <c r="DE47" s="634">
        <f t="shared" si="28"/>
        <v>1.0256410256410255</v>
      </c>
      <c r="DF47" s="17" t="s">
        <v>42</v>
      </c>
      <c r="DG47" s="20" t="s">
        <v>2856</v>
      </c>
      <c r="DH47" s="37">
        <v>0.98</v>
      </c>
      <c r="DI47" s="718">
        <f t="shared" si="29"/>
        <v>1.2257661038148842</v>
      </c>
      <c r="DJ47" s="21" t="s">
        <v>48</v>
      </c>
      <c r="DK47" s="28"/>
      <c r="DL47" s="17">
        <v>0.25</v>
      </c>
      <c r="DM47" s="438">
        <f t="shared" si="30"/>
        <v>0.31269543464665411</v>
      </c>
      <c r="DN47" s="17" t="s">
        <v>42</v>
      </c>
      <c r="DO47" s="51" t="s">
        <v>2857</v>
      </c>
      <c r="DP47" s="21">
        <v>1.02</v>
      </c>
      <c r="DQ47" s="689">
        <f t="shared" si="31"/>
        <v>1.2757973733583488</v>
      </c>
      <c r="DR47" s="53" t="s">
        <v>285</v>
      </c>
      <c r="DS47" s="54" t="s">
        <v>2858</v>
      </c>
      <c r="DT47" s="53">
        <v>0.69</v>
      </c>
      <c r="DU47" s="461">
        <f t="shared" si="32"/>
        <v>0.86303939962476528</v>
      </c>
      <c r="DV47" s="56" t="s">
        <v>108</v>
      </c>
      <c r="DW47" s="57" t="s">
        <v>2859</v>
      </c>
      <c r="DX47" s="53">
        <v>0.56999999999999995</v>
      </c>
      <c r="DY47" s="129">
        <f t="shared" si="33"/>
        <v>0.71294559099437138</v>
      </c>
      <c r="DZ47" s="53" t="s">
        <v>108</v>
      </c>
      <c r="EA47" s="64"/>
      <c r="EB47" s="56">
        <v>0.51</v>
      </c>
      <c r="EC47" s="349">
        <f t="shared" si="34"/>
        <v>0.63789868667917438</v>
      </c>
      <c r="ED47" s="56" t="s">
        <v>108</v>
      </c>
      <c r="EE47" s="711"/>
      <c r="EF47" s="53">
        <v>0.38</v>
      </c>
      <c r="EG47" s="686">
        <f t="shared" si="35"/>
        <v>0.47529706066291427</v>
      </c>
      <c r="EH47" s="53" t="s">
        <v>46</v>
      </c>
      <c r="EI47" s="57" t="s">
        <v>2860</v>
      </c>
      <c r="EJ47" s="53">
        <v>0.78</v>
      </c>
      <c r="EK47" s="186">
        <f t="shared" si="36"/>
        <v>0.97560975609756084</v>
      </c>
      <c r="EL47" s="56" t="s">
        <v>108</v>
      </c>
      <c r="EM47" s="614"/>
      <c r="EN47" s="53">
        <v>0.9</v>
      </c>
      <c r="EO47" s="367">
        <f t="shared" si="37"/>
        <v>1.125703564727955</v>
      </c>
      <c r="EP47" s="53" t="s">
        <v>66</v>
      </c>
      <c r="EQ47" s="23" t="s">
        <v>2861</v>
      </c>
      <c r="ER47" s="53">
        <v>0.62</v>
      </c>
      <c r="ES47" s="217">
        <f t="shared" si="38"/>
        <v>0.77548467792370224</v>
      </c>
      <c r="ET47" s="53" t="s">
        <v>66</v>
      </c>
      <c r="EU47" s="20" t="s">
        <v>2809</v>
      </c>
      <c r="EV47" s="53">
        <v>0.97</v>
      </c>
      <c r="EW47" s="361">
        <f t="shared" si="39"/>
        <v>1.213258286429018</v>
      </c>
      <c r="EX47" s="21" t="s">
        <v>42</v>
      </c>
      <c r="EY47" s="57" t="s">
        <v>2862</v>
      </c>
      <c r="EZ47" s="53">
        <v>0.57999999999999996</v>
      </c>
      <c r="FA47" s="149">
        <f t="shared" si="40"/>
        <v>0.72545340838023753</v>
      </c>
      <c r="FB47" s="40"/>
      <c r="FC47" s="40"/>
      <c r="FD47" s="53">
        <v>0.74</v>
      </c>
      <c r="FE47" s="652">
        <f t="shared" si="41"/>
        <v>0.92557848655409614</v>
      </c>
      <c r="FF47" s="21" t="s">
        <v>108</v>
      </c>
      <c r="FG47" s="64"/>
      <c r="FH47" s="17">
        <v>1.19</v>
      </c>
      <c r="FI47" s="169">
        <f t="shared" si="42"/>
        <v>1.4884302689180735</v>
      </c>
      <c r="FJ47" s="17" t="s">
        <v>42</v>
      </c>
      <c r="FK47" s="51" t="s">
        <v>2863</v>
      </c>
      <c r="FL47" s="17">
        <v>0.75</v>
      </c>
      <c r="FM47" s="155">
        <f t="shared" si="43"/>
        <v>0.9380863039399624</v>
      </c>
      <c r="FN47" s="21" t="s">
        <v>2864</v>
      </c>
      <c r="FO47" s="51" t="s">
        <v>2865</v>
      </c>
      <c r="FP47" s="17">
        <v>0.55000000000000004</v>
      </c>
      <c r="FQ47" s="130">
        <f t="shared" si="44"/>
        <v>0.68792995622263908</v>
      </c>
      <c r="FR47" s="17" t="s">
        <v>48</v>
      </c>
      <c r="FS47" s="51" t="s">
        <v>2866</v>
      </c>
      <c r="FT47" s="17">
        <v>0.89</v>
      </c>
      <c r="FU47" s="263">
        <f t="shared" si="45"/>
        <v>1.1131957473420886</v>
      </c>
      <c r="FV47" s="17" t="s">
        <v>48</v>
      </c>
      <c r="FW47" s="51" t="s">
        <v>2867</v>
      </c>
      <c r="FX47" s="17">
        <v>1.46</v>
      </c>
      <c r="FY47" s="719">
        <f t="shared" si="46"/>
        <v>1.82614133833646</v>
      </c>
      <c r="FZ47" s="17" t="s">
        <v>108</v>
      </c>
      <c r="GA47" s="40"/>
      <c r="GB47" s="53">
        <v>0.79</v>
      </c>
      <c r="GC47" s="61">
        <f t="shared" si="47"/>
        <v>0.9881175734834271</v>
      </c>
      <c r="GD47" s="21" t="s">
        <v>42</v>
      </c>
      <c r="GE47" s="63"/>
      <c r="GF47" s="17">
        <v>0.92</v>
      </c>
      <c r="GG47" s="720">
        <f t="shared" si="48"/>
        <v>1.1507191994996873</v>
      </c>
      <c r="GH47" s="17" t="s">
        <v>48</v>
      </c>
      <c r="GI47" s="51" t="s">
        <v>2868</v>
      </c>
      <c r="GJ47" s="17">
        <v>1.2</v>
      </c>
      <c r="GK47" s="690">
        <f t="shared" si="49"/>
        <v>1.5009380863039397</v>
      </c>
      <c r="GL47" s="17" t="s">
        <v>66</v>
      </c>
      <c r="GM47" s="274"/>
      <c r="GN47" s="17">
        <v>0.52</v>
      </c>
      <c r="GO47" s="240">
        <f t="shared" si="50"/>
        <v>0.65040650406504064</v>
      </c>
      <c r="GP47" s="82" t="s">
        <v>48</v>
      </c>
      <c r="GQ47" s="51" t="s">
        <v>2869</v>
      </c>
      <c r="GR47" s="17">
        <v>0.83</v>
      </c>
      <c r="GS47" s="206">
        <f t="shared" si="51"/>
        <v>1.0381488430268917</v>
      </c>
      <c r="GT47" s="17" t="s">
        <v>42</v>
      </c>
      <c r="GU47" s="51" t="s">
        <v>2870</v>
      </c>
      <c r="GV47" s="17">
        <v>1</v>
      </c>
      <c r="GW47" s="47">
        <f t="shared" si="52"/>
        <v>1.2507817385866165</v>
      </c>
      <c r="GX47" s="17" t="s">
        <v>108</v>
      </c>
      <c r="GY47" s="274"/>
      <c r="GZ47" s="17">
        <v>0.73</v>
      </c>
      <c r="HA47" s="80">
        <f t="shared" si="53"/>
        <v>0.91307066916822999</v>
      </c>
      <c r="HB47" s="17" t="s">
        <v>108</v>
      </c>
      <c r="HC47" s="5"/>
      <c r="HD47" s="17">
        <v>0.87</v>
      </c>
      <c r="HE47" s="444">
        <f t="shared" si="54"/>
        <v>1.0881801125703563</v>
      </c>
      <c r="HF47" s="17" t="s">
        <v>108</v>
      </c>
      <c r="HG47" s="5"/>
      <c r="HH47" s="17">
        <v>0.6</v>
      </c>
      <c r="HI47" s="242">
        <f t="shared" si="55"/>
        <v>0.75046904315196983</v>
      </c>
      <c r="HJ47" s="17" t="s">
        <v>70</v>
      </c>
      <c r="HK47" s="20" t="s">
        <v>2871</v>
      </c>
      <c r="HL47" s="17">
        <v>0.81</v>
      </c>
      <c r="HM47" s="111">
        <f t="shared" si="56"/>
        <v>1.0131332082551594</v>
      </c>
      <c r="HN47" s="17" t="s">
        <v>70</v>
      </c>
      <c r="HO47" s="5"/>
      <c r="HP47" s="17">
        <v>0.62</v>
      </c>
      <c r="HQ47" s="217">
        <f t="shared" si="57"/>
        <v>0.77548467792370224</v>
      </c>
      <c r="HR47" s="17" t="s">
        <v>46</v>
      </c>
      <c r="HS47" s="73" t="s">
        <v>2872</v>
      </c>
      <c r="HT47" s="17">
        <v>0.95</v>
      </c>
      <c r="HU47" s="403">
        <f t="shared" si="58"/>
        <v>1.1882426516572857</v>
      </c>
      <c r="HV47" s="17" t="s">
        <v>42</v>
      </c>
      <c r="HW47" s="75" t="s">
        <v>2873</v>
      </c>
      <c r="HX47" s="17">
        <v>0.6</v>
      </c>
      <c r="HY47" s="242">
        <f t="shared" si="59"/>
        <v>0.75046904315196983</v>
      </c>
      <c r="HZ47" s="21" t="s">
        <v>108</v>
      </c>
      <c r="IA47" s="75" t="s">
        <v>2874</v>
      </c>
      <c r="IB47" s="17">
        <v>0.81</v>
      </c>
      <c r="IC47" s="111">
        <f t="shared" si="60"/>
        <v>1.0131332082551594</v>
      </c>
      <c r="ID47" s="17" t="s">
        <v>48</v>
      </c>
      <c r="IE47" s="51" t="s">
        <v>2875</v>
      </c>
      <c r="IF47" s="17">
        <v>0.4</v>
      </c>
      <c r="IG47" s="511">
        <f t="shared" si="61"/>
        <v>0.50031269543464663</v>
      </c>
      <c r="IH47" s="17" t="s">
        <v>66</v>
      </c>
      <c r="II47" s="51" t="s">
        <v>2876</v>
      </c>
      <c r="IJ47" s="17">
        <v>0.8</v>
      </c>
      <c r="IK47" s="17">
        <f t="shared" si="62"/>
        <v>1.0006253908692933</v>
      </c>
      <c r="IL47" s="17" t="s">
        <v>42</v>
      </c>
      <c r="IM47" s="51" t="s">
        <v>2877</v>
      </c>
      <c r="IN47" s="17">
        <v>0.61</v>
      </c>
      <c r="IO47" s="356">
        <f t="shared" si="63"/>
        <v>0.76297686053783609</v>
      </c>
      <c r="IP47" s="17" t="s">
        <v>108</v>
      </c>
      <c r="IQ47" s="274"/>
      <c r="IR47" s="17">
        <v>0.82</v>
      </c>
      <c r="IS47" s="634">
        <f t="shared" si="64"/>
        <v>1.0256410256410255</v>
      </c>
      <c r="IT47" s="17" t="s">
        <v>48</v>
      </c>
      <c r="IU47" s="75" t="s">
        <v>2878</v>
      </c>
      <c r="IV47" s="17">
        <v>0.44</v>
      </c>
      <c r="IW47" s="348">
        <f t="shared" si="65"/>
        <v>0.55034396497811122</v>
      </c>
      <c r="IX47" s="17" t="s">
        <v>1697</v>
      </c>
      <c r="IY47" s="51" t="s">
        <v>2879</v>
      </c>
      <c r="IZ47" s="17">
        <v>0.89</v>
      </c>
      <c r="JA47" s="263">
        <f t="shared" si="66"/>
        <v>1.1131957473420886</v>
      </c>
      <c r="JB47" s="17" t="s">
        <v>46</v>
      </c>
      <c r="JC47" s="51" t="s">
        <v>2880</v>
      </c>
      <c r="JD47" s="17">
        <v>0.67</v>
      </c>
      <c r="JE47" s="415">
        <f t="shared" si="67"/>
        <v>0.83802376485303309</v>
      </c>
      <c r="JF47" s="17" t="s">
        <v>108</v>
      </c>
      <c r="JG47" s="51" t="s">
        <v>2881</v>
      </c>
      <c r="JH47" s="17">
        <v>0.9</v>
      </c>
      <c r="JI47" s="367">
        <f t="shared" si="68"/>
        <v>1.125703564727955</v>
      </c>
      <c r="JJ47" s="17" t="s">
        <v>42</v>
      </c>
      <c r="JK47" s="51" t="s">
        <v>2882</v>
      </c>
      <c r="JL47" s="21">
        <v>0.6</v>
      </c>
      <c r="JM47" s="242">
        <f t="shared" si="69"/>
        <v>0.75046904315196983</v>
      </c>
      <c r="JN47" s="21" t="s">
        <v>42</v>
      </c>
      <c r="JO47" s="75" t="s">
        <v>2883</v>
      </c>
      <c r="JP47" s="21">
        <v>0.65</v>
      </c>
      <c r="JQ47" s="223">
        <f t="shared" si="70"/>
        <v>0.81300813008130079</v>
      </c>
      <c r="JR47" s="21" t="s">
        <v>48</v>
      </c>
      <c r="JS47" s="51" t="s">
        <v>2884</v>
      </c>
      <c r="JT47" s="21">
        <v>0.66</v>
      </c>
      <c r="JU47" s="629">
        <f t="shared" si="71"/>
        <v>0.82551594746716694</v>
      </c>
      <c r="JV47" s="21" t="s">
        <v>48</v>
      </c>
      <c r="JW47" s="75" t="s">
        <v>2885</v>
      </c>
      <c r="JX47" s="17">
        <v>0.49</v>
      </c>
      <c r="JY47" s="157">
        <f t="shared" si="72"/>
        <v>0.61288305190744208</v>
      </c>
      <c r="JZ47" s="51" t="s">
        <v>46</v>
      </c>
      <c r="KA47" s="51" t="s">
        <v>2886</v>
      </c>
      <c r="KB47" s="21">
        <v>0.92</v>
      </c>
      <c r="KC47" s="720">
        <f t="shared" si="73"/>
        <v>1.1507191994996873</v>
      </c>
      <c r="KD47" s="75" t="s">
        <v>108</v>
      </c>
      <c r="KE47" s="63"/>
      <c r="KF47" s="17">
        <v>0.83</v>
      </c>
      <c r="KG47" s="206">
        <f t="shared" si="74"/>
        <v>1.0381488430268917</v>
      </c>
      <c r="KH47" s="51" t="s">
        <v>48</v>
      </c>
      <c r="KI47" s="51" t="s">
        <v>2887</v>
      </c>
      <c r="KJ47" s="21">
        <v>0.59</v>
      </c>
      <c r="KK47" s="425">
        <f t="shared" si="75"/>
        <v>0.73796122576610368</v>
      </c>
      <c r="KL47" s="75" t="s">
        <v>42</v>
      </c>
      <c r="KM47" s="75" t="s">
        <v>2835</v>
      </c>
      <c r="KN47" s="17">
        <v>1.07</v>
      </c>
      <c r="KO47" s="292">
        <f t="shared" si="76"/>
        <v>1.3383364602876797</v>
      </c>
      <c r="KP47" s="51" t="s">
        <v>48</v>
      </c>
      <c r="KQ47" s="51" t="s">
        <v>2888</v>
      </c>
      <c r="KR47" s="21">
        <v>0.86</v>
      </c>
      <c r="KS47" s="176">
        <f t="shared" si="77"/>
        <v>1.0756722951844901</v>
      </c>
      <c r="KT47" s="75" t="s">
        <v>42</v>
      </c>
      <c r="KU47" s="75" t="s">
        <v>2889</v>
      </c>
      <c r="KV47" s="82">
        <v>1.07</v>
      </c>
      <c r="KW47" s="292">
        <f t="shared" si="78"/>
        <v>1.3383364602876797</v>
      </c>
      <c r="KX47" s="51" t="s">
        <v>48</v>
      </c>
      <c r="KY47" s="51" t="s">
        <v>2890</v>
      </c>
      <c r="KZ47" s="83">
        <v>0.52</v>
      </c>
      <c r="LA47" s="240">
        <f t="shared" si="79"/>
        <v>0.65040650406504064</v>
      </c>
      <c r="LB47" s="75" t="s">
        <v>48</v>
      </c>
      <c r="LC47" s="75" t="s">
        <v>2891</v>
      </c>
      <c r="LD47" s="82">
        <v>0.92</v>
      </c>
      <c r="LE47" s="720">
        <f t="shared" si="80"/>
        <v>1.1507191994996873</v>
      </c>
      <c r="LF47" s="51" t="s">
        <v>42</v>
      </c>
      <c r="LG47" s="51" t="s">
        <v>2892</v>
      </c>
      <c r="LH47" s="83">
        <v>0.78</v>
      </c>
      <c r="LI47" s="84"/>
      <c r="LJ47" s="85"/>
      <c r="LK47" s="85"/>
      <c r="LL47" s="86">
        <f t="shared" si="81"/>
        <v>0.80177215189873419</v>
      </c>
      <c r="LM47" s="86">
        <f t="shared" si="82"/>
        <v>0.77328702241869274</v>
      </c>
      <c r="LN47" s="86">
        <f t="shared" si="90"/>
        <v>1.0013870486901331</v>
      </c>
      <c r="LO47" s="86">
        <f t="shared" si="94"/>
        <v>0.86157872065905605</v>
      </c>
      <c r="LP47" s="86">
        <f t="shared" si="95"/>
        <v>-6.7924169332960527E-2</v>
      </c>
      <c r="LQ47" s="87">
        <f t="shared" si="96"/>
        <v>1</v>
      </c>
      <c r="LR47" s="86">
        <f t="shared" si="97"/>
        <v>0.85295532830946796</v>
      </c>
      <c r="LS47" s="86">
        <v>1</v>
      </c>
      <c r="LT47" s="87">
        <f t="shared" si="100"/>
        <v>0</v>
      </c>
      <c r="LU47" s="87">
        <f t="shared" si="92"/>
        <v>2</v>
      </c>
      <c r="LV47" s="86">
        <f t="shared" si="98"/>
        <v>0.96</v>
      </c>
      <c r="LW47" s="581" t="s">
        <v>3815</v>
      </c>
      <c r="LX47" s="89" t="str">
        <f t="shared" si="87"/>
        <v>—</v>
      </c>
      <c r="LY47" s="89" t="str">
        <f t="shared" si="102"/>
        <v>Queda moderada — repetir melhor 1aM</v>
      </c>
      <c r="LZ47" s="5"/>
      <c r="MA47" s="67" t="str">
        <f t="shared" si="99"/>
        <v>BREAK</v>
      </c>
      <c r="MB47" s="89" t="s">
        <v>3808</v>
      </c>
    </row>
    <row r="48" spans="1:340" x14ac:dyDescent="0.2">
      <c r="A48" s="16">
        <v>0.78125</v>
      </c>
      <c r="B48" s="721">
        <f t="shared" si="0"/>
        <v>0.79549999999999998</v>
      </c>
      <c r="C48" s="722">
        <f t="shared" si="1"/>
        <v>-0.29604022627278437</v>
      </c>
      <c r="D48" s="17">
        <v>0.56000000000000005</v>
      </c>
      <c r="E48" s="198">
        <f t="shared" si="2"/>
        <v>0.70395977372721563</v>
      </c>
      <c r="F48" s="17" t="s">
        <v>2787</v>
      </c>
      <c r="G48" s="41"/>
      <c r="H48" s="21">
        <v>1.03</v>
      </c>
      <c r="I48" s="339">
        <f t="shared" si="3"/>
        <v>1.2947831552482716</v>
      </c>
      <c r="J48" s="21" t="s">
        <v>108</v>
      </c>
      <c r="K48" s="28"/>
      <c r="L48" s="17">
        <v>1.22</v>
      </c>
      <c r="M48" s="209">
        <f t="shared" si="4"/>
        <v>1.5336266499057196</v>
      </c>
      <c r="N48" s="17" t="s">
        <v>48</v>
      </c>
      <c r="O48" s="20" t="s">
        <v>2893</v>
      </c>
      <c r="P48" s="21">
        <v>0.98</v>
      </c>
      <c r="Q48" s="458">
        <f t="shared" si="5"/>
        <v>1.2319296040226273</v>
      </c>
      <c r="R48" s="21" t="s">
        <v>42</v>
      </c>
      <c r="S48" s="23" t="s">
        <v>2894</v>
      </c>
      <c r="T48" s="17">
        <v>0.66</v>
      </c>
      <c r="U48" s="137">
        <f t="shared" si="6"/>
        <v>0.8296668761785041</v>
      </c>
      <c r="V48" s="17" t="s">
        <v>108</v>
      </c>
      <c r="W48" s="5"/>
      <c r="X48" s="21">
        <v>1.1299999999999999</v>
      </c>
      <c r="Y48" s="150">
        <f t="shared" si="7"/>
        <v>1.4204902576995599</v>
      </c>
      <c r="Z48" s="21" t="s">
        <v>48</v>
      </c>
      <c r="AA48" s="28"/>
      <c r="AB48" s="17">
        <v>0.8</v>
      </c>
      <c r="AC48" s="606">
        <f t="shared" si="8"/>
        <v>1.005656819610308</v>
      </c>
      <c r="AD48" s="17" t="s">
        <v>108</v>
      </c>
      <c r="AE48" s="5"/>
      <c r="AF48" s="21">
        <v>1.02</v>
      </c>
      <c r="AG48" s="280">
        <f t="shared" si="9"/>
        <v>1.2822124450031427</v>
      </c>
      <c r="AH48" s="21" t="s">
        <v>48</v>
      </c>
      <c r="AI48" s="23" t="s">
        <v>2895</v>
      </c>
      <c r="AJ48" s="17">
        <v>0.96</v>
      </c>
      <c r="AK48" s="285">
        <f t="shared" si="10"/>
        <v>1.2067881835323695</v>
      </c>
      <c r="AL48" s="17" t="s">
        <v>108</v>
      </c>
      <c r="AM48" s="41"/>
      <c r="AN48" s="21">
        <v>1.07</v>
      </c>
      <c r="AO48" s="430">
        <f t="shared" si="11"/>
        <v>1.345065996228787</v>
      </c>
      <c r="AP48" s="21" t="s">
        <v>108</v>
      </c>
      <c r="AQ48" s="23" t="s">
        <v>2896</v>
      </c>
      <c r="AR48" s="17">
        <v>0.9</v>
      </c>
      <c r="AS48" s="296">
        <f t="shared" si="12"/>
        <v>1.1313639220615965</v>
      </c>
      <c r="AT48" s="17" t="s">
        <v>42</v>
      </c>
      <c r="AU48" s="20" t="s">
        <v>2897</v>
      </c>
      <c r="AV48" s="21">
        <v>1.22</v>
      </c>
      <c r="AW48" s="209">
        <f t="shared" si="13"/>
        <v>1.5336266499057196</v>
      </c>
      <c r="AX48" s="21" t="s">
        <v>108</v>
      </c>
      <c r="AY48" s="28"/>
      <c r="AZ48" s="17">
        <v>1.06</v>
      </c>
      <c r="BA48" s="98">
        <f t="shared" si="14"/>
        <v>1.3324952859836581</v>
      </c>
      <c r="BB48" s="17" t="s">
        <v>1620</v>
      </c>
      <c r="BC48" s="41"/>
      <c r="BD48" s="17">
        <v>1.03</v>
      </c>
      <c r="BE48" s="339">
        <f t="shared" si="15"/>
        <v>1.2947831552482716</v>
      </c>
      <c r="BF48" s="17" t="s">
        <v>46</v>
      </c>
      <c r="BG48" s="20" t="s">
        <v>2898</v>
      </c>
      <c r="BH48" s="37">
        <v>1.27</v>
      </c>
      <c r="BI48" s="168">
        <f t="shared" si="16"/>
        <v>1.5964802011313639</v>
      </c>
      <c r="BJ48" s="37" t="s">
        <v>42</v>
      </c>
      <c r="BK48" s="38" t="s">
        <v>2899</v>
      </c>
      <c r="BL48" s="17">
        <v>0.68</v>
      </c>
      <c r="BM48" s="127">
        <f t="shared" si="17"/>
        <v>0.8548082966687619</v>
      </c>
      <c r="BN48" s="17" t="s">
        <v>42</v>
      </c>
      <c r="BO48" s="40"/>
      <c r="BP48" s="17">
        <v>0.56999999999999995</v>
      </c>
      <c r="BQ48" s="291">
        <f t="shared" si="18"/>
        <v>0.71653048397234442</v>
      </c>
      <c r="BR48" s="17" t="s">
        <v>42</v>
      </c>
      <c r="BS48" s="41"/>
      <c r="BT48" s="37">
        <v>0.73</v>
      </c>
      <c r="BU48" s="110">
        <f t="shared" si="19"/>
        <v>0.91766184789440608</v>
      </c>
      <c r="BV48" s="46" t="s">
        <v>42</v>
      </c>
      <c r="BW48" s="23" t="s">
        <v>2900</v>
      </c>
      <c r="BX48" s="17">
        <v>0.61</v>
      </c>
      <c r="BY48" s="202">
        <f t="shared" si="20"/>
        <v>0.76681332495285981</v>
      </c>
      <c r="BZ48" s="17" t="s">
        <v>46</v>
      </c>
      <c r="CA48" s="20" t="s">
        <v>2901</v>
      </c>
      <c r="CB48" s="37">
        <v>0.77</v>
      </c>
      <c r="CC48" s="433">
        <f t="shared" si="21"/>
        <v>0.96794468887492147</v>
      </c>
      <c r="CD48" s="46" t="s">
        <v>356</v>
      </c>
      <c r="CE48" s="23" t="s">
        <v>2902</v>
      </c>
      <c r="CF48" s="17">
        <v>0.63</v>
      </c>
      <c r="CG48" s="545">
        <f t="shared" si="22"/>
        <v>0.7919547454431175</v>
      </c>
      <c r="CH48" s="17" t="s">
        <v>42</v>
      </c>
      <c r="CI48" s="20" t="s">
        <v>2903</v>
      </c>
      <c r="CJ48" s="37">
        <v>0.12</v>
      </c>
      <c r="CK48" s="655">
        <f t="shared" si="23"/>
        <v>0.15084852294154619</v>
      </c>
      <c r="CL48" s="46" t="s">
        <v>46</v>
      </c>
      <c r="CM48" s="23" t="s">
        <v>2904</v>
      </c>
      <c r="CN48" s="17">
        <v>0.99</v>
      </c>
      <c r="CO48" s="181">
        <f t="shared" si="24"/>
        <v>1.2445003142677562</v>
      </c>
      <c r="CP48" s="17" t="s">
        <v>48</v>
      </c>
      <c r="CQ48" s="20" t="s">
        <v>2905</v>
      </c>
      <c r="CR48" s="37">
        <v>0.69</v>
      </c>
      <c r="CS48" s="282">
        <f t="shared" si="25"/>
        <v>0.86737900691389058</v>
      </c>
      <c r="CT48" s="21" t="s">
        <v>108</v>
      </c>
      <c r="CU48" s="28"/>
      <c r="CV48" s="17">
        <v>1.01</v>
      </c>
      <c r="CW48" s="261">
        <f t="shared" si="26"/>
        <v>1.2696417347580138</v>
      </c>
      <c r="CX48" s="17" t="s">
        <v>46</v>
      </c>
      <c r="CY48" s="20" t="s">
        <v>2906</v>
      </c>
      <c r="CZ48" s="37">
        <v>0.64</v>
      </c>
      <c r="DA48" s="471">
        <f t="shared" si="27"/>
        <v>0.8045254556882464</v>
      </c>
      <c r="DB48" s="21" t="s">
        <v>108</v>
      </c>
      <c r="DC48" s="28"/>
      <c r="DD48" s="17">
        <v>0.82</v>
      </c>
      <c r="DE48" s="682">
        <f t="shared" si="28"/>
        <v>1.0307982401005655</v>
      </c>
      <c r="DF48" s="17" t="s">
        <v>42</v>
      </c>
      <c r="DG48" s="20" t="s">
        <v>2907</v>
      </c>
      <c r="DH48" s="37">
        <v>0.98</v>
      </c>
      <c r="DI48" s="458">
        <f t="shared" si="29"/>
        <v>1.2319296040226273</v>
      </c>
      <c r="DJ48" s="21" t="s">
        <v>108</v>
      </c>
      <c r="DK48" s="28"/>
      <c r="DL48" s="17">
        <v>0.19</v>
      </c>
      <c r="DM48" s="723">
        <f t="shared" si="30"/>
        <v>0.23884349465744814</v>
      </c>
      <c r="DN48" s="17" t="s">
        <v>42</v>
      </c>
      <c r="DO48" s="51" t="s">
        <v>2908</v>
      </c>
      <c r="DP48" s="21">
        <v>1.02</v>
      </c>
      <c r="DQ48" s="280">
        <f t="shared" si="31"/>
        <v>1.2822124450031427</v>
      </c>
      <c r="DR48" s="53" t="s">
        <v>285</v>
      </c>
      <c r="DS48" s="54" t="s">
        <v>2909</v>
      </c>
      <c r="DT48" s="53">
        <v>0.43</v>
      </c>
      <c r="DU48" s="189">
        <f t="shared" si="32"/>
        <v>0.54054054054054057</v>
      </c>
      <c r="DV48" s="56" t="s">
        <v>108</v>
      </c>
      <c r="DW48" s="57" t="s">
        <v>2910</v>
      </c>
      <c r="DX48" s="53">
        <v>0.56999999999999995</v>
      </c>
      <c r="DY48" s="291">
        <f t="shared" si="33"/>
        <v>0.71653048397234442</v>
      </c>
      <c r="DZ48" s="53" t="s">
        <v>108</v>
      </c>
      <c r="EA48" s="64"/>
      <c r="EB48" s="56">
        <v>0.51</v>
      </c>
      <c r="EC48" s="289">
        <f t="shared" si="34"/>
        <v>0.64110622250157134</v>
      </c>
      <c r="ED48" s="56" t="s">
        <v>108</v>
      </c>
      <c r="EE48" s="711"/>
      <c r="EF48" s="53">
        <v>0.38</v>
      </c>
      <c r="EG48" s="686">
        <f t="shared" si="35"/>
        <v>0.47768698931489628</v>
      </c>
      <c r="EH48" s="53" t="s">
        <v>46</v>
      </c>
      <c r="EI48" s="57" t="s">
        <v>2911</v>
      </c>
      <c r="EJ48" s="53">
        <v>0.72</v>
      </c>
      <c r="EK48" s="300">
        <f t="shared" si="36"/>
        <v>0.90509113764927718</v>
      </c>
      <c r="EL48" s="56" t="s">
        <v>108</v>
      </c>
      <c r="EM48" s="711"/>
      <c r="EN48" s="53">
        <v>0.9</v>
      </c>
      <c r="EO48" s="296">
        <f t="shared" si="37"/>
        <v>1.1313639220615965</v>
      </c>
      <c r="EP48" s="53" t="s">
        <v>108</v>
      </c>
      <c r="EQ48" s="28"/>
      <c r="ER48" s="53">
        <v>0.69</v>
      </c>
      <c r="ES48" s="282">
        <f t="shared" si="38"/>
        <v>0.86737900691389058</v>
      </c>
      <c r="ET48" s="53" t="s">
        <v>70</v>
      </c>
      <c r="EU48" s="20" t="s">
        <v>2912</v>
      </c>
      <c r="EV48" s="53">
        <v>1.0900000000000001</v>
      </c>
      <c r="EW48" s="34">
        <f t="shared" si="39"/>
        <v>1.3702074167190448</v>
      </c>
      <c r="EX48" s="21" t="s">
        <v>42</v>
      </c>
      <c r="EY48" s="57" t="s">
        <v>2862</v>
      </c>
      <c r="EZ48" s="53">
        <v>0.65</v>
      </c>
      <c r="FA48" s="62">
        <f t="shared" si="40"/>
        <v>0.81709616593337531</v>
      </c>
      <c r="FB48" s="40"/>
      <c r="FC48" s="40"/>
      <c r="FD48" s="53">
        <v>0.74</v>
      </c>
      <c r="FE48" s="191">
        <f t="shared" si="41"/>
        <v>0.93023255813953487</v>
      </c>
      <c r="FF48" s="21" t="s">
        <v>66</v>
      </c>
      <c r="FG48" s="64"/>
      <c r="FH48" s="17">
        <v>1.19</v>
      </c>
      <c r="FI48" s="724">
        <f t="shared" si="42"/>
        <v>1.4959145191703331</v>
      </c>
      <c r="FJ48" s="17" t="s">
        <v>42</v>
      </c>
      <c r="FK48" s="51" t="s">
        <v>2913</v>
      </c>
      <c r="FL48" s="17">
        <v>0.75</v>
      </c>
      <c r="FM48" s="121">
        <f t="shared" si="43"/>
        <v>0.94280326838466377</v>
      </c>
      <c r="FN48" s="21" t="s">
        <v>2864</v>
      </c>
      <c r="FO48" s="51" t="s">
        <v>2865</v>
      </c>
      <c r="FP48" s="17">
        <v>0.55000000000000004</v>
      </c>
      <c r="FQ48" s="354">
        <f t="shared" si="44"/>
        <v>0.69138906348208684</v>
      </c>
      <c r="FR48" s="17" t="s">
        <v>48</v>
      </c>
      <c r="FS48" s="51" t="s">
        <v>2914</v>
      </c>
      <c r="FT48" s="17">
        <v>0.96</v>
      </c>
      <c r="FU48" s="285">
        <f t="shared" si="45"/>
        <v>1.2067881835323695</v>
      </c>
      <c r="FV48" s="17" t="s">
        <v>48</v>
      </c>
      <c r="FW48" s="51" t="s">
        <v>2915</v>
      </c>
      <c r="FX48" s="17">
        <v>1.45</v>
      </c>
      <c r="FY48" s="406">
        <f t="shared" si="46"/>
        <v>1.8227529855436833</v>
      </c>
      <c r="FZ48" s="17" t="s">
        <v>108</v>
      </c>
      <c r="GA48" s="40"/>
      <c r="GB48" s="53">
        <v>0.79</v>
      </c>
      <c r="GC48" s="251">
        <f t="shared" si="47"/>
        <v>0.99308610936517916</v>
      </c>
      <c r="GD48" s="21" t="s">
        <v>42</v>
      </c>
      <c r="GE48" s="63"/>
      <c r="GF48" s="17">
        <v>0.97</v>
      </c>
      <c r="GG48" s="107">
        <f t="shared" si="48"/>
        <v>1.2193588937774984</v>
      </c>
      <c r="GH48" s="17" t="s">
        <v>48</v>
      </c>
      <c r="GI48" s="51" t="s">
        <v>2916</v>
      </c>
      <c r="GJ48" s="17">
        <v>1.2</v>
      </c>
      <c r="GK48" s="644">
        <f t="shared" si="49"/>
        <v>1.508485229415462</v>
      </c>
      <c r="GL48" s="17" t="s">
        <v>66</v>
      </c>
      <c r="GM48" s="274"/>
      <c r="GN48" s="17">
        <v>0.52</v>
      </c>
      <c r="GO48" s="515">
        <f t="shared" si="50"/>
        <v>0.65367693274670025</v>
      </c>
      <c r="GP48" s="17" t="s">
        <v>108</v>
      </c>
      <c r="GQ48" s="51" t="s">
        <v>2917</v>
      </c>
      <c r="GR48" s="17">
        <v>0.83</v>
      </c>
      <c r="GS48" s="364">
        <f t="shared" si="51"/>
        <v>1.0433689503456944</v>
      </c>
      <c r="GT48" s="17" t="s">
        <v>42</v>
      </c>
      <c r="GU48" s="51" t="s">
        <v>2918</v>
      </c>
      <c r="GV48" s="17">
        <v>0.96</v>
      </c>
      <c r="GW48" s="285">
        <f t="shared" si="52"/>
        <v>1.2067881835323695</v>
      </c>
      <c r="GX48" s="17" t="s">
        <v>108</v>
      </c>
      <c r="GY48" s="274"/>
      <c r="GZ48" s="17">
        <v>0.66</v>
      </c>
      <c r="HA48" s="137">
        <f t="shared" si="53"/>
        <v>0.8296668761785041</v>
      </c>
      <c r="HB48" s="17" t="s">
        <v>108</v>
      </c>
      <c r="HC48" s="5"/>
      <c r="HD48" s="17">
        <v>0.8</v>
      </c>
      <c r="HE48" s="606">
        <f t="shared" si="54"/>
        <v>1.005656819610308</v>
      </c>
      <c r="HF48" s="17" t="s">
        <v>108</v>
      </c>
      <c r="HG48" s="5"/>
      <c r="HH48" s="17">
        <v>0.6</v>
      </c>
      <c r="HI48" s="302">
        <f t="shared" si="55"/>
        <v>0.75424261470773102</v>
      </c>
      <c r="HJ48" s="17" t="s">
        <v>70</v>
      </c>
      <c r="HK48" s="20" t="s">
        <v>2919</v>
      </c>
      <c r="HL48" s="17">
        <v>0.8</v>
      </c>
      <c r="HM48" s="606">
        <f t="shared" si="56"/>
        <v>1.005656819610308</v>
      </c>
      <c r="HN48" s="17" t="s">
        <v>70</v>
      </c>
      <c r="HO48" s="5"/>
      <c r="HP48" s="17">
        <v>0.62</v>
      </c>
      <c r="HQ48" s="344">
        <f t="shared" si="57"/>
        <v>0.77938403519798871</v>
      </c>
      <c r="HR48" s="17" t="s">
        <v>46</v>
      </c>
      <c r="HS48" s="73" t="s">
        <v>2920</v>
      </c>
      <c r="HT48" s="17">
        <v>0.95</v>
      </c>
      <c r="HU48" s="664">
        <f t="shared" si="58"/>
        <v>1.1942174732872406</v>
      </c>
      <c r="HV48" s="17" t="s">
        <v>42</v>
      </c>
      <c r="HW48" s="75" t="s">
        <v>2821</v>
      </c>
      <c r="HX48" s="17">
        <v>0.52</v>
      </c>
      <c r="HY48" s="515">
        <f t="shared" si="59"/>
        <v>0.65367693274670025</v>
      </c>
      <c r="HZ48" s="21" t="s">
        <v>108</v>
      </c>
      <c r="IA48" s="75" t="s">
        <v>2921</v>
      </c>
      <c r="IB48" s="17">
        <v>0.81</v>
      </c>
      <c r="IC48" s="401">
        <f t="shared" si="60"/>
        <v>1.0182275298554369</v>
      </c>
      <c r="ID48" s="17" t="s">
        <v>48</v>
      </c>
      <c r="IE48" s="51" t="s">
        <v>2922</v>
      </c>
      <c r="IF48" s="17">
        <v>0.4</v>
      </c>
      <c r="IG48" s="68">
        <f t="shared" si="61"/>
        <v>0.50282840980515398</v>
      </c>
      <c r="IH48" s="17" t="s">
        <v>66</v>
      </c>
      <c r="II48" s="51" t="s">
        <v>2923</v>
      </c>
      <c r="IJ48" s="17">
        <v>0.74</v>
      </c>
      <c r="IK48" s="191">
        <f t="shared" si="62"/>
        <v>0.93023255813953487</v>
      </c>
      <c r="IL48" s="17" t="s">
        <v>42</v>
      </c>
      <c r="IM48" s="51" t="s">
        <v>2924</v>
      </c>
      <c r="IN48" s="17">
        <v>0.61</v>
      </c>
      <c r="IO48" s="202">
        <f t="shared" si="63"/>
        <v>0.76681332495285981</v>
      </c>
      <c r="IP48" s="17" t="s">
        <v>42</v>
      </c>
      <c r="IQ48" s="51" t="s">
        <v>2925</v>
      </c>
      <c r="IR48" s="17">
        <v>0.88</v>
      </c>
      <c r="IS48" s="474">
        <f t="shared" si="64"/>
        <v>1.1062225015713387</v>
      </c>
      <c r="IT48" s="17" t="s">
        <v>48</v>
      </c>
      <c r="IU48" s="75" t="s">
        <v>2926</v>
      </c>
      <c r="IV48" s="17">
        <v>0.44</v>
      </c>
      <c r="IW48" s="325">
        <f t="shared" si="65"/>
        <v>0.55311125078566936</v>
      </c>
      <c r="IX48" s="17" t="s">
        <v>1697</v>
      </c>
      <c r="IY48" s="51" t="s">
        <v>2879</v>
      </c>
      <c r="IZ48" s="17">
        <v>0.89</v>
      </c>
      <c r="JA48" s="213">
        <f t="shared" si="66"/>
        <v>1.1187932118164676</v>
      </c>
      <c r="JB48" s="17" t="s">
        <v>46</v>
      </c>
      <c r="JC48" s="51" t="s">
        <v>2927</v>
      </c>
      <c r="JD48" s="17">
        <v>0.69</v>
      </c>
      <c r="JE48" s="282">
        <f t="shared" si="67"/>
        <v>0.86737900691389058</v>
      </c>
      <c r="JF48" s="17" t="s">
        <v>108</v>
      </c>
      <c r="JG48" s="51" t="s">
        <v>2928</v>
      </c>
      <c r="JH48" s="17">
        <v>0.91</v>
      </c>
      <c r="JI48" s="381">
        <f t="shared" si="68"/>
        <v>1.1439346323067254</v>
      </c>
      <c r="JJ48" s="17" t="s">
        <v>42</v>
      </c>
      <c r="JK48" s="51" t="s">
        <v>2929</v>
      </c>
      <c r="JL48" s="21">
        <v>0.6</v>
      </c>
      <c r="JM48" s="302">
        <f t="shared" si="69"/>
        <v>0.75424261470773102</v>
      </c>
      <c r="JN48" s="21" t="s">
        <v>42</v>
      </c>
      <c r="JO48" s="75" t="s">
        <v>2930</v>
      </c>
      <c r="JP48" s="21">
        <v>0.65</v>
      </c>
      <c r="JQ48" s="62">
        <f t="shared" si="70"/>
        <v>0.81709616593337531</v>
      </c>
      <c r="JR48" s="21" t="s">
        <v>48</v>
      </c>
      <c r="JS48" s="51" t="s">
        <v>2931</v>
      </c>
      <c r="JT48" s="21">
        <v>0.72</v>
      </c>
      <c r="JU48" s="300">
        <f t="shared" si="71"/>
        <v>0.90509113764927718</v>
      </c>
      <c r="JV48" s="21" t="s">
        <v>48</v>
      </c>
      <c r="JW48" s="75" t="s">
        <v>2932</v>
      </c>
      <c r="JX48" s="17">
        <v>0.68</v>
      </c>
      <c r="JY48" s="127">
        <f t="shared" si="72"/>
        <v>0.8548082966687619</v>
      </c>
      <c r="JZ48" s="51" t="s">
        <v>110</v>
      </c>
      <c r="KA48" s="51" t="s">
        <v>2933</v>
      </c>
      <c r="KB48" s="21">
        <v>0.92</v>
      </c>
      <c r="KC48" s="230">
        <f t="shared" si="73"/>
        <v>1.1565053425518543</v>
      </c>
      <c r="KD48" s="75" t="s">
        <v>42</v>
      </c>
      <c r="KE48" s="75" t="s">
        <v>2934</v>
      </c>
      <c r="KF48" s="17">
        <v>0.78</v>
      </c>
      <c r="KG48" s="284">
        <f t="shared" si="74"/>
        <v>0.98051539912005037</v>
      </c>
      <c r="KH48" s="51" t="s">
        <v>48</v>
      </c>
      <c r="KI48" s="51" t="s">
        <v>2935</v>
      </c>
      <c r="KJ48" s="21">
        <v>0.52</v>
      </c>
      <c r="KK48" s="515">
        <f t="shared" si="75"/>
        <v>0.65367693274670025</v>
      </c>
      <c r="KL48" s="75" t="s">
        <v>48</v>
      </c>
      <c r="KM48" s="75" t="s">
        <v>2936</v>
      </c>
      <c r="KN48" s="17">
        <v>1.01</v>
      </c>
      <c r="KO48" s="261">
        <f t="shared" si="76"/>
        <v>1.2696417347580138</v>
      </c>
      <c r="KP48" s="51" t="s">
        <v>414</v>
      </c>
      <c r="KQ48" s="51" t="s">
        <v>2937</v>
      </c>
      <c r="KR48" s="21">
        <v>0.86</v>
      </c>
      <c r="KS48" s="27">
        <f t="shared" si="77"/>
        <v>1.0810810810810811</v>
      </c>
      <c r="KT48" s="75" t="s">
        <v>108</v>
      </c>
      <c r="KU48" s="75" t="s">
        <v>2938</v>
      </c>
      <c r="KV48" s="82">
        <v>1.07</v>
      </c>
      <c r="KW48" s="430">
        <f t="shared" si="78"/>
        <v>1.345065996228787</v>
      </c>
      <c r="KX48" s="51" t="s">
        <v>48</v>
      </c>
      <c r="KY48" s="51" t="s">
        <v>2939</v>
      </c>
      <c r="KZ48" s="83">
        <v>0.52</v>
      </c>
      <c r="LA48" s="515">
        <f t="shared" si="79"/>
        <v>0.65367693274670025</v>
      </c>
      <c r="LB48" s="75" t="s">
        <v>48</v>
      </c>
      <c r="LC48" s="75" t="s">
        <v>2940</v>
      </c>
      <c r="LD48" s="82">
        <v>0.92</v>
      </c>
      <c r="LE48" s="230">
        <f t="shared" si="80"/>
        <v>1.1565053425518543</v>
      </c>
      <c r="LF48" s="51" t="s">
        <v>42</v>
      </c>
      <c r="LG48" s="51" t="s">
        <v>2941</v>
      </c>
      <c r="LH48" s="83">
        <v>0.86</v>
      </c>
      <c r="LI48" s="84"/>
      <c r="LJ48" s="85"/>
      <c r="LK48" s="85"/>
      <c r="LL48" s="86">
        <f t="shared" si="81"/>
        <v>0.7984810126582278</v>
      </c>
      <c r="LM48" s="86">
        <f t="shared" si="82"/>
        <v>0.70133164235890944</v>
      </c>
      <c r="LN48" s="86">
        <f t="shared" si="90"/>
        <v>0.9963181592174345</v>
      </c>
      <c r="LO48" s="86">
        <f t="shared" si="94"/>
        <v>0.80959696590534092</v>
      </c>
      <c r="LP48" s="86">
        <f t="shared" si="95"/>
        <v>-6.009802257044794E-2</v>
      </c>
      <c r="LQ48" s="87">
        <f t="shared" si="96"/>
        <v>1</v>
      </c>
      <c r="LR48" s="86">
        <f t="shared" si="97"/>
        <v>0.79450967777663417</v>
      </c>
      <c r="LS48" s="86">
        <v>1</v>
      </c>
      <c r="LT48" s="87">
        <f t="shared" si="100"/>
        <v>0</v>
      </c>
      <c r="LU48" s="87">
        <f t="shared" si="92"/>
        <v>3</v>
      </c>
      <c r="LV48" s="86">
        <f t="shared" si="98"/>
        <v>0.96</v>
      </c>
      <c r="LW48" s="88" t="s">
        <v>3807</v>
      </c>
      <c r="LX48" s="89" t="str">
        <f t="shared" si="87"/>
        <v>—</v>
      </c>
      <c r="LY48" s="89" t="str">
        <f t="shared" si="102"/>
        <v>Queda severa — voltar ao que deu certo</v>
      </c>
      <c r="LZ48" s="5"/>
      <c r="MA48" s="67" t="str">
        <f t="shared" si="99"/>
        <v>BREAK</v>
      </c>
      <c r="MB48" s="89" t="s">
        <v>3808</v>
      </c>
    </row>
    <row r="49" spans="1:340" x14ac:dyDescent="0.2">
      <c r="A49" s="16">
        <v>0.78194444444444444</v>
      </c>
      <c r="B49" s="725">
        <f t="shared" si="0"/>
        <v>0.78149999999999997</v>
      </c>
      <c r="C49" s="726">
        <f t="shared" si="1"/>
        <v>-0.36020473448496482</v>
      </c>
      <c r="D49" s="17">
        <v>0.5</v>
      </c>
      <c r="E49" s="289">
        <f t="shared" si="2"/>
        <v>0.63979526551503518</v>
      </c>
      <c r="F49" s="17" t="s">
        <v>1022</v>
      </c>
      <c r="G49" s="20" t="s">
        <v>2942</v>
      </c>
      <c r="H49" s="21">
        <v>0.8</v>
      </c>
      <c r="I49" s="368">
        <f t="shared" si="3"/>
        <v>1.0236724248240563</v>
      </c>
      <c r="J49" s="21" t="s">
        <v>108</v>
      </c>
      <c r="K49" s="28"/>
      <c r="L49" s="17">
        <v>1.1599999999999999</v>
      </c>
      <c r="M49" s="276">
        <f t="shared" si="4"/>
        <v>1.4843250159948815</v>
      </c>
      <c r="N49" s="17" t="s">
        <v>856</v>
      </c>
      <c r="O49" s="41"/>
      <c r="P49" s="21">
        <v>0.98</v>
      </c>
      <c r="Q49" s="310">
        <f t="shared" si="5"/>
        <v>1.2539987204094689</v>
      </c>
      <c r="R49" s="21" t="s">
        <v>108</v>
      </c>
      <c r="S49" s="23" t="s">
        <v>2943</v>
      </c>
      <c r="T49" s="17">
        <v>0.66</v>
      </c>
      <c r="U49" s="497">
        <f t="shared" si="6"/>
        <v>0.84452975047984646</v>
      </c>
      <c r="V49" s="17" t="s">
        <v>108</v>
      </c>
      <c r="W49" s="5"/>
      <c r="X49" s="21">
        <v>1.1299999999999999</v>
      </c>
      <c r="Y49" s="727">
        <f t="shared" si="7"/>
        <v>1.4459373000639795</v>
      </c>
      <c r="Z49" s="21" t="s">
        <v>48</v>
      </c>
      <c r="AA49" s="28"/>
      <c r="AB49" s="17">
        <v>0.82</v>
      </c>
      <c r="AC49" s="153">
        <f t="shared" si="8"/>
        <v>1.0492642354446577</v>
      </c>
      <c r="AD49" s="17" t="s">
        <v>108</v>
      </c>
      <c r="AE49" s="5"/>
      <c r="AF49" s="21">
        <v>1.02</v>
      </c>
      <c r="AG49" s="529">
        <f t="shared" si="9"/>
        <v>1.3051823416506718</v>
      </c>
      <c r="AH49" s="21" t="s">
        <v>1653</v>
      </c>
      <c r="AI49" s="23" t="s">
        <v>2944</v>
      </c>
      <c r="AJ49" s="17">
        <v>0.96</v>
      </c>
      <c r="AK49" s="434">
        <f t="shared" si="10"/>
        <v>1.2284069097888675</v>
      </c>
      <c r="AL49" s="17" t="s">
        <v>108</v>
      </c>
      <c r="AM49" s="41"/>
      <c r="AN49" s="21">
        <v>1.01</v>
      </c>
      <c r="AO49" s="339">
        <f t="shared" si="11"/>
        <v>1.2923864363403712</v>
      </c>
      <c r="AP49" s="21" t="s">
        <v>46</v>
      </c>
      <c r="AQ49" s="23" t="s">
        <v>2945</v>
      </c>
      <c r="AR49" s="17">
        <v>0.78</v>
      </c>
      <c r="AS49" s="231">
        <f t="shared" si="12"/>
        <v>0.99808061420345495</v>
      </c>
      <c r="AT49" s="17" t="s">
        <v>108</v>
      </c>
      <c r="AU49" s="5"/>
      <c r="AV49" s="21">
        <v>1.22</v>
      </c>
      <c r="AW49" s="253">
        <f t="shared" si="13"/>
        <v>1.5611004478566859</v>
      </c>
      <c r="AX49" s="21" t="s">
        <v>108</v>
      </c>
      <c r="AY49" s="28"/>
      <c r="AZ49" s="17">
        <v>1</v>
      </c>
      <c r="BA49" s="359">
        <f t="shared" si="14"/>
        <v>1.2795905310300704</v>
      </c>
      <c r="BB49" s="17" t="s">
        <v>108</v>
      </c>
      <c r="BC49" s="41"/>
      <c r="BD49" s="17">
        <v>1.03</v>
      </c>
      <c r="BE49" s="531">
        <f t="shared" si="15"/>
        <v>1.3179782469609727</v>
      </c>
      <c r="BF49" s="17" t="s">
        <v>66</v>
      </c>
      <c r="BG49" s="20" t="s">
        <v>2946</v>
      </c>
      <c r="BH49" s="37">
        <v>1.41</v>
      </c>
      <c r="BI49" s="728">
        <f t="shared" si="16"/>
        <v>1.8042226487523991</v>
      </c>
      <c r="BJ49" s="37" t="s">
        <v>42</v>
      </c>
      <c r="BK49" s="38" t="s">
        <v>2947</v>
      </c>
      <c r="BL49" s="17">
        <v>0.68</v>
      </c>
      <c r="BM49" s="282">
        <f t="shared" si="17"/>
        <v>0.87012156110044792</v>
      </c>
      <c r="BN49" s="17" t="s">
        <v>42</v>
      </c>
      <c r="BO49" s="40"/>
      <c r="BP49" s="17">
        <v>0.56999999999999995</v>
      </c>
      <c r="BQ49" s="203">
        <f t="shared" si="18"/>
        <v>0.72936660268714004</v>
      </c>
      <c r="BR49" s="17" t="s">
        <v>42</v>
      </c>
      <c r="BS49" s="41"/>
      <c r="BT49" s="37">
        <v>0.73</v>
      </c>
      <c r="BU49" s="24">
        <f t="shared" si="19"/>
        <v>0.93410108765195143</v>
      </c>
      <c r="BV49" s="46" t="s">
        <v>42</v>
      </c>
      <c r="BW49" s="23" t="s">
        <v>2948</v>
      </c>
      <c r="BX49" s="17">
        <v>0.56000000000000005</v>
      </c>
      <c r="BY49" s="291">
        <f t="shared" si="20"/>
        <v>0.71657069737683954</v>
      </c>
      <c r="BZ49" s="17" t="s">
        <v>46</v>
      </c>
      <c r="CA49" s="20" t="s">
        <v>2949</v>
      </c>
      <c r="CB49" s="37">
        <v>0.77</v>
      </c>
      <c r="CC49" s="61">
        <f t="shared" si="21"/>
        <v>0.98528470889315423</v>
      </c>
      <c r="CD49" s="46" t="s">
        <v>356</v>
      </c>
      <c r="CE49" s="23" t="s">
        <v>2950</v>
      </c>
      <c r="CF49" s="17">
        <v>0.63</v>
      </c>
      <c r="CG49" s="471">
        <f t="shared" si="22"/>
        <v>0.8061420345489444</v>
      </c>
      <c r="CH49" s="17" t="s">
        <v>66</v>
      </c>
      <c r="CI49" s="20" t="s">
        <v>2951</v>
      </c>
      <c r="CJ49" s="37">
        <v>0.12</v>
      </c>
      <c r="CK49" s="638">
        <f t="shared" si="23"/>
        <v>0.15355086372360843</v>
      </c>
      <c r="CL49" s="46" t="s">
        <v>46</v>
      </c>
      <c r="CM49" s="23" t="s">
        <v>2952</v>
      </c>
      <c r="CN49" s="17">
        <v>0.93</v>
      </c>
      <c r="CO49" s="660">
        <f t="shared" si="24"/>
        <v>1.1900191938579656</v>
      </c>
      <c r="CP49" s="17" t="s">
        <v>48</v>
      </c>
      <c r="CQ49" s="73" t="s">
        <v>2953</v>
      </c>
      <c r="CR49" s="37">
        <v>0.69</v>
      </c>
      <c r="CS49" s="436">
        <f t="shared" si="25"/>
        <v>0.88291746641074853</v>
      </c>
      <c r="CT49" s="21" t="s">
        <v>46</v>
      </c>
      <c r="CU49" s="23" t="s">
        <v>2954</v>
      </c>
      <c r="CV49" s="17">
        <v>1.01</v>
      </c>
      <c r="CW49" s="339">
        <f t="shared" si="26"/>
        <v>1.2923864363403712</v>
      </c>
      <c r="CX49" s="17" t="s">
        <v>46</v>
      </c>
      <c r="CY49" s="73" t="s">
        <v>2955</v>
      </c>
      <c r="CZ49" s="37">
        <v>0.64</v>
      </c>
      <c r="DA49" s="62">
        <f t="shared" si="27"/>
        <v>0.81893793985924512</v>
      </c>
      <c r="DB49" s="21" t="s">
        <v>108</v>
      </c>
      <c r="DC49" s="28"/>
      <c r="DD49" s="17">
        <v>0.82</v>
      </c>
      <c r="DE49" s="153">
        <f t="shared" si="28"/>
        <v>1.0492642354446577</v>
      </c>
      <c r="DF49" s="17" t="s">
        <v>108</v>
      </c>
      <c r="DG49" s="5"/>
      <c r="DH49" s="37">
        <v>0.79</v>
      </c>
      <c r="DI49" s="111">
        <f t="shared" si="29"/>
        <v>1.0108765195137557</v>
      </c>
      <c r="DJ49" s="21" t="s">
        <v>108</v>
      </c>
      <c r="DK49" s="28"/>
      <c r="DL49" s="17">
        <v>0.19</v>
      </c>
      <c r="DM49" s="676">
        <f t="shared" si="30"/>
        <v>0.24312220089571338</v>
      </c>
      <c r="DN49" s="17" t="s">
        <v>42</v>
      </c>
      <c r="DO49" s="51" t="s">
        <v>2956</v>
      </c>
      <c r="DP49" s="21">
        <v>1.02</v>
      </c>
      <c r="DQ49" s="529">
        <f t="shared" si="31"/>
        <v>1.3051823416506718</v>
      </c>
      <c r="DR49" s="53" t="s">
        <v>285</v>
      </c>
      <c r="DS49" s="54" t="s">
        <v>2957</v>
      </c>
      <c r="DT49" s="53">
        <v>0.51</v>
      </c>
      <c r="DU49" s="515">
        <f t="shared" si="32"/>
        <v>0.65259117082533591</v>
      </c>
      <c r="DV49" s="56" t="s">
        <v>108</v>
      </c>
      <c r="DW49" s="57" t="s">
        <v>2910</v>
      </c>
      <c r="DX49" s="53">
        <v>0.56999999999999995</v>
      </c>
      <c r="DY49" s="203">
        <f t="shared" si="33"/>
        <v>0.72936660268714004</v>
      </c>
      <c r="DZ49" s="53" t="s">
        <v>66</v>
      </c>
      <c r="EA49" s="54" t="s">
        <v>2958</v>
      </c>
      <c r="EB49" s="56">
        <v>0.51</v>
      </c>
      <c r="EC49" s="515">
        <f t="shared" si="34"/>
        <v>0.65259117082533591</v>
      </c>
      <c r="ED49" s="56" t="s">
        <v>108</v>
      </c>
      <c r="EE49" s="711"/>
      <c r="EF49" s="53">
        <v>0.45</v>
      </c>
      <c r="EG49" s="133">
        <f t="shared" si="35"/>
        <v>0.57581573896353166</v>
      </c>
      <c r="EH49" s="53" t="s">
        <v>108</v>
      </c>
      <c r="EI49" s="614"/>
      <c r="EJ49" s="53">
        <v>0.72</v>
      </c>
      <c r="EK49" s="110">
        <f t="shared" si="36"/>
        <v>0.92130518234165071</v>
      </c>
      <c r="EL49" s="56" t="s">
        <v>108</v>
      </c>
      <c r="EM49" s="711"/>
      <c r="EN49" s="53">
        <v>0.83</v>
      </c>
      <c r="EO49" s="334">
        <f t="shared" si="37"/>
        <v>1.0620601407549584</v>
      </c>
      <c r="EP49" s="53" t="s">
        <v>108</v>
      </c>
      <c r="EQ49" s="28"/>
      <c r="ER49" s="53">
        <v>0.74</v>
      </c>
      <c r="ES49" s="530">
        <f t="shared" si="38"/>
        <v>0.94689699296225205</v>
      </c>
      <c r="ET49" s="53" t="s">
        <v>70</v>
      </c>
      <c r="EU49" s="20" t="s">
        <v>2959</v>
      </c>
      <c r="EV49" s="53">
        <v>1.08</v>
      </c>
      <c r="EW49" s="390">
        <f t="shared" si="39"/>
        <v>1.3819577735124762</v>
      </c>
      <c r="EX49" s="21" t="s">
        <v>48</v>
      </c>
      <c r="EY49" s="57" t="s">
        <v>2960</v>
      </c>
      <c r="EZ49" s="53">
        <v>0.56000000000000005</v>
      </c>
      <c r="FA49" s="291">
        <f t="shared" si="40"/>
        <v>0.71657069737683954</v>
      </c>
      <c r="FB49" s="40"/>
      <c r="FC49" s="40"/>
      <c r="FD49" s="53">
        <v>0.74</v>
      </c>
      <c r="FE49" s="530">
        <f t="shared" si="41"/>
        <v>0.94689699296225205</v>
      </c>
      <c r="FF49" s="21" t="s">
        <v>108</v>
      </c>
      <c r="FG49" s="64"/>
      <c r="FH49" s="17">
        <v>1.19</v>
      </c>
      <c r="FI49" s="214">
        <f t="shared" si="42"/>
        <v>1.5227127319257838</v>
      </c>
      <c r="FJ49" s="17" t="s">
        <v>108</v>
      </c>
      <c r="FK49" s="51" t="s">
        <v>2961</v>
      </c>
      <c r="FL49" s="17">
        <v>0.75</v>
      </c>
      <c r="FM49" s="446">
        <f t="shared" si="43"/>
        <v>0.95969289827255277</v>
      </c>
      <c r="FN49" s="21" t="s">
        <v>2864</v>
      </c>
      <c r="FO49" s="51" t="s">
        <v>2962</v>
      </c>
      <c r="FP49" s="17">
        <v>0.54</v>
      </c>
      <c r="FQ49" s="354">
        <f t="shared" si="44"/>
        <v>0.69097888675623809</v>
      </c>
      <c r="FR49" s="17" t="s">
        <v>48</v>
      </c>
      <c r="FS49" s="51" t="s">
        <v>2963</v>
      </c>
      <c r="FT49" s="17">
        <v>0.96</v>
      </c>
      <c r="FU49" s="434">
        <f t="shared" si="45"/>
        <v>1.2284069097888675</v>
      </c>
      <c r="FV49" s="17" t="s">
        <v>108</v>
      </c>
      <c r="FW49" s="51" t="s">
        <v>2964</v>
      </c>
      <c r="FX49" s="17">
        <v>1.45</v>
      </c>
      <c r="FY49" s="460">
        <f t="shared" si="46"/>
        <v>1.855406269993602</v>
      </c>
      <c r="FZ49" s="17" t="s">
        <v>66</v>
      </c>
      <c r="GA49" s="51" t="s">
        <v>2965</v>
      </c>
      <c r="GB49" s="53">
        <v>0.79</v>
      </c>
      <c r="GC49" s="111">
        <f t="shared" si="47"/>
        <v>1.0108765195137557</v>
      </c>
      <c r="GD49" s="21" t="s">
        <v>42</v>
      </c>
      <c r="GE49" s="63"/>
      <c r="GF49" s="17">
        <v>0.98</v>
      </c>
      <c r="GG49" s="310">
        <f t="shared" si="48"/>
        <v>1.2539987204094689</v>
      </c>
      <c r="GH49" s="17" t="s">
        <v>66</v>
      </c>
      <c r="GI49" s="40"/>
      <c r="GJ49" s="17">
        <v>1.2</v>
      </c>
      <c r="GK49" s="373">
        <f t="shared" si="49"/>
        <v>1.5355086372360844</v>
      </c>
      <c r="GL49" s="17" t="s">
        <v>108</v>
      </c>
      <c r="GM49" s="274"/>
      <c r="GN49" s="17">
        <v>0.33</v>
      </c>
      <c r="GO49" s="396">
        <f t="shared" si="50"/>
        <v>0.42226487523992323</v>
      </c>
      <c r="GP49" s="17" t="s">
        <v>108</v>
      </c>
      <c r="GQ49" s="51" t="s">
        <v>2966</v>
      </c>
      <c r="GR49" s="17">
        <v>0.83</v>
      </c>
      <c r="GS49" s="334">
        <f t="shared" si="51"/>
        <v>1.0620601407549584</v>
      </c>
      <c r="GT49" s="17" t="s">
        <v>42</v>
      </c>
      <c r="GU49" s="51" t="s">
        <v>2967</v>
      </c>
      <c r="GV49" s="17">
        <v>0.89</v>
      </c>
      <c r="GW49" s="195">
        <f t="shared" si="52"/>
        <v>1.1388355726167627</v>
      </c>
      <c r="GX49" s="17" t="s">
        <v>108</v>
      </c>
      <c r="GY49" s="67" t="s">
        <v>2968</v>
      </c>
      <c r="GZ49" s="17">
        <v>0.67</v>
      </c>
      <c r="HA49" s="272">
        <f t="shared" si="53"/>
        <v>0.85732565579014719</v>
      </c>
      <c r="HB49" s="17" t="s">
        <v>108</v>
      </c>
      <c r="HC49" s="5"/>
      <c r="HD49" s="17">
        <v>0.8</v>
      </c>
      <c r="HE49" s="368">
        <f t="shared" si="54"/>
        <v>1.0236724248240563</v>
      </c>
      <c r="HF49" s="17" t="s">
        <v>108</v>
      </c>
      <c r="HG49" s="41"/>
      <c r="HH49" s="17">
        <v>0.86</v>
      </c>
      <c r="HI49" s="183">
        <f t="shared" si="55"/>
        <v>1.1004478566858606</v>
      </c>
      <c r="HJ49" s="17" t="s">
        <v>70</v>
      </c>
      <c r="HK49" s="20" t="s">
        <v>2969</v>
      </c>
      <c r="HL49" s="17">
        <v>0.86</v>
      </c>
      <c r="HM49" s="183">
        <f t="shared" si="56"/>
        <v>1.1004478566858606</v>
      </c>
      <c r="HN49" s="17" t="s">
        <v>108</v>
      </c>
      <c r="HO49" s="41"/>
      <c r="HP49" s="17">
        <v>0.68</v>
      </c>
      <c r="HQ49" s="282">
        <f t="shared" si="57"/>
        <v>0.87012156110044792</v>
      </c>
      <c r="HR49" s="17" t="s">
        <v>46</v>
      </c>
      <c r="HS49" s="73" t="s">
        <v>2970</v>
      </c>
      <c r="HT49" s="17">
        <v>0.95</v>
      </c>
      <c r="HU49" s="361">
        <f t="shared" si="58"/>
        <v>1.2156110044785668</v>
      </c>
      <c r="HV49" s="17" t="s">
        <v>42</v>
      </c>
      <c r="HW49" s="75" t="s">
        <v>2873</v>
      </c>
      <c r="HX49" s="17">
        <v>0.46</v>
      </c>
      <c r="HY49" s="147">
        <f t="shared" si="59"/>
        <v>0.58861164427383239</v>
      </c>
      <c r="HZ49" s="21" t="s">
        <v>46</v>
      </c>
      <c r="IA49" s="75" t="s">
        <v>2971</v>
      </c>
      <c r="IB49" s="17">
        <v>0.81</v>
      </c>
      <c r="IC49" s="601">
        <f t="shared" si="60"/>
        <v>1.0364683301343571</v>
      </c>
      <c r="ID49" s="17" t="s">
        <v>48</v>
      </c>
      <c r="IE49" s="51" t="s">
        <v>2972</v>
      </c>
      <c r="IF49" s="17">
        <v>0.4</v>
      </c>
      <c r="IG49" s="350">
        <f t="shared" si="61"/>
        <v>0.51183621241202815</v>
      </c>
      <c r="IH49" s="17" t="s">
        <v>42</v>
      </c>
      <c r="II49" s="51" t="s">
        <v>2973</v>
      </c>
      <c r="IJ49" s="17">
        <v>0.74</v>
      </c>
      <c r="IK49" s="530">
        <f t="shared" si="62"/>
        <v>0.94689699296225205</v>
      </c>
      <c r="IL49" s="17" t="s">
        <v>42</v>
      </c>
      <c r="IM49" s="51" t="s">
        <v>2974</v>
      </c>
      <c r="IN49" s="17">
        <v>0.61</v>
      </c>
      <c r="IO49" s="109">
        <f t="shared" si="63"/>
        <v>0.78055022392834295</v>
      </c>
      <c r="IP49" s="17" t="s">
        <v>42</v>
      </c>
      <c r="IQ49" s="51" t="s">
        <v>2975</v>
      </c>
      <c r="IR49" s="17">
        <v>0.88</v>
      </c>
      <c r="IS49" s="367">
        <f t="shared" si="64"/>
        <v>1.1260396673064619</v>
      </c>
      <c r="IT49" s="17" t="s">
        <v>48</v>
      </c>
      <c r="IU49" s="75" t="s">
        <v>2976</v>
      </c>
      <c r="IV49" s="17">
        <v>0.37</v>
      </c>
      <c r="IW49" s="592">
        <f t="shared" si="65"/>
        <v>0.47344849648112602</v>
      </c>
      <c r="IX49" s="17" t="s">
        <v>1697</v>
      </c>
      <c r="IY49" s="51" t="s">
        <v>2977</v>
      </c>
      <c r="IZ49" s="17">
        <v>0.95</v>
      </c>
      <c r="JA49" s="361">
        <f t="shared" si="66"/>
        <v>1.2156110044785668</v>
      </c>
      <c r="JB49" s="17" t="s">
        <v>66</v>
      </c>
      <c r="JC49" s="51" t="s">
        <v>2927</v>
      </c>
      <c r="JD49" s="17">
        <v>0.56999999999999995</v>
      </c>
      <c r="JE49" s="203">
        <f t="shared" si="67"/>
        <v>0.72936660268714004</v>
      </c>
      <c r="JF49" s="17" t="s">
        <v>108</v>
      </c>
      <c r="JG49" s="51" t="s">
        <v>2978</v>
      </c>
      <c r="JH49" s="17">
        <v>0.91</v>
      </c>
      <c r="JI49" s="311">
        <f t="shared" si="68"/>
        <v>1.1644273832373642</v>
      </c>
      <c r="JJ49" s="17" t="s">
        <v>42</v>
      </c>
      <c r="JK49" s="51" t="s">
        <v>2979</v>
      </c>
      <c r="JL49" s="21">
        <v>0.6</v>
      </c>
      <c r="JM49" s="202">
        <f t="shared" si="69"/>
        <v>0.76775431861804222</v>
      </c>
      <c r="JN49" s="21" t="s">
        <v>42</v>
      </c>
      <c r="JO49" s="75" t="s">
        <v>2980</v>
      </c>
      <c r="JP49" s="21">
        <v>0.65</v>
      </c>
      <c r="JQ49" s="514">
        <f t="shared" si="70"/>
        <v>0.83173384516954585</v>
      </c>
      <c r="JR49" s="21" t="s">
        <v>48</v>
      </c>
      <c r="JS49" s="51" t="s">
        <v>2981</v>
      </c>
      <c r="JT49" s="21">
        <v>0.7</v>
      </c>
      <c r="JU49" s="108">
        <f t="shared" si="71"/>
        <v>0.89571337172104926</v>
      </c>
      <c r="JV49" s="21" t="s">
        <v>48</v>
      </c>
      <c r="JW49" s="75" t="s">
        <v>2982</v>
      </c>
      <c r="JX49" s="17">
        <v>0.62</v>
      </c>
      <c r="JY49" s="31">
        <f t="shared" si="72"/>
        <v>0.79334612923864367</v>
      </c>
      <c r="JZ49" s="51" t="s">
        <v>110</v>
      </c>
      <c r="KA49" s="51" t="s">
        <v>2983</v>
      </c>
      <c r="KB49" s="21">
        <v>0.99</v>
      </c>
      <c r="KC49" s="261">
        <f t="shared" si="73"/>
        <v>1.2667946257197698</v>
      </c>
      <c r="KD49" s="75" t="s">
        <v>42</v>
      </c>
      <c r="KE49" s="75" t="s">
        <v>2984</v>
      </c>
      <c r="KF49" s="17">
        <v>0.78</v>
      </c>
      <c r="KG49" s="231">
        <f t="shared" si="74"/>
        <v>0.99808061420345495</v>
      </c>
      <c r="KH49" s="51" t="s">
        <v>48</v>
      </c>
      <c r="KI49" s="51" t="s">
        <v>2935</v>
      </c>
      <c r="KJ49" s="21">
        <v>0.47</v>
      </c>
      <c r="KK49" s="39">
        <f t="shared" si="75"/>
        <v>0.60140754958413312</v>
      </c>
      <c r="KL49" s="75" t="s">
        <v>48</v>
      </c>
      <c r="KM49" s="75" t="s">
        <v>2985</v>
      </c>
      <c r="KN49" s="17">
        <v>1.01</v>
      </c>
      <c r="KO49" s="339">
        <f t="shared" si="76"/>
        <v>1.2923864363403712</v>
      </c>
      <c r="KP49" s="51" t="s">
        <v>414</v>
      </c>
      <c r="KQ49" s="51" t="s">
        <v>2937</v>
      </c>
      <c r="KR49" s="21">
        <v>0.86</v>
      </c>
      <c r="KS49" s="183">
        <f t="shared" si="77"/>
        <v>1.1004478566858606</v>
      </c>
      <c r="KT49" s="75" t="s">
        <v>42</v>
      </c>
      <c r="KU49" s="75" t="s">
        <v>2986</v>
      </c>
      <c r="KV49" s="82">
        <v>0.8</v>
      </c>
      <c r="KW49" s="368">
        <f t="shared" si="78"/>
        <v>1.0236724248240563</v>
      </c>
      <c r="KX49" s="51" t="s">
        <v>48</v>
      </c>
      <c r="KY49" s="51" t="s">
        <v>2987</v>
      </c>
      <c r="KZ49" s="83">
        <v>0.53</v>
      </c>
      <c r="LA49" s="162">
        <f t="shared" si="79"/>
        <v>0.67818298144593736</v>
      </c>
      <c r="LB49" s="75" t="s">
        <v>48</v>
      </c>
      <c r="LC49" s="75" t="s">
        <v>2940</v>
      </c>
      <c r="LD49" s="82">
        <v>0.88</v>
      </c>
      <c r="LE49" s="367">
        <f t="shared" si="80"/>
        <v>1.1260396673064619</v>
      </c>
      <c r="LF49" s="51" t="s">
        <v>42</v>
      </c>
      <c r="LG49" s="51" t="s">
        <v>2988</v>
      </c>
      <c r="LH49" s="83">
        <v>0.86</v>
      </c>
      <c r="LI49" s="84"/>
      <c r="LJ49" s="85"/>
      <c r="LK49" s="85"/>
      <c r="LL49" s="86">
        <f t="shared" si="81"/>
        <v>0.78506329113924045</v>
      </c>
      <c r="LM49" s="86">
        <f t="shared" si="82"/>
        <v>0.63689132537891002</v>
      </c>
      <c r="LN49" s="86">
        <f t="shared" si="90"/>
        <v>0.9899054088509448</v>
      </c>
      <c r="LO49" s="86">
        <f t="shared" si="94"/>
        <v>0.75350289170384022</v>
      </c>
      <c r="LP49" s="86">
        <f t="shared" si="95"/>
        <v>-0.15292317663497867</v>
      </c>
      <c r="LQ49" s="87">
        <f t="shared" si="96"/>
        <v>1</v>
      </c>
      <c r="LR49" s="86">
        <f t="shared" si="97"/>
        <v>0.72516776170410968</v>
      </c>
      <c r="LS49" s="84">
        <v>1</v>
      </c>
      <c r="LT49" s="87">
        <f t="shared" si="100"/>
        <v>1</v>
      </c>
      <c r="LU49" s="87">
        <f t="shared" si="92"/>
        <v>1</v>
      </c>
      <c r="LV49" s="86">
        <f t="shared" si="98"/>
        <v>0.92</v>
      </c>
      <c r="LW49" s="88" t="s">
        <v>3807</v>
      </c>
      <c r="LX49" s="89" t="str">
        <f t="shared" si="87"/>
        <v>—</v>
      </c>
      <c r="LY49" s="89" t="str">
        <f t="shared" si="102"/>
        <v>Queda severa — voltar ao que deu certo</v>
      </c>
      <c r="LZ49" s="5"/>
      <c r="MA49" s="67" t="str">
        <f t="shared" si="99"/>
        <v>BOTAFOGO</v>
      </c>
      <c r="MB49" s="89" t="s">
        <v>3808</v>
      </c>
    </row>
    <row r="50" spans="1:340" x14ac:dyDescent="0.2">
      <c r="A50" s="16">
        <v>0.78263888888888888</v>
      </c>
      <c r="B50" s="729">
        <f t="shared" si="0"/>
        <v>0.77663128550389204</v>
      </c>
      <c r="C50" s="730">
        <f t="shared" si="1"/>
        <v>-0.27893710895684276</v>
      </c>
      <c r="D50" s="17">
        <v>0.56000000000000005</v>
      </c>
      <c r="E50" s="74">
        <f t="shared" si="2"/>
        <v>0.72106289104315724</v>
      </c>
      <c r="F50" s="17" t="s">
        <v>48</v>
      </c>
      <c r="G50" s="20" t="s">
        <v>2989</v>
      </c>
      <c r="H50" s="21">
        <v>0.8</v>
      </c>
      <c r="I50" s="731">
        <f t="shared" si="3"/>
        <v>1.0300898443473674</v>
      </c>
      <c r="J50" s="21" t="s">
        <v>108</v>
      </c>
      <c r="K50" s="28"/>
      <c r="L50" s="17">
        <v>1.1599999999999999</v>
      </c>
      <c r="M50" s="114">
        <f t="shared" si="4"/>
        <v>1.4936302743036827</v>
      </c>
      <c r="N50" s="17" t="s">
        <v>108</v>
      </c>
      <c r="O50" s="41"/>
      <c r="P50" s="21">
        <v>0.86</v>
      </c>
      <c r="Q50" s="474">
        <f t="shared" si="5"/>
        <v>1.1073465826734199</v>
      </c>
      <c r="R50" s="21" t="s">
        <v>108</v>
      </c>
      <c r="S50" s="23" t="s">
        <v>2990</v>
      </c>
      <c r="T50" s="17">
        <v>0.72</v>
      </c>
      <c r="U50" s="652">
        <f t="shared" si="6"/>
        <v>0.92708085991263067</v>
      </c>
      <c r="V50" s="17" t="s">
        <v>108</v>
      </c>
      <c r="W50" s="5"/>
      <c r="X50" s="21">
        <v>1.1299999999999999</v>
      </c>
      <c r="Y50" s="453">
        <f t="shared" si="7"/>
        <v>1.4550019051406562</v>
      </c>
      <c r="Z50" s="21" t="s">
        <v>108</v>
      </c>
      <c r="AA50" s="28"/>
      <c r="AB50" s="17">
        <v>0.8</v>
      </c>
      <c r="AC50" s="731">
        <f t="shared" si="8"/>
        <v>1.0300898443473674</v>
      </c>
      <c r="AD50" s="17" t="s">
        <v>48</v>
      </c>
      <c r="AE50" s="20" t="s">
        <v>2991</v>
      </c>
      <c r="AF50" s="21">
        <v>1.02</v>
      </c>
      <c r="AG50" s="459">
        <f t="shared" si="9"/>
        <v>1.3133645515428936</v>
      </c>
      <c r="AH50" s="21" t="s">
        <v>66</v>
      </c>
      <c r="AI50" s="23" t="s">
        <v>2992</v>
      </c>
      <c r="AJ50" s="17">
        <v>0.96</v>
      </c>
      <c r="AK50" s="486">
        <f t="shared" si="10"/>
        <v>1.2361078132168408</v>
      </c>
      <c r="AL50" s="17" t="s">
        <v>48</v>
      </c>
      <c r="AM50" s="20" t="s">
        <v>2993</v>
      </c>
      <c r="AN50" s="21">
        <v>0.94</v>
      </c>
      <c r="AO50" s="625">
        <f t="shared" si="11"/>
        <v>1.2103555671081565</v>
      </c>
      <c r="AP50" s="21" t="s">
        <v>46</v>
      </c>
      <c r="AQ50" s="23" t="s">
        <v>2994</v>
      </c>
      <c r="AR50" s="17">
        <v>0.78</v>
      </c>
      <c r="AS50" s="17">
        <f t="shared" si="12"/>
        <v>1.0043375982386833</v>
      </c>
      <c r="AT50" s="17" t="s">
        <v>108</v>
      </c>
      <c r="AU50" s="5"/>
      <c r="AV50" s="21">
        <v>1.1399999999999999</v>
      </c>
      <c r="AW50" s="371">
        <f t="shared" si="13"/>
        <v>1.4678780281949984</v>
      </c>
      <c r="AX50" s="21" t="s">
        <v>42</v>
      </c>
      <c r="AY50" s="23" t="s">
        <v>2995</v>
      </c>
      <c r="AZ50" s="17">
        <v>0.89</v>
      </c>
      <c r="BA50" s="732">
        <f t="shared" si="14"/>
        <v>1.1459749518364462</v>
      </c>
      <c r="BB50" s="17" t="s">
        <v>108</v>
      </c>
      <c r="BC50" s="41"/>
      <c r="BD50" s="17">
        <v>1.1000000000000001</v>
      </c>
      <c r="BE50" s="308">
        <f t="shared" si="15"/>
        <v>1.4163735359776304</v>
      </c>
      <c r="BF50" s="17" t="s">
        <v>108</v>
      </c>
      <c r="BG50" s="41"/>
      <c r="BH50" s="37">
        <v>1.41</v>
      </c>
      <c r="BI50" s="264">
        <f t="shared" si="16"/>
        <v>1.8155333506622349</v>
      </c>
      <c r="BJ50" s="37" t="s">
        <v>42</v>
      </c>
      <c r="BK50" s="38" t="s">
        <v>2996</v>
      </c>
      <c r="BL50" s="17">
        <v>0.74</v>
      </c>
      <c r="BM50" s="37">
        <f t="shared" si="17"/>
        <v>0.95283310602131488</v>
      </c>
      <c r="BN50" s="17" t="s">
        <v>108</v>
      </c>
      <c r="BO50" s="40"/>
      <c r="BP50" s="17">
        <v>0.44</v>
      </c>
      <c r="BQ50" s="269">
        <f t="shared" si="18"/>
        <v>0.56654941439105211</v>
      </c>
      <c r="BR50" s="40"/>
      <c r="BS50" s="41"/>
      <c r="BT50" s="37">
        <v>0.73</v>
      </c>
      <c r="BU50" s="155">
        <f t="shared" si="19"/>
        <v>0.93995698296697272</v>
      </c>
      <c r="BV50" s="46" t="s">
        <v>108</v>
      </c>
      <c r="BW50" s="23" t="s">
        <v>2997</v>
      </c>
      <c r="BX50" s="17">
        <v>0.62</v>
      </c>
      <c r="BY50" s="491">
        <f t="shared" si="20"/>
        <v>0.79831962936920975</v>
      </c>
      <c r="BZ50" s="17" t="s">
        <v>46</v>
      </c>
      <c r="CA50" s="20" t="s">
        <v>2998</v>
      </c>
      <c r="CB50" s="37">
        <v>0.77</v>
      </c>
      <c r="CC50" s="122">
        <f t="shared" si="21"/>
        <v>0.99146147518434113</v>
      </c>
      <c r="CD50" s="46" t="s">
        <v>108</v>
      </c>
      <c r="CE50" s="28"/>
      <c r="CF50" s="17">
        <v>0.56999999999999995</v>
      </c>
      <c r="CG50" s="92">
        <f t="shared" si="22"/>
        <v>0.73393901409749918</v>
      </c>
      <c r="CH50" s="17" t="s">
        <v>66</v>
      </c>
      <c r="CI50" s="20" t="s">
        <v>2999</v>
      </c>
      <c r="CJ50" s="37">
        <v>0.12</v>
      </c>
      <c r="CK50" s="638">
        <f t="shared" si="23"/>
        <v>0.1545134766521051</v>
      </c>
      <c r="CL50" s="46" t="s">
        <v>46</v>
      </c>
      <c r="CM50" s="23" t="s">
        <v>3000</v>
      </c>
      <c r="CN50" s="17">
        <v>0.94</v>
      </c>
      <c r="CO50" s="625">
        <f t="shared" si="24"/>
        <v>1.2103555671081565</v>
      </c>
      <c r="CP50" s="17" t="s">
        <v>46</v>
      </c>
      <c r="CQ50" s="73" t="s">
        <v>3001</v>
      </c>
      <c r="CR50" s="37">
        <v>0.6</v>
      </c>
      <c r="CS50" s="217">
        <f t="shared" si="25"/>
        <v>0.77256738326052554</v>
      </c>
      <c r="CT50" s="21" t="s">
        <v>46</v>
      </c>
      <c r="CU50" s="23" t="s">
        <v>3002</v>
      </c>
      <c r="CV50" s="17">
        <v>0.89</v>
      </c>
      <c r="CW50" s="732">
        <f t="shared" si="26"/>
        <v>1.1459749518364462</v>
      </c>
      <c r="CX50" s="17" t="s">
        <v>46</v>
      </c>
      <c r="CY50" s="73" t="s">
        <v>3003</v>
      </c>
      <c r="CZ50" s="37">
        <v>0.44</v>
      </c>
      <c r="DA50" s="269">
        <f t="shared" si="27"/>
        <v>0.56654941439105211</v>
      </c>
      <c r="DB50" s="21" t="s">
        <v>108</v>
      </c>
      <c r="DC50" s="28"/>
      <c r="DD50" s="17">
        <v>0.82</v>
      </c>
      <c r="DE50" s="71">
        <f t="shared" si="28"/>
        <v>1.0558420904560515</v>
      </c>
      <c r="DF50" s="17" t="s">
        <v>108</v>
      </c>
      <c r="DG50" s="5"/>
      <c r="DH50" s="37">
        <v>0.79</v>
      </c>
      <c r="DI50" s="200">
        <f t="shared" si="29"/>
        <v>1.0172137212930255</v>
      </c>
      <c r="DJ50" s="21" t="s">
        <v>108</v>
      </c>
      <c r="DK50" s="28"/>
      <c r="DL50" s="17">
        <v>0.13</v>
      </c>
      <c r="DM50" s="733">
        <f t="shared" si="30"/>
        <v>0.16738959970644721</v>
      </c>
      <c r="DN50" s="17" t="s">
        <v>42</v>
      </c>
      <c r="DO50" s="51" t="s">
        <v>3004</v>
      </c>
      <c r="DP50" s="21">
        <v>1.02</v>
      </c>
      <c r="DQ50" s="459">
        <f t="shared" si="31"/>
        <v>1.3133645515428936</v>
      </c>
      <c r="DR50" s="53" t="s">
        <v>108</v>
      </c>
      <c r="DS50" s="64"/>
      <c r="DT50" s="53">
        <v>0.51</v>
      </c>
      <c r="DU50" s="163">
        <f t="shared" si="32"/>
        <v>0.65668227577144678</v>
      </c>
      <c r="DV50" s="56" t="s">
        <v>48</v>
      </c>
      <c r="DW50" s="57" t="s">
        <v>2958</v>
      </c>
      <c r="DX50" s="53">
        <v>0.64</v>
      </c>
      <c r="DY50" s="629">
        <f t="shared" si="33"/>
        <v>0.82407187547789396</v>
      </c>
      <c r="DZ50" s="53" t="s">
        <v>66</v>
      </c>
      <c r="EA50" s="54" t="s">
        <v>3005</v>
      </c>
      <c r="EB50" s="56">
        <v>0.44</v>
      </c>
      <c r="EC50" s="269">
        <f t="shared" si="34"/>
        <v>0.56654941439105211</v>
      </c>
      <c r="ED50" s="56" t="s">
        <v>108</v>
      </c>
      <c r="EE50" s="711"/>
      <c r="EF50" s="53">
        <v>0.45</v>
      </c>
      <c r="EG50" s="72">
        <f t="shared" si="35"/>
        <v>0.57942553744539416</v>
      </c>
      <c r="EH50" s="53" t="s">
        <v>108</v>
      </c>
      <c r="EI50" s="614"/>
      <c r="EJ50" s="53">
        <v>0.78</v>
      </c>
      <c r="EK50" s="17">
        <f t="shared" si="36"/>
        <v>1.0043375982386833</v>
      </c>
      <c r="EL50" s="56" t="s">
        <v>108</v>
      </c>
      <c r="EM50" s="711"/>
      <c r="EN50" s="53">
        <v>0.89</v>
      </c>
      <c r="EO50" s="732">
        <f t="shared" si="37"/>
        <v>1.1459749518364462</v>
      </c>
      <c r="EP50" s="53" t="s">
        <v>108</v>
      </c>
      <c r="EQ50" s="28"/>
      <c r="ER50" s="53">
        <v>0.81</v>
      </c>
      <c r="ES50" s="364">
        <f t="shared" si="38"/>
        <v>1.0429659674017095</v>
      </c>
      <c r="ET50" s="53" t="s">
        <v>70</v>
      </c>
      <c r="EU50" s="20" t="s">
        <v>3006</v>
      </c>
      <c r="EV50" s="53">
        <v>1.08</v>
      </c>
      <c r="EW50" s="604">
        <f t="shared" si="39"/>
        <v>1.3906212898689461</v>
      </c>
      <c r="EX50" s="21" t="s">
        <v>48</v>
      </c>
      <c r="EY50" s="57" t="s">
        <v>3007</v>
      </c>
      <c r="EZ50" s="53">
        <v>0.63</v>
      </c>
      <c r="FA50" s="159">
        <f t="shared" si="40"/>
        <v>0.8111957524235518</v>
      </c>
      <c r="FB50" s="40"/>
      <c r="FC50" s="40"/>
      <c r="FD50" s="53">
        <f>(FH50+FL50+FP50+FT50+FX50+GB50+GF50+GJ50+GN50+GR50+GV50+GZ50+HD50+HH50+HL50+HP50+HT50+HX50+IB50+IF50+IJ50+IN50+IR50+IV50+IZ50+JD50+JH50+JL50+JP50+JT50+JX50+KB50+KF50+KJ50+KN50+KR50+KV50+KZ50+LD50+LH50)/40*(AVERAGE(FD47:FD49)/AVERAGE(B47:B49))</f>
        <v>0.73050284031138202</v>
      </c>
      <c r="FE50" s="155">
        <f t="shared" si="41"/>
        <v>0.94060444633957663</v>
      </c>
      <c r="FF50" s="21" t="s">
        <v>1620</v>
      </c>
      <c r="FG50" s="64"/>
      <c r="FH50" s="17">
        <v>1.19</v>
      </c>
      <c r="FI50" s="493">
        <f t="shared" si="42"/>
        <v>1.5322586434667089</v>
      </c>
      <c r="FJ50" s="17" t="s">
        <v>108</v>
      </c>
      <c r="FK50" s="51" t="s">
        <v>3008</v>
      </c>
      <c r="FL50" s="17">
        <v>0.8</v>
      </c>
      <c r="FM50" s="731">
        <f t="shared" si="43"/>
        <v>1.0300898443473674</v>
      </c>
      <c r="FN50" s="21" t="s">
        <v>108</v>
      </c>
      <c r="FO50" s="274"/>
      <c r="FP50" s="17">
        <v>0.54</v>
      </c>
      <c r="FQ50" s="69">
        <f t="shared" si="44"/>
        <v>0.69531064493447303</v>
      </c>
      <c r="FR50" s="17" t="s">
        <v>48</v>
      </c>
      <c r="FS50" s="51" t="s">
        <v>3009</v>
      </c>
      <c r="FT50" s="17">
        <v>0.76</v>
      </c>
      <c r="FU50" s="389">
        <f t="shared" si="45"/>
        <v>0.97858535212999909</v>
      </c>
      <c r="FV50" s="17" t="s">
        <v>108</v>
      </c>
      <c r="FW50" s="51" t="s">
        <v>3010</v>
      </c>
      <c r="FX50" s="17">
        <v>1.38</v>
      </c>
      <c r="FY50" s="319">
        <f t="shared" si="46"/>
        <v>1.7769049814992086</v>
      </c>
      <c r="FZ50" s="17" t="s">
        <v>66</v>
      </c>
      <c r="GA50" s="51" t="s">
        <v>3011</v>
      </c>
      <c r="GB50" s="53">
        <v>0.73</v>
      </c>
      <c r="GC50" s="155">
        <f t="shared" si="47"/>
        <v>0.93995698296697272</v>
      </c>
      <c r="GD50" s="21" t="s">
        <v>42</v>
      </c>
      <c r="GE50" s="63"/>
      <c r="GF50" s="17">
        <v>0.92</v>
      </c>
      <c r="GG50" s="326">
        <f t="shared" si="48"/>
        <v>1.1846033209994726</v>
      </c>
      <c r="GH50" s="17" t="s">
        <v>66</v>
      </c>
      <c r="GI50" s="40"/>
      <c r="GJ50" s="17">
        <v>1.1399999999999999</v>
      </c>
      <c r="GK50" s="371">
        <f t="shared" si="49"/>
        <v>1.4678780281949984</v>
      </c>
      <c r="GL50" s="17" t="s">
        <v>108</v>
      </c>
      <c r="GM50" s="274"/>
      <c r="GN50" s="17">
        <v>0.39</v>
      </c>
      <c r="GO50" s="68">
        <f t="shared" si="50"/>
        <v>0.50216879911934165</v>
      </c>
      <c r="GP50" s="17" t="s">
        <v>108</v>
      </c>
      <c r="GQ50" s="51" t="s">
        <v>3012</v>
      </c>
      <c r="GR50" s="17">
        <v>0.89</v>
      </c>
      <c r="GS50" s="732">
        <f t="shared" si="51"/>
        <v>1.1459749518364462</v>
      </c>
      <c r="GT50" s="17" t="s">
        <v>108</v>
      </c>
      <c r="GU50" s="40"/>
      <c r="GV50" s="17">
        <v>1.01</v>
      </c>
      <c r="GW50" s="716">
        <f t="shared" si="52"/>
        <v>1.3004884284885514</v>
      </c>
      <c r="GX50" s="17" t="s">
        <v>46</v>
      </c>
      <c r="GY50" s="73" t="s">
        <v>3013</v>
      </c>
      <c r="GZ50" s="17">
        <v>0.46</v>
      </c>
      <c r="HA50" s="494">
        <f t="shared" si="53"/>
        <v>0.59230166049973632</v>
      </c>
      <c r="HB50" s="17" t="s">
        <v>42</v>
      </c>
      <c r="HC50" s="20" t="s">
        <v>3014</v>
      </c>
      <c r="HD50" s="17">
        <v>0.8</v>
      </c>
      <c r="HE50" s="731">
        <f t="shared" si="54"/>
        <v>1.0300898443473674</v>
      </c>
      <c r="HF50" s="17" t="s">
        <v>42</v>
      </c>
      <c r="HG50" s="20" t="s">
        <v>3015</v>
      </c>
      <c r="HH50" s="17">
        <v>0.86</v>
      </c>
      <c r="HI50" s="474">
        <f t="shared" si="55"/>
        <v>1.1073465826734199</v>
      </c>
      <c r="HJ50" s="17" t="s">
        <v>70</v>
      </c>
      <c r="HK50" s="20" t="s">
        <v>3016</v>
      </c>
      <c r="HL50" s="17">
        <v>0.86</v>
      </c>
      <c r="HM50" s="474">
        <f t="shared" si="56"/>
        <v>1.1073465826734199</v>
      </c>
      <c r="HN50" s="17" t="s">
        <v>108</v>
      </c>
      <c r="HO50" s="41"/>
      <c r="HP50" s="17">
        <v>0.62</v>
      </c>
      <c r="HQ50" s="491">
        <f t="shared" si="57"/>
        <v>0.79831962936920975</v>
      </c>
      <c r="HR50" s="17" t="s">
        <v>46</v>
      </c>
      <c r="HS50" s="73" t="s">
        <v>3017</v>
      </c>
      <c r="HT50" s="17">
        <v>1.01</v>
      </c>
      <c r="HU50" s="716">
        <f t="shared" si="58"/>
        <v>1.3004884284885514</v>
      </c>
      <c r="HV50" s="17" t="s">
        <v>48</v>
      </c>
      <c r="HW50" s="75" t="s">
        <v>3018</v>
      </c>
      <c r="HX50" s="17">
        <v>0.53</v>
      </c>
      <c r="HY50" s="188">
        <f t="shared" si="59"/>
        <v>0.68243452188013098</v>
      </c>
      <c r="HZ50" s="21" t="s">
        <v>46</v>
      </c>
      <c r="IA50" s="75" t="s">
        <v>3019</v>
      </c>
      <c r="IB50" s="17">
        <v>0.96</v>
      </c>
      <c r="IC50" s="486">
        <f t="shared" si="60"/>
        <v>1.2361078132168408</v>
      </c>
      <c r="ID50" s="17" t="s">
        <v>48</v>
      </c>
      <c r="IE50" s="51" t="s">
        <v>3020</v>
      </c>
      <c r="IF50" s="17">
        <v>0.4</v>
      </c>
      <c r="IG50" s="509">
        <f t="shared" si="61"/>
        <v>0.51504492217368369</v>
      </c>
      <c r="IH50" s="17" t="s">
        <v>42</v>
      </c>
      <c r="II50" s="67" t="s">
        <v>3021</v>
      </c>
      <c r="IJ50" s="17">
        <v>0.74</v>
      </c>
      <c r="IK50" s="37">
        <f t="shared" si="62"/>
        <v>0.95283310602131488</v>
      </c>
      <c r="IL50" s="17" t="s">
        <v>42</v>
      </c>
      <c r="IM50" s="51" t="s">
        <v>3022</v>
      </c>
      <c r="IN50" s="17">
        <v>0.61</v>
      </c>
      <c r="IO50" s="174">
        <f t="shared" si="63"/>
        <v>0.78544350631486759</v>
      </c>
      <c r="IP50" s="17" t="s">
        <v>42</v>
      </c>
      <c r="IQ50" s="51" t="s">
        <v>3023</v>
      </c>
      <c r="IR50" s="17">
        <v>0.94</v>
      </c>
      <c r="IS50" s="625">
        <f t="shared" si="64"/>
        <v>1.2103555671081565</v>
      </c>
      <c r="IT50" s="17" t="s">
        <v>48</v>
      </c>
      <c r="IU50" s="75" t="s">
        <v>3024</v>
      </c>
      <c r="IV50" s="17">
        <v>0.46</v>
      </c>
      <c r="IW50" s="494">
        <f t="shared" si="65"/>
        <v>0.59230166049973632</v>
      </c>
      <c r="IX50" s="17" t="s">
        <v>48</v>
      </c>
      <c r="IY50" s="51" t="s">
        <v>3025</v>
      </c>
      <c r="IZ50" s="17">
        <v>0.95</v>
      </c>
      <c r="JA50" s="48">
        <f t="shared" si="66"/>
        <v>1.2232316901624987</v>
      </c>
      <c r="JB50" s="17" t="s">
        <v>66</v>
      </c>
      <c r="JC50" s="51" t="s">
        <v>3026</v>
      </c>
      <c r="JD50" s="17">
        <v>0.61</v>
      </c>
      <c r="JE50" s="174">
        <f t="shared" si="67"/>
        <v>0.78544350631486759</v>
      </c>
      <c r="JF50" s="17" t="s">
        <v>108</v>
      </c>
      <c r="JG50" s="51" t="s">
        <v>3027</v>
      </c>
      <c r="JH50" s="17">
        <v>0.9</v>
      </c>
      <c r="JI50" s="230">
        <f t="shared" si="68"/>
        <v>1.1588510748907883</v>
      </c>
      <c r="JJ50" s="17" t="s">
        <v>42</v>
      </c>
      <c r="JK50" s="51" t="s">
        <v>3028</v>
      </c>
      <c r="JL50" s="21">
        <v>0.6</v>
      </c>
      <c r="JM50" s="217">
        <f t="shared" si="69"/>
        <v>0.77256738326052554</v>
      </c>
      <c r="JN50" s="21" t="s">
        <v>42</v>
      </c>
      <c r="JO50" s="75" t="s">
        <v>3029</v>
      </c>
      <c r="JP50" s="21">
        <v>0.65</v>
      </c>
      <c r="JQ50" s="415">
        <f t="shared" si="70"/>
        <v>0.836947998532236</v>
      </c>
      <c r="JR50" s="21" t="s">
        <v>48</v>
      </c>
      <c r="JS50" s="51" t="s">
        <v>3030</v>
      </c>
      <c r="JT50" s="21">
        <v>0.7</v>
      </c>
      <c r="JU50" s="478">
        <f t="shared" si="71"/>
        <v>0.90132861380394635</v>
      </c>
      <c r="JV50" s="21" t="s">
        <v>48</v>
      </c>
      <c r="JW50" s="75" t="s">
        <v>3031</v>
      </c>
      <c r="JX50" s="17">
        <v>0.62</v>
      </c>
      <c r="JY50" s="491">
        <f t="shared" si="72"/>
        <v>0.79831962936920975</v>
      </c>
      <c r="JZ50" s="51" t="s">
        <v>70</v>
      </c>
      <c r="KA50" s="51" t="s">
        <v>3032</v>
      </c>
      <c r="KB50" s="21">
        <v>1.06</v>
      </c>
      <c r="KC50" s="341">
        <f t="shared" si="73"/>
        <v>1.364869043760262</v>
      </c>
      <c r="KD50" s="75" t="s">
        <v>42</v>
      </c>
      <c r="KE50" s="75" t="s">
        <v>3033</v>
      </c>
      <c r="KF50" s="17">
        <v>0.78</v>
      </c>
      <c r="KG50" s="17">
        <f t="shared" si="74"/>
        <v>1.0043375982386833</v>
      </c>
      <c r="KH50" s="51" t="s">
        <v>48</v>
      </c>
      <c r="KI50" s="51" t="s">
        <v>3034</v>
      </c>
      <c r="KJ50" s="21">
        <v>0.47</v>
      </c>
      <c r="KK50" s="247">
        <f t="shared" si="75"/>
        <v>0.60517778355407825</v>
      </c>
      <c r="KL50" s="75" t="s">
        <v>48</v>
      </c>
      <c r="KM50" s="75" t="s">
        <v>3035</v>
      </c>
      <c r="KN50" s="17">
        <v>1.01</v>
      </c>
      <c r="KO50" s="716">
        <f t="shared" si="76"/>
        <v>1.3004884284885514</v>
      </c>
      <c r="KP50" s="51" t="s">
        <v>48</v>
      </c>
      <c r="KQ50" s="51" t="s">
        <v>3036</v>
      </c>
      <c r="KR50" s="21">
        <v>0.93</v>
      </c>
      <c r="KS50" s="386">
        <f t="shared" si="77"/>
        <v>1.1974794440538146</v>
      </c>
      <c r="KT50" s="75" t="s">
        <v>42</v>
      </c>
      <c r="KU50" s="75" t="s">
        <v>3037</v>
      </c>
      <c r="KV50" s="82">
        <v>0.73</v>
      </c>
      <c r="KW50" s="155">
        <f t="shared" si="78"/>
        <v>0.93995698296697272</v>
      </c>
      <c r="KX50" s="51" t="s">
        <v>48</v>
      </c>
      <c r="KY50" s="51" t="s">
        <v>3038</v>
      </c>
      <c r="KZ50" s="83">
        <v>0.53</v>
      </c>
      <c r="LA50" s="188">
        <f t="shared" si="79"/>
        <v>0.68243452188013098</v>
      </c>
      <c r="LB50" s="75" t="s">
        <v>108</v>
      </c>
      <c r="LC50" s="75" t="s">
        <v>3039</v>
      </c>
      <c r="LD50" s="82">
        <v>0.83</v>
      </c>
      <c r="LE50" s="404">
        <f t="shared" si="80"/>
        <v>1.0687182135103936</v>
      </c>
      <c r="LF50" s="51" t="s">
        <v>179</v>
      </c>
      <c r="LG50" s="51" t="s">
        <v>3040</v>
      </c>
      <c r="LH50" s="83">
        <v>0.91</v>
      </c>
      <c r="LI50" s="84"/>
      <c r="LJ50" s="85"/>
      <c r="LK50" s="85"/>
      <c r="LL50" s="86">
        <f t="shared" si="81"/>
        <v>0.77937345367482747</v>
      </c>
      <c r="LM50" s="86">
        <f t="shared" si="82"/>
        <v>0.71852588429788233</v>
      </c>
      <c r="LN50" s="86">
        <f t="shared" si="90"/>
        <v>0.98239447090473131</v>
      </c>
      <c r="LO50" s="86">
        <f t="shared" si="94"/>
        <v>0.68350255988086639</v>
      </c>
      <c r="LP50" s="86">
        <f t="shared" si="95"/>
        <v>-0.13639569703978272</v>
      </c>
      <c r="LQ50" s="87">
        <f t="shared" si="96"/>
        <v>1</v>
      </c>
      <c r="LR50" s="86">
        <f t="shared" si="97"/>
        <v>0.65821018155139899</v>
      </c>
      <c r="LS50" s="84">
        <v>1</v>
      </c>
      <c r="LT50" s="87">
        <f t="shared" si="100"/>
        <v>1</v>
      </c>
      <c r="LU50" s="87">
        <f t="shared" si="92"/>
        <v>1</v>
      </c>
      <c r="LV50" s="86">
        <f t="shared" si="98"/>
        <v>0.92</v>
      </c>
      <c r="LW50" s="88" t="s">
        <v>3807</v>
      </c>
      <c r="LX50" s="89" t="str">
        <f t="shared" si="87"/>
        <v>—</v>
      </c>
      <c r="LY50" s="89" t="str">
        <f t="shared" si="102"/>
        <v>Queda severa — voltar ao que deu certo</v>
      </c>
      <c r="LZ50" s="5"/>
      <c r="MA50" s="67" t="str">
        <f t="shared" si="99"/>
        <v>PALMEIRAS</v>
      </c>
      <c r="MB50" s="89" t="s">
        <v>3808</v>
      </c>
    </row>
    <row r="51" spans="1:340" x14ac:dyDescent="0.2">
      <c r="A51" s="16">
        <v>0.78333333333333333</v>
      </c>
      <c r="B51" s="734">
        <f t="shared" si="0"/>
        <v>0.76274999999999993</v>
      </c>
      <c r="C51" s="628">
        <f t="shared" si="1"/>
        <v>-0.17404129793510315</v>
      </c>
      <c r="D51" s="17">
        <v>0.63</v>
      </c>
      <c r="E51" s="629">
        <f t="shared" si="2"/>
        <v>0.82595870206489685</v>
      </c>
      <c r="F51" s="17" t="s">
        <v>48</v>
      </c>
      <c r="G51" s="20" t="s">
        <v>3041</v>
      </c>
      <c r="H51" s="21">
        <v>0.8</v>
      </c>
      <c r="I51" s="153">
        <f t="shared" si="3"/>
        <v>1.0488364470665357</v>
      </c>
      <c r="J51" s="21" t="s">
        <v>46</v>
      </c>
      <c r="K51" s="23" t="s">
        <v>3042</v>
      </c>
      <c r="L51" s="17">
        <v>1.03</v>
      </c>
      <c r="M51" s="613">
        <f t="shared" si="4"/>
        <v>1.3503769255981648</v>
      </c>
      <c r="N51" s="17" t="s">
        <v>108</v>
      </c>
      <c r="O51" s="41"/>
      <c r="P51" s="21">
        <v>0.86</v>
      </c>
      <c r="Q51" s="367">
        <f t="shared" si="5"/>
        <v>1.1274991805965258</v>
      </c>
      <c r="R51" s="21" t="s">
        <v>108</v>
      </c>
      <c r="S51" s="23" t="s">
        <v>3043</v>
      </c>
      <c r="T51" s="17">
        <v>0.66</v>
      </c>
      <c r="U51" s="461">
        <f t="shared" si="6"/>
        <v>0.86529006882989201</v>
      </c>
      <c r="V51" s="17" t="s">
        <v>108</v>
      </c>
      <c r="W51" s="5"/>
      <c r="X51" s="21">
        <v>0.97</v>
      </c>
      <c r="Y51" s="77">
        <f t="shared" si="7"/>
        <v>1.2717141920681745</v>
      </c>
      <c r="Z51" s="21" t="s">
        <v>108</v>
      </c>
      <c r="AA51" s="28"/>
      <c r="AB51" s="17">
        <v>0.74</v>
      </c>
      <c r="AC51" s="409">
        <f t="shared" si="8"/>
        <v>0.97017371353654547</v>
      </c>
      <c r="AD51" s="17" t="s">
        <v>48</v>
      </c>
      <c r="AE51" s="20" t="s">
        <v>2991</v>
      </c>
      <c r="AF51" s="21">
        <v>1.08</v>
      </c>
      <c r="AG51" s="696">
        <f t="shared" si="9"/>
        <v>1.4159292035398232</v>
      </c>
      <c r="AH51" s="21" t="s">
        <v>108</v>
      </c>
      <c r="AI51" s="23" t="s">
        <v>3044</v>
      </c>
      <c r="AJ51" s="17">
        <v>0.97</v>
      </c>
      <c r="AK51" s="77">
        <f t="shared" si="10"/>
        <v>1.2717141920681745</v>
      </c>
      <c r="AL51" s="17" t="s">
        <v>48</v>
      </c>
      <c r="AM51" s="20" t="s">
        <v>3045</v>
      </c>
      <c r="AN51" s="21">
        <v>0.94</v>
      </c>
      <c r="AO51" s="458">
        <f t="shared" si="11"/>
        <v>1.2323828253031794</v>
      </c>
      <c r="AP51" s="21" t="s">
        <v>66</v>
      </c>
      <c r="AQ51" s="23" t="s">
        <v>3046</v>
      </c>
      <c r="AR51" s="17">
        <v>0.71</v>
      </c>
      <c r="AS51" s="191">
        <f t="shared" si="12"/>
        <v>0.93084234677155031</v>
      </c>
      <c r="AT51" s="17" t="s">
        <v>108</v>
      </c>
      <c r="AU51" s="5"/>
      <c r="AV51" s="21">
        <v>1.1399999999999999</v>
      </c>
      <c r="AW51" s="114">
        <f t="shared" si="13"/>
        <v>1.4945919370698131</v>
      </c>
      <c r="AX51" s="21" t="s">
        <v>42</v>
      </c>
      <c r="AY51" s="23" t="s">
        <v>3047</v>
      </c>
      <c r="AZ51" s="17">
        <v>0.82</v>
      </c>
      <c r="BA51" s="265">
        <f t="shared" si="14"/>
        <v>1.075057358243199</v>
      </c>
      <c r="BB51" s="17" t="s">
        <v>108</v>
      </c>
      <c r="BC51" s="41"/>
      <c r="BD51" s="17">
        <v>0.71</v>
      </c>
      <c r="BE51" s="191">
        <f t="shared" si="15"/>
        <v>0.93084234677155031</v>
      </c>
      <c r="BF51" s="17" t="s">
        <v>108</v>
      </c>
      <c r="BG51" s="41"/>
      <c r="BH51" s="37">
        <v>1.34</v>
      </c>
      <c r="BI51" s="517">
        <f t="shared" si="16"/>
        <v>1.7568010488364474</v>
      </c>
      <c r="BJ51" s="37" t="s">
        <v>42</v>
      </c>
      <c r="BK51" s="38" t="s">
        <v>3048</v>
      </c>
      <c r="BL51" s="17">
        <v>0.62</v>
      </c>
      <c r="BM51" s="223">
        <f t="shared" si="17"/>
        <v>0.81284824647656517</v>
      </c>
      <c r="BN51" s="17" t="s">
        <v>108</v>
      </c>
      <c r="BO51" s="40"/>
      <c r="BP51" s="17">
        <v>0.44</v>
      </c>
      <c r="BQ51" s="72">
        <f t="shared" si="18"/>
        <v>0.57686004588659456</v>
      </c>
      <c r="BR51" s="40"/>
      <c r="BS51" s="41"/>
      <c r="BT51" s="37">
        <v>0.67</v>
      </c>
      <c r="BU51" s="145">
        <f t="shared" si="19"/>
        <v>0.87840052441822369</v>
      </c>
      <c r="BV51" s="46" t="s">
        <v>108</v>
      </c>
      <c r="BW51" s="23" t="s">
        <v>3049</v>
      </c>
      <c r="BX51" s="17">
        <v>0.62</v>
      </c>
      <c r="BY51" s="223">
        <f t="shared" si="20"/>
        <v>0.81284824647656517</v>
      </c>
      <c r="BZ51" s="17" t="s">
        <v>46</v>
      </c>
      <c r="CA51" s="20" t="s">
        <v>3050</v>
      </c>
      <c r="CB51" s="37">
        <v>0.7</v>
      </c>
      <c r="CC51" s="110">
        <f t="shared" si="21"/>
        <v>0.91773189118321863</v>
      </c>
      <c r="CD51" s="46" t="s">
        <v>108</v>
      </c>
      <c r="CE51" s="28"/>
      <c r="CF51" s="17">
        <v>0.64</v>
      </c>
      <c r="CG51" s="415">
        <f t="shared" si="22"/>
        <v>0.83906915765322854</v>
      </c>
      <c r="CH51" s="17" t="s">
        <v>48</v>
      </c>
      <c r="CI51" s="20" t="s">
        <v>3051</v>
      </c>
      <c r="CJ51" s="37">
        <v>0.12</v>
      </c>
      <c r="CK51" s="633">
        <f t="shared" si="23"/>
        <v>0.15732546705998035</v>
      </c>
      <c r="CL51" s="46" t="s">
        <v>46</v>
      </c>
      <c r="CM51" s="23" t="s">
        <v>3052</v>
      </c>
      <c r="CN51" s="17">
        <v>0.94</v>
      </c>
      <c r="CO51" s="458">
        <f t="shared" si="24"/>
        <v>1.2323828253031794</v>
      </c>
      <c r="CP51" s="17" t="s">
        <v>46</v>
      </c>
      <c r="CQ51" s="73" t="s">
        <v>3053</v>
      </c>
      <c r="CR51" s="37">
        <v>0.65</v>
      </c>
      <c r="CS51" s="127">
        <f t="shared" si="25"/>
        <v>0.85217961324156022</v>
      </c>
      <c r="CT51" s="21" t="s">
        <v>46</v>
      </c>
      <c r="CU51" s="23" t="s">
        <v>3054</v>
      </c>
      <c r="CV51" s="17">
        <v>0.95</v>
      </c>
      <c r="CW51" s="181">
        <f t="shared" si="26"/>
        <v>1.2454932808915111</v>
      </c>
      <c r="CX51" s="17" t="s">
        <v>66</v>
      </c>
      <c r="CY51" s="73" t="s">
        <v>3055</v>
      </c>
      <c r="CZ51" s="37">
        <v>0.44</v>
      </c>
      <c r="DA51" s="72">
        <f t="shared" si="27"/>
        <v>0.57686004588659456</v>
      </c>
      <c r="DB51" s="21" t="s">
        <v>66</v>
      </c>
      <c r="DC51" s="23" t="s">
        <v>3056</v>
      </c>
      <c r="DD51" s="17">
        <v>0.82</v>
      </c>
      <c r="DE51" s="265">
        <f t="shared" si="28"/>
        <v>1.075057358243199</v>
      </c>
      <c r="DF51" s="17" t="s">
        <v>108</v>
      </c>
      <c r="DG51" s="5"/>
      <c r="DH51" s="37">
        <v>0.64</v>
      </c>
      <c r="DI51" s="415">
        <f t="shared" si="29"/>
        <v>0.83906915765322854</v>
      </c>
      <c r="DJ51" s="21" t="s">
        <v>108</v>
      </c>
      <c r="DK51" s="28"/>
      <c r="DL51" s="17">
        <v>7.0000000000000007E-2</v>
      </c>
      <c r="DM51" s="735">
        <f t="shared" si="30"/>
        <v>9.1773189118321885E-2</v>
      </c>
      <c r="DN51" s="17" t="s">
        <v>42</v>
      </c>
      <c r="DO51" s="51" t="s">
        <v>3004</v>
      </c>
      <c r="DP51" s="21">
        <v>0.95</v>
      </c>
      <c r="DQ51" s="181">
        <f t="shared" si="31"/>
        <v>1.2454932808915111</v>
      </c>
      <c r="DR51" s="53" t="s">
        <v>108</v>
      </c>
      <c r="DS51" s="64"/>
      <c r="DT51" s="53">
        <v>0.63</v>
      </c>
      <c r="DU51" s="629">
        <f t="shared" si="32"/>
        <v>0.82595870206489685</v>
      </c>
      <c r="DV51" s="56" t="s">
        <v>48</v>
      </c>
      <c r="DW51" s="57" t="s">
        <v>3005</v>
      </c>
      <c r="DX51" s="53">
        <v>0.72</v>
      </c>
      <c r="DY51" s="121">
        <f t="shared" si="33"/>
        <v>0.9439528023598821</v>
      </c>
      <c r="DZ51" s="53" t="s">
        <v>66</v>
      </c>
      <c r="EA51" s="54" t="s">
        <v>3057</v>
      </c>
      <c r="EB51" s="56">
        <v>0.38</v>
      </c>
      <c r="EC51" s="511">
        <f t="shared" si="34"/>
        <v>0.49819731235660447</v>
      </c>
      <c r="ED51" s="56" t="s">
        <v>66</v>
      </c>
      <c r="EE51" s="711"/>
      <c r="EF51" s="53">
        <v>0.38</v>
      </c>
      <c r="EG51" s="511">
        <f t="shared" si="35"/>
        <v>0.49819731235660447</v>
      </c>
      <c r="EH51" s="53" t="s">
        <v>108</v>
      </c>
      <c r="EI51" s="614"/>
      <c r="EJ51" s="53">
        <v>0.84</v>
      </c>
      <c r="EK51" s="573">
        <f t="shared" si="36"/>
        <v>1.1012782694198624</v>
      </c>
      <c r="EL51" s="56" t="s">
        <v>66</v>
      </c>
      <c r="EM51" s="57" t="s">
        <v>3058</v>
      </c>
      <c r="EN51" s="53">
        <v>0.89</v>
      </c>
      <c r="EO51" s="448">
        <f t="shared" si="37"/>
        <v>1.166830547361521</v>
      </c>
      <c r="EP51" s="53" t="s">
        <v>108</v>
      </c>
      <c r="EQ51" s="28"/>
      <c r="ER51" s="53">
        <v>0.74</v>
      </c>
      <c r="ES51" s="409">
        <f t="shared" si="38"/>
        <v>0.97017371353654547</v>
      </c>
      <c r="ET51" s="53" t="s">
        <v>46</v>
      </c>
      <c r="EU51" s="20" t="s">
        <v>3059</v>
      </c>
      <c r="EV51" s="53">
        <v>1.1399999999999999</v>
      </c>
      <c r="EW51" s="114">
        <f t="shared" si="39"/>
        <v>1.4945919370698131</v>
      </c>
      <c r="EX51" s="21" t="s">
        <v>108</v>
      </c>
      <c r="EY51" s="614"/>
      <c r="EZ51" s="53">
        <v>0.7</v>
      </c>
      <c r="FA51" s="110">
        <f t="shared" si="40"/>
        <v>0.91773189118321863</v>
      </c>
      <c r="FB51" s="40"/>
      <c r="FC51" s="40"/>
      <c r="FD51" s="53">
        <v>0.81</v>
      </c>
      <c r="FE51" s="334">
        <f t="shared" si="41"/>
        <v>1.0619469026548674</v>
      </c>
      <c r="FF51" s="21" t="s">
        <v>1620</v>
      </c>
      <c r="FG51" s="64"/>
      <c r="FH51" s="17">
        <v>0.9</v>
      </c>
      <c r="FI51" s="25">
        <f t="shared" si="42"/>
        <v>1.1799410029498527</v>
      </c>
      <c r="FJ51" s="17" t="s">
        <v>108</v>
      </c>
      <c r="FK51" s="51" t="s">
        <v>3060</v>
      </c>
      <c r="FL51" s="17">
        <v>0.73</v>
      </c>
      <c r="FM51" s="446">
        <f t="shared" si="43"/>
        <v>0.95706325794821379</v>
      </c>
      <c r="FN51" s="21" t="s">
        <v>108</v>
      </c>
      <c r="FO51" s="274"/>
      <c r="FP51" s="17">
        <v>0.54</v>
      </c>
      <c r="FQ51" s="353">
        <f t="shared" si="44"/>
        <v>0.70796460176991161</v>
      </c>
      <c r="FR51" s="17" t="s">
        <v>48</v>
      </c>
      <c r="FS51" s="51" t="s">
        <v>3061</v>
      </c>
      <c r="FT51" s="17">
        <v>0.76</v>
      </c>
      <c r="FU51" s="231">
        <f t="shared" si="45"/>
        <v>0.99639462471320894</v>
      </c>
      <c r="FV51" s="17" t="s">
        <v>108</v>
      </c>
      <c r="FW51" s="51" t="s">
        <v>3062</v>
      </c>
      <c r="FX51" s="17">
        <v>1.45</v>
      </c>
      <c r="FY51" s="736">
        <f t="shared" si="46"/>
        <v>1.9010160603080959</v>
      </c>
      <c r="FZ51" s="17" t="s">
        <v>66</v>
      </c>
      <c r="GA51" s="51" t="s">
        <v>3063</v>
      </c>
      <c r="GB51" s="53">
        <v>0.73</v>
      </c>
      <c r="GC51" s="446">
        <f t="shared" si="47"/>
        <v>0.95706325794821379</v>
      </c>
      <c r="GD51" s="21" t="s">
        <v>42</v>
      </c>
      <c r="GE51" s="63"/>
      <c r="GF51" s="17">
        <v>0.92</v>
      </c>
      <c r="GG51" s="285">
        <f t="shared" si="48"/>
        <v>1.2061619141265161</v>
      </c>
      <c r="GH51" s="17" t="s">
        <v>108</v>
      </c>
      <c r="GI51" s="40"/>
      <c r="GJ51" s="17">
        <v>0.94</v>
      </c>
      <c r="GK51" s="458">
        <f t="shared" si="49"/>
        <v>1.2323828253031794</v>
      </c>
      <c r="GL51" s="17" t="s">
        <v>108</v>
      </c>
      <c r="GM51" s="274"/>
      <c r="GN51" s="17">
        <v>0.32</v>
      </c>
      <c r="GO51" s="417">
        <f t="shared" si="50"/>
        <v>0.41953457882661427</v>
      </c>
      <c r="GP51" s="17" t="s">
        <v>42</v>
      </c>
      <c r="GQ51" s="51" t="s">
        <v>3064</v>
      </c>
      <c r="GR51" s="17">
        <v>0.89</v>
      </c>
      <c r="GS51" s="448">
        <f t="shared" si="51"/>
        <v>1.166830547361521</v>
      </c>
      <c r="GT51" s="17" t="s">
        <v>108</v>
      </c>
      <c r="GU51" s="40"/>
      <c r="GV51" s="17">
        <v>1.08</v>
      </c>
      <c r="GW51" s="696">
        <f t="shared" si="52"/>
        <v>1.4159292035398232</v>
      </c>
      <c r="GX51" s="17" t="s">
        <v>46</v>
      </c>
      <c r="GY51" s="73" t="s">
        <v>3065</v>
      </c>
      <c r="GZ51" s="17">
        <v>0.53</v>
      </c>
      <c r="HA51" s="69">
        <f t="shared" si="53"/>
        <v>0.69485414618157992</v>
      </c>
      <c r="HB51" s="17" t="s">
        <v>42</v>
      </c>
      <c r="HC51" s="20" t="s">
        <v>3066</v>
      </c>
      <c r="HD51" s="17">
        <v>0.8</v>
      </c>
      <c r="HE51" s="153">
        <f t="shared" si="54"/>
        <v>1.0488364470665357</v>
      </c>
      <c r="HF51" s="17" t="s">
        <v>42</v>
      </c>
      <c r="HG51" s="20" t="s">
        <v>3067</v>
      </c>
      <c r="HH51" s="17">
        <v>0.86</v>
      </c>
      <c r="HI51" s="367">
        <f t="shared" si="55"/>
        <v>1.1274991805965258</v>
      </c>
      <c r="HJ51" s="17" t="s">
        <v>70</v>
      </c>
      <c r="HK51" s="20" t="s">
        <v>3068</v>
      </c>
      <c r="HL51" s="17">
        <v>0.75</v>
      </c>
      <c r="HM51" s="284">
        <f t="shared" si="56"/>
        <v>0.98328416912487715</v>
      </c>
      <c r="HN51" s="17" t="s">
        <v>66</v>
      </c>
      <c r="HO51" s="41"/>
      <c r="HP51" s="17">
        <v>0.56000000000000005</v>
      </c>
      <c r="HQ51" s="92">
        <f t="shared" si="57"/>
        <v>0.73418551294657508</v>
      </c>
      <c r="HR51" s="17" t="s">
        <v>70</v>
      </c>
      <c r="HS51" s="73" t="s">
        <v>3069</v>
      </c>
      <c r="HT51" s="17">
        <v>1.01</v>
      </c>
      <c r="HU51" s="615">
        <f t="shared" si="58"/>
        <v>1.3241560144215012</v>
      </c>
      <c r="HV51" s="17" t="s">
        <v>48</v>
      </c>
      <c r="HW51" s="75" t="s">
        <v>3070</v>
      </c>
      <c r="HX51" s="17">
        <v>0.53</v>
      </c>
      <c r="HY51" s="69">
        <f t="shared" si="59"/>
        <v>0.69485414618157992</v>
      </c>
      <c r="HZ51" s="21" t="s">
        <v>46</v>
      </c>
      <c r="IA51" s="75" t="s">
        <v>3071</v>
      </c>
      <c r="IB51" s="17">
        <v>0.96</v>
      </c>
      <c r="IC51" s="332">
        <f t="shared" si="60"/>
        <v>1.2586037364798428</v>
      </c>
      <c r="ID51" s="17" t="s">
        <v>42</v>
      </c>
      <c r="IE51" s="51" t="s">
        <v>3072</v>
      </c>
      <c r="IF51" s="17">
        <v>0.52</v>
      </c>
      <c r="IG51" s="312">
        <f t="shared" si="61"/>
        <v>0.68174369059324824</v>
      </c>
      <c r="IH51" s="17" t="s">
        <v>48</v>
      </c>
      <c r="II51" s="67" t="s">
        <v>3073</v>
      </c>
      <c r="IJ51" s="17">
        <v>0.74</v>
      </c>
      <c r="IK51" s="409">
        <f t="shared" si="62"/>
        <v>0.97017371353654547</v>
      </c>
      <c r="IL51" s="17" t="s">
        <v>66</v>
      </c>
      <c r="IM51" s="51" t="s">
        <v>3022</v>
      </c>
      <c r="IN51" s="17">
        <v>0.6</v>
      </c>
      <c r="IO51" s="174">
        <f t="shared" si="63"/>
        <v>0.7866273352999017</v>
      </c>
      <c r="IP51" s="17" t="s">
        <v>42</v>
      </c>
      <c r="IQ51" s="51" t="s">
        <v>3074</v>
      </c>
      <c r="IR51" s="17">
        <v>0.94</v>
      </c>
      <c r="IS51" s="458">
        <f t="shared" si="64"/>
        <v>1.2323828253031794</v>
      </c>
      <c r="IT51" s="17" t="s">
        <v>179</v>
      </c>
      <c r="IU51" s="75" t="s">
        <v>3075</v>
      </c>
      <c r="IV51" s="17">
        <v>0.53</v>
      </c>
      <c r="IW51" s="69">
        <f t="shared" si="65"/>
        <v>0.69485414618157992</v>
      </c>
      <c r="IX51" s="17" t="s">
        <v>48</v>
      </c>
      <c r="IY51" s="51" t="s">
        <v>3076</v>
      </c>
      <c r="IZ51" s="17">
        <v>0.89</v>
      </c>
      <c r="JA51" s="448">
        <f t="shared" si="66"/>
        <v>1.166830547361521</v>
      </c>
      <c r="JB51" s="17" t="s">
        <v>66</v>
      </c>
      <c r="JC51" s="51" t="s">
        <v>3077</v>
      </c>
      <c r="JD51" s="17">
        <v>0.62</v>
      </c>
      <c r="JE51" s="223">
        <f t="shared" si="67"/>
        <v>0.81284824647656517</v>
      </c>
      <c r="JF51" s="17" t="s">
        <v>46</v>
      </c>
      <c r="JG51" s="51" t="s">
        <v>3078</v>
      </c>
      <c r="JH51" s="17">
        <v>0.83</v>
      </c>
      <c r="JI51" s="444">
        <f t="shared" si="68"/>
        <v>1.0881678138315307</v>
      </c>
      <c r="JJ51" s="17" t="s">
        <v>42</v>
      </c>
      <c r="JK51" s="51" t="s">
        <v>3079</v>
      </c>
      <c r="JL51" s="21">
        <v>0.6</v>
      </c>
      <c r="JM51" s="174">
        <f t="shared" si="69"/>
        <v>0.7866273352999017</v>
      </c>
      <c r="JN51" s="21" t="s">
        <v>42</v>
      </c>
      <c r="JO51" s="75" t="s">
        <v>3080</v>
      </c>
      <c r="JP51" s="21">
        <v>0.6</v>
      </c>
      <c r="JQ51" s="174">
        <f t="shared" si="70"/>
        <v>0.7866273352999017</v>
      </c>
      <c r="JR51" s="21" t="s">
        <v>42</v>
      </c>
      <c r="JS51" s="51" t="s">
        <v>3081</v>
      </c>
      <c r="JT51" s="21">
        <v>0.7</v>
      </c>
      <c r="JU51" s="110">
        <f t="shared" si="71"/>
        <v>0.91773189118321863</v>
      </c>
      <c r="JV51" s="21" t="s">
        <v>48</v>
      </c>
      <c r="JW51" s="75" t="s">
        <v>3082</v>
      </c>
      <c r="JX51" s="17">
        <v>0.73</v>
      </c>
      <c r="JY51" s="446">
        <f t="shared" si="72"/>
        <v>0.95706325794821379</v>
      </c>
      <c r="JZ51" s="51" t="s">
        <v>70</v>
      </c>
      <c r="KA51" s="51" t="s">
        <v>3083</v>
      </c>
      <c r="KB51" s="21">
        <v>1.06</v>
      </c>
      <c r="KC51" s="604">
        <f t="shared" si="73"/>
        <v>1.3897082923631598</v>
      </c>
      <c r="KD51" s="75" t="s">
        <v>42</v>
      </c>
      <c r="KE51" s="75" t="s">
        <v>3084</v>
      </c>
      <c r="KF51" s="17">
        <v>0.71</v>
      </c>
      <c r="KG51" s="191">
        <f t="shared" si="74"/>
        <v>0.93084234677155031</v>
      </c>
      <c r="KH51" s="51" t="s">
        <v>46</v>
      </c>
      <c r="KI51" s="51" t="s">
        <v>3085</v>
      </c>
      <c r="KJ51" s="21">
        <v>0.6</v>
      </c>
      <c r="KK51" s="174">
        <f t="shared" si="75"/>
        <v>0.7866273352999017</v>
      </c>
      <c r="KL51" s="75" t="s">
        <v>48</v>
      </c>
      <c r="KM51" s="75" t="s">
        <v>3086</v>
      </c>
      <c r="KN51" s="17">
        <v>1.07</v>
      </c>
      <c r="KO51" s="105">
        <f t="shared" si="76"/>
        <v>1.4028187479514915</v>
      </c>
      <c r="KP51" s="51" t="s">
        <v>48</v>
      </c>
      <c r="KQ51" s="51" t="s">
        <v>3087</v>
      </c>
      <c r="KR51" s="21">
        <v>0.93</v>
      </c>
      <c r="KS51" s="107">
        <f t="shared" si="77"/>
        <v>1.2192723697148478</v>
      </c>
      <c r="KT51" s="75" t="s">
        <v>42</v>
      </c>
      <c r="KU51" s="75" t="s">
        <v>3088</v>
      </c>
      <c r="KV51" s="82">
        <v>0.87</v>
      </c>
      <c r="KW51" s="195">
        <f t="shared" si="78"/>
        <v>1.1406096361848574</v>
      </c>
      <c r="KX51" s="51" t="s">
        <v>108</v>
      </c>
      <c r="KY51" s="40"/>
      <c r="KZ51" s="83">
        <v>0.53</v>
      </c>
      <c r="LA51" s="69">
        <f t="shared" si="79"/>
        <v>0.69485414618157992</v>
      </c>
      <c r="LB51" s="75" t="s">
        <v>48</v>
      </c>
      <c r="LC51" s="75" t="s">
        <v>3089</v>
      </c>
      <c r="LD51" s="82">
        <v>0.88</v>
      </c>
      <c r="LE51" s="402">
        <f t="shared" si="80"/>
        <v>1.1537200917731891</v>
      </c>
      <c r="LF51" s="51" t="s">
        <v>179</v>
      </c>
      <c r="LG51" s="51" t="s">
        <v>3040</v>
      </c>
      <c r="LH51" s="83">
        <v>0.91</v>
      </c>
      <c r="LI51" s="84"/>
      <c r="LJ51" s="85"/>
      <c r="LK51" s="85"/>
      <c r="LL51" s="86">
        <f t="shared" si="81"/>
        <v>0.76443037974683548</v>
      </c>
      <c r="LM51" s="86">
        <f t="shared" si="82"/>
        <v>0.82414307004470932</v>
      </c>
      <c r="LN51" s="86">
        <f t="shared" si="90"/>
        <v>0.97689720868375529</v>
      </c>
      <c r="LO51" s="86">
        <f t="shared" si="94"/>
        <v>0.69059666823439603</v>
      </c>
      <c r="LP51" s="86">
        <f t="shared" si="95"/>
        <v>1.7194241938972898E-2</v>
      </c>
      <c r="LQ51" s="87">
        <f t="shared" si="96"/>
        <v>1</v>
      </c>
      <c r="LR51" s="86">
        <f t="shared" si="97"/>
        <v>0.69929839644416492</v>
      </c>
      <c r="LS51" s="84">
        <v>1</v>
      </c>
      <c r="LT51" s="87">
        <f t="shared" si="100"/>
        <v>0</v>
      </c>
      <c r="LU51" s="87">
        <f t="shared" si="92"/>
        <v>2</v>
      </c>
      <c r="LV51" s="86">
        <f t="shared" si="98"/>
        <v>0.96</v>
      </c>
      <c r="LW51" s="88" t="s">
        <v>3807</v>
      </c>
      <c r="LX51" s="89" t="str">
        <f t="shared" si="87"/>
        <v>—</v>
      </c>
      <c r="LY51" s="89" t="str">
        <f t="shared" si="102"/>
        <v>Queda severa — voltar ao que deu certo</v>
      </c>
      <c r="LZ51" s="5"/>
      <c r="MA51" s="67" t="str">
        <f t="shared" si="99"/>
        <v>PALMEIRAS</v>
      </c>
      <c r="MB51" s="89" t="s">
        <v>3808</v>
      </c>
    </row>
    <row r="52" spans="1:340" x14ac:dyDescent="0.2">
      <c r="A52" s="16">
        <v>0.78402777777777777</v>
      </c>
      <c r="B52" s="737">
        <f t="shared" si="0"/>
        <v>0.75362500000000032</v>
      </c>
      <c r="C52" s="708">
        <f t="shared" si="1"/>
        <v>-0.16404047105656028</v>
      </c>
      <c r="D52" s="17">
        <v>0.63</v>
      </c>
      <c r="E52" s="415">
        <f t="shared" si="2"/>
        <v>0.83595952894343972</v>
      </c>
      <c r="F52" s="17" t="s">
        <v>48</v>
      </c>
      <c r="G52" s="20" t="s">
        <v>3090</v>
      </c>
      <c r="H52" s="21">
        <v>0.8</v>
      </c>
      <c r="I52" s="570">
        <f t="shared" si="3"/>
        <v>1.0615359097694472</v>
      </c>
      <c r="J52" s="21" t="s">
        <v>46</v>
      </c>
      <c r="K52" s="23" t="s">
        <v>3091</v>
      </c>
      <c r="L52" s="17">
        <v>0.97</v>
      </c>
      <c r="M52" s="504">
        <f t="shared" si="4"/>
        <v>1.2871122905954546</v>
      </c>
      <c r="N52" s="17" t="s">
        <v>108</v>
      </c>
      <c r="O52" s="41"/>
      <c r="P52" s="21">
        <v>0.81</v>
      </c>
      <c r="Q52" s="265">
        <f t="shared" si="5"/>
        <v>1.0748051086415653</v>
      </c>
      <c r="R52" s="21" t="s">
        <v>46</v>
      </c>
      <c r="S52" s="23" t="s">
        <v>3092</v>
      </c>
      <c r="T52" s="17">
        <v>0.66</v>
      </c>
      <c r="U52" s="145">
        <f t="shared" si="6"/>
        <v>0.87576712555979397</v>
      </c>
      <c r="V52" s="17" t="s">
        <v>46</v>
      </c>
      <c r="W52" s="5"/>
      <c r="X52" s="21">
        <v>0.77</v>
      </c>
      <c r="Y52" s="533">
        <f t="shared" si="7"/>
        <v>1.021728313153093</v>
      </c>
      <c r="Z52" s="21" t="s">
        <v>108</v>
      </c>
      <c r="AA52" s="28"/>
      <c r="AB52" s="17">
        <v>0.8</v>
      </c>
      <c r="AC52" s="570">
        <f t="shared" si="8"/>
        <v>1.0615359097694472</v>
      </c>
      <c r="AD52" s="17" t="s">
        <v>48</v>
      </c>
      <c r="AE52" s="20" t="s">
        <v>3093</v>
      </c>
      <c r="AF52" s="21">
        <v>0.96</v>
      </c>
      <c r="AG52" s="77">
        <f t="shared" si="9"/>
        <v>1.2738430917233365</v>
      </c>
      <c r="AH52" s="21" t="s">
        <v>108</v>
      </c>
      <c r="AI52" s="23" t="s">
        <v>3094</v>
      </c>
      <c r="AJ52" s="17">
        <v>1.05</v>
      </c>
      <c r="AK52" s="29">
        <f t="shared" si="10"/>
        <v>1.3932658815723995</v>
      </c>
      <c r="AL52" s="17" t="s">
        <v>285</v>
      </c>
      <c r="AM52" s="20" t="s">
        <v>3095</v>
      </c>
      <c r="AN52" s="21">
        <v>1.01</v>
      </c>
      <c r="AO52" s="292">
        <f t="shared" si="11"/>
        <v>1.3401890860839272</v>
      </c>
      <c r="AP52" s="21" t="s">
        <v>42</v>
      </c>
      <c r="AQ52" s="23" t="s">
        <v>3096</v>
      </c>
      <c r="AR52" s="17">
        <v>0.71</v>
      </c>
      <c r="AS52" s="121">
        <f t="shared" si="12"/>
        <v>0.94211311992038438</v>
      </c>
      <c r="AT52" s="17" t="s">
        <v>108</v>
      </c>
      <c r="AU52" s="5"/>
      <c r="AV52" s="21">
        <v>1.1399999999999999</v>
      </c>
      <c r="AW52" s="738">
        <f t="shared" si="13"/>
        <v>1.5126886714214622</v>
      </c>
      <c r="AX52" s="21" t="s">
        <v>108</v>
      </c>
      <c r="AY52" s="23" t="s">
        <v>3097</v>
      </c>
      <c r="AZ52" s="17">
        <v>0.82</v>
      </c>
      <c r="BA52" s="444">
        <f t="shared" si="14"/>
        <v>1.0880743075136834</v>
      </c>
      <c r="BB52" s="17" t="s">
        <v>46</v>
      </c>
      <c r="BC52" s="20" t="s">
        <v>3098</v>
      </c>
      <c r="BD52" s="17">
        <v>0.76</v>
      </c>
      <c r="BE52" s="362">
        <f t="shared" si="15"/>
        <v>1.0084591142809749</v>
      </c>
      <c r="BF52" s="17" t="s">
        <v>108</v>
      </c>
      <c r="BG52" s="41"/>
      <c r="BH52" s="37">
        <v>1.34</v>
      </c>
      <c r="BI52" s="319">
        <f t="shared" si="16"/>
        <v>1.7780726488638241</v>
      </c>
      <c r="BJ52" s="37" t="s">
        <v>108</v>
      </c>
      <c r="BK52" s="38" t="s">
        <v>3099</v>
      </c>
      <c r="BL52" s="17">
        <v>0.68</v>
      </c>
      <c r="BM52" s="300">
        <f t="shared" si="17"/>
        <v>0.90230552330403024</v>
      </c>
      <c r="BN52" s="17" t="s">
        <v>108</v>
      </c>
      <c r="BO52" s="40"/>
      <c r="BP52" s="17">
        <v>0.49</v>
      </c>
      <c r="BQ52" s="240">
        <f t="shared" si="18"/>
        <v>0.65019074473378646</v>
      </c>
      <c r="BR52" s="40"/>
      <c r="BS52" s="41"/>
      <c r="BT52" s="37">
        <v>0.73</v>
      </c>
      <c r="BU52" s="409">
        <f t="shared" si="19"/>
        <v>0.96865151766462054</v>
      </c>
      <c r="BV52" s="46" t="s">
        <v>108</v>
      </c>
      <c r="BW52" s="23" t="s">
        <v>3100</v>
      </c>
      <c r="BX52" s="17">
        <v>0.62</v>
      </c>
      <c r="BY52" s="378">
        <f t="shared" si="20"/>
        <v>0.82269033007132164</v>
      </c>
      <c r="BZ52" s="17" t="s">
        <v>42</v>
      </c>
      <c r="CA52" s="20" t="s">
        <v>3101</v>
      </c>
      <c r="CB52" s="37">
        <v>0.63</v>
      </c>
      <c r="CC52" s="415">
        <f t="shared" si="21"/>
        <v>0.83595952894343972</v>
      </c>
      <c r="CD52" s="46" t="s">
        <v>46</v>
      </c>
      <c r="CE52" s="23" t="s">
        <v>3102</v>
      </c>
      <c r="CF52" s="17">
        <v>0.7</v>
      </c>
      <c r="CG52" s="652">
        <f t="shared" si="22"/>
        <v>0.9288439210482663</v>
      </c>
      <c r="CH52" s="17" t="s">
        <v>48</v>
      </c>
      <c r="CI52" s="20" t="s">
        <v>3103</v>
      </c>
      <c r="CJ52" s="37">
        <v>0.12</v>
      </c>
      <c r="CK52" s="633">
        <f t="shared" si="23"/>
        <v>0.15923038646541707</v>
      </c>
      <c r="CL52" s="46" t="s">
        <v>70</v>
      </c>
      <c r="CM52" s="23" t="s">
        <v>3104</v>
      </c>
      <c r="CN52" s="17">
        <v>0.94</v>
      </c>
      <c r="CO52" s="375">
        <f t="shared" si="24"/>
        <v>1.2473046939791004</v>
      </c>
      <c r="CP52" s="17" t="s">
        <v>46</v>
      </c>
      <c r="CQ52" s="73" t="s">
        <v>3105</v>
      </c>
      <c r="CR52" s="37">
        <v>0.71</v>
      </c>
      <c r="CS52" s="121">
        <f t="shared" si="25"/>
        <v>0.94211311992038438</v>
      </c>
      <c r="CT52" s="21" t="s">
        <v>42</v>
      </c>
      <c r="CU52" s="23" t="s">
        <v>3106</v>
      </c>
      <c r="CV52" s="17">
        <v>0.97</v>
      </c>
      <c r="CW52" s="504">
        <f t="shared" si="26"/>
        <v>1.2871122905954546</v>
      </c>
      <c r="CX52" s="17" t="s">
        <v>66</v>
      </c>
      <c r="CY52" s="73" t="s">
        <v>3107</v>
      </c>
      <c r="CZ52" s="37">
        <v>0.44</v>
      </c>
      <c r="DA52" s="184">
        <f t="shared" si="27"/>
        <v>0.58384475037319594</v>
      </c>
      <c r="DB52" s="21" t="s">
        <v>42</v>
      </c>
      <c r="DC52" s="23" t="s">
        <v>3108</v>
      </c>
      <c r="DD52" s="17">
        <v>0.76</v>
      </c>
      <c r="DE52" s="362">
        <f t="shared" si="28"/>
        <v>1.0084591142809749</v>
      </c>
      <c r="DF52" s="17" t="s">
        <v>48</v>
      </c>
      <c r="DG52" s="5"/>
      <c r="DH52" s="37">
        <v>0.71</v>
      </c>
      <c r="DI52" s="121">
        <f t="shared" si="29"/>
        <v>0.94211311992038438</v>
      </c>
      <c r="DJ52" s="21" t="s">
        <v>108</v>
      </c>
      <c r="DK52" s="28"/>
      <c r="DL52" s="17">
        <v>7.0000000000000007E-2</v>
      </c>
      <c r="DM52" s="735">
        <f t="shared" si="30"/>
        <v>9.2884392104826644E-2</v>
      </c>
      <c r="DN52" s="17" t="s">
        <v>42</v>
      </c>
      <c r="DO52" s="51" t="s">
        <v>3109</v>
      </c>
      <c r="DP52" s="21">
        <v>0.89</v>
      </c>
      <c r="DQ52" s="143">
        <f t="shared" si="31"/>
        <v>1.18095869961851</v>
      </c>
      <c r="DR52" s="53" t="s">
        <v>70</v>
      </c>
      <c r="DS52" s="54" t="s">
        <v>3110</v>
      </c>
      <c r="DT52" s="53">
        <v>0.57999999999999996</v>
      </c>
      <c r="DU52" s="19">
        <f t="shared" si="32"/>
        <v>0.7696135345828492</v>
      </c>
      <c r="DV52" s="56" t="s">
        <v>48</v>
      </c>
      <c r="DW52" s="57" t="s">
        <v>3057</v>
      </c>
      <c r="DX52" s="53">
        <v>0.72</v>
      </c>
      <c r="DY52" s="194">
        <f t="shared" si="33"/>
        <v>0.95538231879250246</v>
      </c>
      <c r="DZ52" s="53" t="s">
        <v>66</v>
      </c>
      <c r="EA52" s="54" t="s">
        <v>3111</v>
      </c>
      <c r="EB52" s="56">
        <v>0.44</v>
      </c>
      <c r="EC52" s="184">
        <f t="shared" si="34"/>
        <v>0.58384475037319594</v>
      </c>
      <c r="ED52" s="56" t="s">
        <v>108</v>
      </c>
      <c r="EE52" s="711"/>
      <c r="EF52" s="53">
        <v>0.38</v>
      </c>
      <c r="EG52" s="68">
        <f t="shared" si="35"/>
        <v>0.50422955714048745</v>
      </c>
      <c r="EH52" s="53" t="s">
        <v>108</v>
      </c>
      <c r="EI52" s="614"/>
      <c r="EJ52" s="53">
        <v>0.84</v>
      </c>
      <c r="EK52" s="263">
        <f t="shared" si="36"/>
        <v>1.1146127052579196</v>
      </c>
      <c r="EL52" s="56" t="s">
        <v>66</v>
      </c>
      <c r="EM52" s="57" t="s">
        <v>3112</v>
      </c>
      <c r="EN52" s="53">
        <v>0.77</v>
      </c>
      <c r="EO52" s="533">
        <f t="shared" si="37"/>
        <v>1.021728313153093</v>
      </c>
      <c r="EP52" s="53" t="s">
        <v>108</v>
      </c>
      <c r="EQ52" s="28"/>
      <c r="ER52" s="53">
        <v>0.81</v>
      </c>
      <c r="ES52" s="265">
        <f t="shared" si="38"/>
        <v>1.0748051086415653</v>
      </c>
      <c r="ET52" s="53" t="s">
        <v>46</v>
      </c>
      <c r="EU52" s="20" t="s">
        <v>3113</v>
      </c>
      <c r="EV52" s="53">
        <v>1.01</v>
      </c>
      <c r="EW52" s="292">
        <f t="shared" si="39"/>
        <v>1.3401890860839272</v>
      </c>
      <c r="EX52" s="21" t="s">
        <v>108</v>
      </c>
      <c r="EY52" s="614"/>
      <c r="EZ52" s="53">
        <v>0.56000000000000005</v>
      </c>
      <c r="FA52" s="58">
        <f t="shared" si="40"/>
        <v>0.74307513683861315</v>
      </c>
      <c r="FB52" s="40"/>
      <c r="FC52" s="40"/>
      <c r="FD52" s="53">
        <v>0.81</v>
      </c>
      <c r="FE52" s="265">
        <f t="shared" si="41"/>
        <v>1.0748051086415653</v>
      </c>
      <c r="FF52" s="21" t="s">
        <v>66</v>
      </c>
      <c r="FG52" s="64"/>
      <c r="FH52" s="17">
        <v>0.84</v>
      </c>
      <c r="FI52" s="263">
        <f t="shared" si="42"/>
        <v>1.1146127052579196</v>
      </c>
      <c r="FJ52" s="17" t="s">
        <v>66</v>
      </c>
      <c r="FK52" s="51" t="s">
        <v>3114</v>
      </c>
      <c r="FL52" s="17">
        <v>0.67</v>
      </c>
      <c r="FM52" s="366">
        <f t="shared" si="43"/>
        <v>0.88903632443191205</v>
      </c>
      <c r="FN52" s="21" t="s">
        <v>108</v>
      </c>
      <c r="FO52" s="274"/>
      <c r="FP52" s="17">
        <v>0.54</v>
      </c>
      <c r="FQ52" s="291">
        <f t="shared" si="44"/>
        <v>0.71653673909437687</v>
      </c>
      <c r="FR52" s="17" t="s">
        <v>48</v>
      </c>
      <c r="FS52" s="51" t="s">
        <v>3061</v>
      </c>
      <c r="FT52" s="17">
        <v>0.7</v>
      </c>
      <c r="FU52" s="652">
        <f t="shared" si="45"/>
        <v>0.9288439210482663</v>
      </c>
      <c r="FV52" s="17" t="s">
        <v>108</v>
      </c>
      <c r="FW52" s="51" t="s">
        <v>3115</v>
      </c>
      <c r="FX52" s="17">
        <v>1.45</v>
      </c>
      <c r="FY52" s="32">
        <f t="shared" si="46"/>
        <v>1.924033836457123</v>
      </c>
      <c r="FZ52" s="17" t="s">
        <v>46</v>
      </c>
      <c r="GA52" s="51" t="s">
        <v>3116</v>
      </c>
      <c r="GB52" s="53">
        <v>0.73</v>
      </c>
      <c r="GC52" s="409">
        <f t="shared" si="47"/>
        <v>0.96865151766462054</v>
      </c>
      <c r="GD52" s="21" t="s">
        <v>48</v>
      </c>
      <c r="GE52" s="63"/>
      <c r="GF52" s="17">
        <v>0.86</v>
      </c>
      <c r="GG52" s="490">
        <f t="shared" si="48"/>
        <v>1.1411511030021557</v>
      </c>
      <c r="GH52" s="17" t="s">
        <v>108</v>
      </c>
      <c r="GI52" s="40"/>
      <c r="GJ52" s="17">
        <v>0.88</v>
      </c>
      <c r="GK52" s="448">
        <f t="shared" si="49"/>
        <v>1.1676895007463919</v>
      </c>
      <c r="GL52" s="17" t="s">
        <v>46</v>
      </c>
      <c r="GM52" s="67" t="s">
        <v>3117</v>
      </c>
      <c r="GN52" s="17">
        <v>0.38</v>
      </c>
      <c r="GO52" s="68">
        <f t="shared" si="50"/>
        <v>0.50422955714048745</v>
      </c>
      <c r="GP52" s="17" t="s">
        <v>42</v>
      </c>
      <c r="GQ52" s="51" t="s">
        <v>3118</v>
      </c>
      <c r="GR52" s="17">
        <v>0.56999999999999995</v>
      </c>
      <c r="GS52" s="302">
        <f t="shared" si="51"/>
        <v>0.75634433571073112</v>
      </c>
      <c r="GT52" s="17" t="s">
        <v>108</v>
      </c>
      <c r="GU52" s="40"/>
      <c r="GV52" s="17">
        <v>1.08</v>
      </c>
      <c r="GW52" s="286">
        <f t="shared" si="52"/>
        <v>1.4330734781887537</v>
      </c>
      <c r="GX52" s="17" t="s">
        <v>46</v>
      </c>
      <c r="GY52" s="73" t="s">
        <v>3119</v>
      </c>
      <c r="GZ52" s="17">
        <v>0.53</v>
      </c>
      <c r="HA52" s="198">
        <f t="shared" si="53"/>
        <v>0.70326754022225879</v>
      </c>
      <c r="HB52" s="17" t="s">
        <v>42</v>
      </c>
      <c r="HC52" s="20" t="s">
        <v>3120</v>
      </c>
      <c r="HD52" s="17">
        <v>0.8</v>
      </c>
      <c r="HE52" s="570">
        <f t="shared" si="54"/>
        <v>1.0615359097694472</v>
      </c>
      <c r="HF52" s="17" t="s">
        <v>42</v>
      </c>
      <c r="HG52" s="20" t="s">
        <v>3015</v>
      </c>
      <c r="HH52" s="17">
        <v>0.92</v>
      </c>
      <c r="HI52" s="107">
        <f t="shared" si="55"/>
        <v>1.2207662962348644</v>
      </c>
      <c r="HJ52" s="17" t="s">
        <v>70</v>
      </c>
      <c r="HK52" s="20" t="s">
        <v>3121</v>
      </c>
      <c r="HL52" s="17">
        <v>0.75</v>
      </c>
      <c r="HM52" s="251">
        <f t="shared" si="56"/>
        <v>0.99518991540885682</v>
      </c>
      <c r="HN52" s="17" t="s">
        <v>66</v>
      </c>
      <c r="HO52" s="41"/>
      <c r="HP52" s="17">
        <v>0.49</v>
      </c>
      <c r="HQ52" s="240">
        <f t="shared" si="57"/>
        <v>0.65019074473378646</v>
      </c>
      <c r="HR52" s="17" t="s">
        <v>70</v>
      </c>
      <c r="HS52" s="73" t="s">
        <v>3122</v>
      </c>
      <c r="HT52" s="17">
        <v>1.01</v>
      </c>
      <c r="HU52" s="292">
        <f t="shared" si="58"/>
        <v>1.3401890860839272</v>
      </c>
      <c r="HV52" s="17" t="s">
        <v>48</v>
      </c>
      <c r="HW52" s="75" t="s">
        <v>3123</v>
      </c>
      <c r="HX52" s="17">
        <v>0.59</v>
      </c>
      <c r="HY52" s="109">
        <f t="shared" si="59"/>
        <v>0.78288273345496728</v>
      </c>
      <c r="HZ52" s="21" t="s">
        <v>46</v>
      </c>
      <c r="IA52" s="75" t="s">
        <v>3124</v>
      </c>
      <c r="IB52" s="17">
        <v>0.96</v>
      </c>
      <c r="IC52" s="77">
        <f t="shared" si="60"/>
        <v>1.2738430917233365</v>
      </c>
      <c r="ID52" s="17" t="s">
        <v>42</v>
      </c>
      <c r="IE52" s="51" t="s">
        <v>3125</v>
      </c>
      <c r="IF52" s="17">
        <v>0.46</v>
      </c>
      <c r="IG52" s="313">
        <f t="shared" si="61"/>
        <v>0.61038314811743222</v>
      </c>
      <c r="IH52" s="17" t="s">
        <v>48</v>
      </c>
      <c r="II52" s="67" t="s">
        <v>3126</v>
      </c>
      <c r="IJ52" s="17">
        <v>0.74</v>
      </c>
      <c r="IK52" s="284">
        <f t="shared" si="62"/>
        <v>0.98192071653673862</v>
      </c>
      <c r="IL52" s="17" t="s">
        <v>66</v>
      </c>
      <c r="IM52" s="51" t="s">
        <v>3127</v>
      </c>
      <c r="IN52" s="17">
        <v>0.59</v>
      </c>
      <c r="IO52" s="109">
        <f t="shared" si="63"/>
        <v>0.78288273345496728</v>
      </c>
      <c r="IP52" s="17" t="s">
        <v>42</v>
      </c>
      <c r="IQ52" s="51" t="s">
        <v>3128</v>
      </c>
      <c r="IR52" s="17">
        <v>0.94</v>
      </c>
      <c r="IS52" s="375">
        <f t="shared" si="64"/>
        <v>1.2473046939791004</v>
      </c>
      <c r="IT52" s="17" t="s">
        <v>179</v>
      </c>
      <c r="IU52" s="75" t="s">
        <v>3129</v>
      </c>
      <c r="IV52" s="17">
        <v>0.53</v>
      </c>
      <c r="IW52" s="198">
        <f t="shared" si="65"/>
        <v>0.70326754022225879</v>
      </c>
      <c r="IX52" s="17" t="s">
        <v>48</v>
      </c>
      <c r="IY52" s="51" t="s">
        <v>3130</v>
      </c>
      <c r="IZ52" s="17">
        <v>0.81</v>
      </c>
      <c r="JA52" s="265">
        <f t="shared" si="66"/>
        <v>1.0748051086415653</v>
      </c>
      <c r="JB52" s="17" t="s">
        <v>108</v>
      </c>
      <c r="JC52" s="51" t="s">
        <v>3131</v>
      </c>
      <c r="JD52" s="17">
        <v>0.62</v>
      </c>
      <c r="JE52" s="378">
        <f t="shared" si="67"/>
        <v>0.82269033007132164</v>
      </c>
      <c r="JF52" s="17" t="s">
        <v>46</v>
      </c>
      <c r="JG52" s="51" t="s">
        <v>3132</v>
      </c>
      <c r="JH52" s="17">
        <v>0.83</v>
      </c>
      <c r="JI52" s="573">
        <f t="shared" si="68"/>
        <v>1.1013435063858015</v>
      </c>
      <c r="JJ52" s="17" t="s">
        <v>42</v>
      </c>
      <c r="JK52" s="51" t="s">
        <v>3133</v>
      </c>
      <c r="JL52" s="21">
        <v>0.6</v>
      </c>
      <c r="JM52" s="491">
        <f t="shared" si="69"/>
        <v>0.79615193232708537</v>
      </c>
      <c r="JN52" s="21" t="s">
        <v>48</v>
      </c>
      <c r="JO52" s="75" t="s">
        <v>3134</v>
      </c>
      <c r="JP52" s="21">
        <v>0.6</v>
      </c>
      <c r="JQ52" s="491">
        <f t="shared" si="70"/>
        <v>0.79615193232708537</v>
      </c>
      <c r="JR52" s="21" t="s">
        <v>42</v>
      </c>
      <c r="JS52" s="51" t="s">
        <v>3135</v>
      </c>
      <c r="JT52" s="21">
        <v>0.7</v>
      </c>
      <c r="JU52" s="652">
        <f t="shared" si="71"/>
        <v>0.9288439210482663</v>
      </c>
      <c r="JV52" s="21" t="s">
        <v>48</v>
      </c>
      <c r="JW52" s="75" t="s">
        <v>3136</v>
      </c>
      <c r="JX52" s="17">
        <v>0.79</v>
      </c>
      <c r="JY52" s="395">
        <f t="shared" si="72"/>
        <v>1.0482667108973291</v>
      </c>
      <c r="JZ52" s="51" t="s">
        <v>70</v>
      </c>
      <c r="KA52" s="51" t="s">
        <v>3137</v>
      </c>
      <c r="KB52" s="21">
        <v>1.06</v>
      </c>
      <c r="KC52" s="105">
        <f t="shared" si="73"/>
        <v>1.4065350804445176</v>
      </c>
      <c r="KD52" s="75" t="s">
        <v>48</v>
      </c>
      <c r="KE52" s="75" t="s">
        <v>3138</v>
      </c>
      <c r="KF52" s="17">
        <v>0.76</v>
      </c>
      <c r="KG52" s="362">
        <f t="shared" si="74"/>
        <v>1.0084591142809749</v>
      </c>
      <c r="KH52" s="51" t="s">
        <v>42</v>
      </c>
      <c r="KI52" s="51" t="s">
        <v>3139</v>
      </c>
      <c r="KJ52" s="21">
        <v>0.6</v>
      </c>
      <c r="KK52" s="491">
        <f t="shared" si="75"/>
        <v>0.79615193232708537</v>
      </c>
      <c r="KL52" s="75" t="s">
        <v>179</v>
      </c>
      <c r="KM52" s="75" t="s">
        <v>3140</v>
      </c>
      <c r="KN52" s="17">
        <v>1.07</v>
      </c>
      <c r="KO52" s="52">
        <f t="shared" si="76"/>
        <v>1.4198042793166357</v>
      </c>
      <c r="KP52" s="51" t="s">
        <v>42</v>
      </c>
      <c r="KQ52" s="51" t="s">
        <v>3141</v>
      </c>
      <c r="KR52" s="21">
        <v>0.92</v>
      </c>
      <c r="KS52" s="107">
        <f t="shared" si="77"/>
        <v>1.2207662962348644</v>
      </c>
      <c r="KT52" s="75" t="s">
        <v>42</v>
      </c>
      <c r="KU52" s="75" t="s">
        <v>3142</v>
      </c>
      <c r="KV52" s="82">
        <v>0.81</v>
      </c>
      <c r="KW52" s="265">
        <f t="shared" si="78"/>
        <v>1.0748051086415653</v>
      </c>
      <c r="KX52" s="51" t="s">
        <v>108</v>
      </c>
      <c r="KY52" s="40"/>
      <c r="KZ52" s="83">
        <v>0.57999999999999996</v>
      </c>
      <c r="LA52" s="19">
        <f t="shared" si="79"/>
        <v>0.7696135345828492</v>
      </c>
      <c r="LB52" s="75" t="s">
        <v>46</v>
      </c>
      <c r="LC52" s="75" t="s">
        <v>3143</v>
      </c>
      <c r="LD52" s="82">
        <v>0.88</v>
      </c>
      <c r="LE52" s="448">
        <f t="shared" si="80"/>
        <v>1.1676895007463919</v>
      </c>
      <c r="LF52" s="51" t="s">
        <v>179</v>
      </c>
      <c r="LG52" s="51" t="s">
        <v>3144</v>
      </c>
      <c r="LH52" s="83">
        <v>1.04</v>
      </c>
      <c r="LI52" s="84"/>
      <c r="LJ52" s="85"/>
      <c r="LK52" s="85"/>
      <c r="LL52" s="86">
        <f t="shared" si="81"/>
        <v>0.7551898734177217</v>
      </c>
      <c r="LM52" s="86">
        <f t="shared" si="82"/>
        <v>0.83422728796513557</v>
      </c>
      <c r="LN52" s="86">
        <f t="shared" si="90"/>
        <v>0.9737797772829585</v>
      </c>
      <c r="LO52" s="86">
        <f t="shared" si="94"/>
        <v>0.75500756538750136</v>
      </c>
      <c r="LP52" s="86">
        <f t="shared" si="95"/>
        <v>0.1872517446657993</v>
      </c>
      <c r="LQ52" s="87">
        <f t="shared" si="96"/>
        <v>1</v>
      </c>
      <c r="LR52" s="86">
        <f t="shared" si="97"/>
        <v>0.79101661601838325</v>
      </c>
      <c r="LS52" s="84">
        <v>1</v>
      </c>
      <c r="LT52" s="87">
        <f t="shared" si="100"/>
        <v>0</v>
      </c>
      <c r="LU52" s="87">
        <f t="shared" si="92"/>
        <v>3</v>
      </c>
      <c r="LV52" s="86">
        <f t="shared" si="98"/>
        <v>0.96</v>
      </c>
      <c r="LW52" s="88" t="s">
        <v>3807</v>
      </c>
      <c r="LX52" s="89" t="str">
        <f t="shared" si="87"/>
        <v>—</v>
      </c>
      <c r="LY52" s="89" t="str">
        <f t="shared" si="102"/>
        <v>Queda severa — voltar ao que deu certo</v>
      </c>
      <c r="LZ52" s="5"/>
      <c r="MA52" s="67" t="str">
        <f t="shared" si="99"/>
        <v>PALMEIRAS</v>
      </c>
      <c r="MB52" s="89" t="s">
        <v>3808</v>
      </c>
    </row>
    <row r="53" spans="1:340" x14ac:dyDescent="0.2">
      <c r="A53" s="16">
        <v>0.78472222222222221</v>
      </c>
      <c r="B53" s="739">
        <f t="shared" si="0"/>
        <v>0.75900000000000012</v>
      </c>
      <c r="C53" s="136">
        <f t="shared" si="1"/>
        <v>-0.16996047430830052</v>
      </c>
      <c r="D53" s="17">
        <v>0.63</v>
      </c>
      <c r="E53" s="137">
        <f t="shared" si="2"/>
        <v>0.83003952569169948</v>
      </c>
      <c r="F53" s="17" t="s">
        <v>48</v>
      </c>
      <c r="G53" s="20" t="s">
        <v>3145</v>
      </c>
      <c r="H53" s="21">
        <v>0.86</v>
      </c>
      <c r="I53" s="338">
        <f t="shared" si="3"/>
        <v>1.1330698287220025</v>
      </c>
      <c r="J53" s="21" t="s">
        <v>66</v>
      </c>
      <c r="K53" s="23" t="s">
        <v>3146</v>
      </c>
      <c r="L53" s="17">
        <v>0.97</v>
      </c>
      <c r="M53" s="420">
        <f t="shared" si="4"/>
        <v>1.2779973649538865</v>
      </c>
      <c r="N53" s="17" t="s">
        <v>48</v>
      </c>
      <c r="O53" s="20" t="s">
        <v>3147</v>
      </c>
      <c r="P53" s="21">
        <v>0.81</v>
      </c>
      <c r="Q53" s="404">
        <f t="shared" si="5"/>
        <v>1.0671936758893279</v>
      </c>
      <c r="R53" s="21" t="s">
        <v>46</v>
      </c>
      <c r="S53" s="23" t="s">
        <v>3148</v>
      </c>
      <c r="T53" s="17">
        <v>0.68</v>
      </c>
      <c r="U53" s="108">
        <f t="shared" si="6"/>
        <v>0.89591567852437415</v>
      </c>
      <c r="V53" s="17" t="s">
        <v>46</v>
      </c>
      <c r="W53" s="5"/>
      <c r="X53" s="21">
        <v>0.77</v>
      </c>
      <c r="Y53" s="658">
        <f t="shared" si="7"/>
        <v>1.0144927536231882</v>
      </c>
      <c r="Z53" s="21" t="s">
        <v>42</v>
      </c>
      <c r="AA53" s="28"/>
      <c r="AB53" s="17">
        <v>0.87</v>
      </c>
      <c r="AC53" s="131">
        <f t="shared" si="8"/>
        <v>1.1462450592885374</v>
      </c>
      <c r="AD53" s="17" t="s">
        <v>48</v>
      </c>
      <c r="AE53" s="20" t="s">
        <v>3149</v>
      </c>
      <c r="AF53" s="21">
        <v>0.96</v>
      </c>
      <c r="AG53" s="95">
        <f t="shared" si="9"/>
        <v>1.2648221343873516</v>
      </c>
      <c r="AH53" s="21" t="s">
        <v>42</v>
      </c>
      <c r="AI53" s="23" t="s">
        <v>3150</v>
      </c>
      <c r="AJ53" s="17">
        <v>1.18</v>
      </c>
      <c r="AK53" s="372">
        <f t="shared" si="10"/>
        <v>1.5546772068511197</v>
      </c>
      <c r="AL53" s="17" t="s">
        <v>108</v>
      </c>
      <c r="AM53" s="20" t="s">
        <v>3151</v>
      </c>
      <c r="AN53" s="21">
        <v>0.95</v>
      </c>
      <c r="AO53" s="702">
        <f t="shared" si="11"/>
        <v>1.2516469038208167</v>
      </c>
      <c r="AP53" s="21" t="s">
        <v>42</v>
      </c>
      <c r="AQ53" s="23" t="s">
        <v>3152</v>
      </c>
      <c r="AR53" s="17">
        <v>0.71</v>
      </c>
      <c r="AS53" s="24">
        <f t="shared" si="12"/>
        <v>0.93544137022397877</v>
      </c>
      <c r="AT53" s="17" t="s">
        <v>70</v>
      </c>
      <c r="AU53" s="20" t="s">
        <v>3153</v>
      </c>
      <c r="AV53" s="21">
        <v>1.07</v>
      </c>
      <c r="AW53" s="432">
        <f t="shared" si="13"/>
        <v>1.4097496706192356</v>
      </c>
      <c r="AX53" s="21" t="s">
        <v>42</v>
      </c>
      <c r="AY53" s="23" t="s">
        <v>3154</v>
      </c>
      <c r="AZ53" s="17">
        <v>0.82</v>
      </c>
      <c r="BA53" s="336">
        <f t="shared" si="14"/>
        <v>1.0803689064558628</v>
      </c>
      <c r="BB53" s="17" t="s">
        <v>46</v>
      </c>
      <c r="BC53" s="20" t="s">
        <v>3155</v>
      </c>
      <c r="BD53" s="17">
        <v>0.82</v>
      </c>
      <c r="BE53" s="336">
        <f t="shared" si="15"/>
        <v>1.0803689064558628</v>
      </c>
      <c r="BF53" s="17" t="s">
        <v>46</v>
      </c>
      <c r="BG53" s="20" t="s">
        <v>3156</v>
      </c>
      <c r="BH53" s="37">
        <v>1.27</v>
      </c>
      <c r="BI53" s="740">
        <f t="shared" si="16"/>
        <v>1.6732542819499339</v>
      </c>
      <c r="BJ53" s="37" t="s">
        <v>108</v>
      </c>
      <c r="BK53" s="38" t="s">
        <v>3157</v>
      </c>
      <c r="BL53" s="17">
        <v>0.68</v>
      </c>
      <c r="BM53" s="108">
        <f t="shared" si="17"/>
        <v>0.89591567852437415</v>
      </c>
      <c r="BN53" s="17" t="s">
        <v>108</v>
      </c>
      <c r="BO53" s="40"/>
      <c r="BP53" s="17">
        <v>0.43</v>
      </c>
      <c r="BQ53" s="269">
        <f t="shared" si="18"/>
        <v>0.56653491436100123</v>
      </c>
      <c r="BR53" s="40"/>
      <c r="BS53" s="41"/>
      <c r="BT53" s="37">
        <v>0.73</v>
      </c>
      <c r="BU53" s="55">
        <f t="shared" si="19"/>
        <v>0.9617918313570486</v>
      </c>
      <c r="BV53" s="46" t="s">
        <v>48</v>
      </c>
      <c r="BW53" s="23" t="s">
        <v>3158</v>
      </c>
      <c r="BX53" s="17">
        <v>0.63</v>
      </c>
      <c r="BY53" s="137">
        <f t="shared" si="20"/>
        <v>0.83003952569169948</v>
      </c>
      <c r="BZ53" s="17" t="s">
        <v>42</v>
      </c>
      <c r="CA53" s="20" t="s">
        <v>3159</v>
      </c>
      <c r="CB53" s="37">
        <v>0.63</v>
      </c>
      <c r="CC53" s="137">
        <f t="shared" si="21"/>
        <v>0.83003952569169948</v>
      </c>
      <c r="CD53" s="46" t="s">
        <v>46</v>
      </c>
      <c r="CE53" s="23" t="s">
        <v>3160</v>
      </c>
      <c r="CF53" s="17">
        <v>0.7</v>
      </c>
      <c r="CG53" s="297">
        <f t="shared" si="22"/>
        <v>0.92226613965744375</v>
      </c>
      <c r="CH53" s="17" t="s">
        <v>108</v>
      </c>
      <c r="CI53" s="20" t="s">
        <v>3161</v>
      </c>
      <c r="CJ53" s="37">
        <v>0.12</v>
      </c>
      <c r="CK53" s="633">
        <f t="shared" si="23"/>
        <v>0.15810276679841895</v>
      </c>
      <c r="CL53" s="46" t="s">
        <v>70</v>
      </c>
      <c r="CM53" s="23" t="s">
        <v>3162</v>
      </c>
      <c r="CN53" s="17">
        <v>1</v>
      </c>
      <c r="CO53" s="531">
        <f t="shared" si="24"/>
        <v>1.3175230566534912</v>
      </c>
      <c r="CP53" s="17" t="s">
        <v>108</v>
      </c>
      <c r="CQ53" s="73" t="s">
        <v>3163</v>
      </c>
      <c r="CR53" s="37">
        <v>0.64</v>
      </c>
      <c r="CS53" s="497">
        <f t="shared" si="25"/>
        <v>0.84321475625823439</v>
      </c>
      <c r="CT53" s="21" t="s">
        <v>42</v>
      </c>
      <c r="CU53" s="23" t="s">
        <v>3164</v>
      </c>
      <c r="CV53" s="17">
        <v>1.03</v>
      </c>
      <c r="CW53" s="104">
        <f t="shared" si="26"/>
        <v>1.357048748353096</v>
      </c>
      <c r="CX53" s="17" t="s">
        <v>108</v>
      </c>
      <c r="CY53" s="73" t="s">
        <v>3165</v>
      </c>
      <c r="CZ53" s="37">
        <v>0.56999999999999995</v>
      </c>
      <c r="DA53" s="242">
        <f t="shared" si="27"/>
        <v>0.75098814229248989</v>
      </c>
      <c r="DB53" s="21" t="s">
        <v>42</v>
      </c>
      <c r="DC53" s="23" t="s">
        <v>3166</v>
      </c>
      <c r="DD53" s="17">
        <v>0.83</v>
      </c>
      <c r="DE53" s="270">
        <f t="shared" si="28"/>
        <v>1.0935441370223977</v>
      </c>
      <c r="DF53" s="17" t="s">
        <v>48</v>
      </c>
      <c r="DG53" s="5"/>
      <c r="DH53" s="37">
        <v>0.78</v>
      </c>
      <c r="DI53" s="141">
        <f t="shared" si="29"/>
        <v>1.0276679841897232</v>
      </c>
      <c r="DJ53" s="21" t="s">
        <v>1697</v>
      </c>
      <c r="DK53" s="28"/>
      <c r="DL53" s="17">
        <v>0.13</v>
      </c>
      <c r="DM53" s="569">
        <f t="shared" si="30"/>
        <v>0.17127799736495386</v>
      </c>
      <c r="DN53" s="17" t="s">
        <v>42</v>
      </c>
      <c r="DO53" s="51" t="s">
        <v>3167</v>
      </c>
      <c r="DP53" s="21">
        <v>0.89</v>
      </c>
      <c r="DQ53" s="560">
        <f t="shared" si="31"/>
        <v>1.1725955204216072</v>
      </c>
      <c r="DR53" s="53" t="s">
        <v>356</v>
      </c>
      <c r="DS53" s="54" t="s">
        <v>3168</v>
      </c>
      <c r="DT53" s="53">
        <v>0.64</v>
      </c>
      <c r="DU53" s="497">
        <f t="shared" si="32"/>
        <v>0.84321475625823439</v>
      </c>
      <c r="DV53" s="56" t="s">
        <v>108</v>
      </c>
      <c r="DW53" s="57" t="s">
        <v>3111</v>
      </c>
      <c r="DX53" s="53">
        <v>0.65</v>
      </c>
      <c r="DY53" s="272">
        <f t="shared" si="33"/>
        <v>0.8563899868247693</v>
      </c>
      <c r="DZ53" s="53" t="s">
        <v>48</v>
      </c>
      <c r="EA53" s="54" t="s">
        <v>3169</v>
      </c>
      <c r="EB53" s="56">
        <v>0.44</v>
      </c>
      <c r="EC53" s="72">
        <f t="shared" si="34"/>
        <v>0.57971014492753614</v>
      </c>
      <c r="ED53" s="56" t="s">
        <v>108</v>
      </c>
      <c r="EE53" s="711"/>
      <c r="EF53" s="53">
        <v>0.38</v>
      </c>
      <c r="EG53" s="511">
        <f t="shared" si="35"/>
        <v>0.50065876152832667</v>
      </c>
      <c r="EH53" s="53" t="s">
        <v>108</v>
      </c>
      <c r="EI53" s="614"/>
      <c r="EJ53" s="53">
        <v>0.84</v>
      </c>
      <c r="EK53" s="474">
        <f t="shared" si="36"/>
        <v>1.1067193675889326</v>
      </c>
      <c r="EL53" s="56" t="s">
        <v>66</v>
      </c>
      <c r="EM53" s="57" t="s">
        <v>3170</v>
      </c>
      <c r="EN53" s="53">
        <v>0.71</v>
      </c>
      <c r="EO53" s="24">
        <f t="shared" si="37"/>
        <v>0.93544137022397877</v>
      </c>
      <c r="EP53" s="53" t="s">
        <v>46</v>
      </c>
      <c r="EQ53" s="23" t="s">
        <v>3171</v>
      </c>
      <c r="ER53" s="53">
        <v>0.87</v>
      </c>
      <c r="ES53" s="131">
        <f t="shared" si="38"/>
        <v>1.1462450592885374</v>
      </c>
      <c r="ET53" s="53" t="s">
        <v>46</v>
      </c>
      <c r="EU53" s="20" t="s">
        <v>3172</v>
      </c>
      <c r="EV53" s="53">
        <v>0.94</v>
      </c>
      <c r="EW53" s="621">
        <f t="shared" si="39"/>
        <v>1.2384716732542818</v>
      </c>
      <c r="EX53" s="21" t="s">
        <v>108</v>
      </c>
      <c r="EY53" s="5"/>
      <c r="EZ53" s="53">
        <v>0.69</v>
      </c>
      <c r="FA53" s="492">
        <f t="shared" si="40"/>
        <v>0.90909090909090884</v>
      </c>
      <c r="FB53" s="40"/>
      <c r="FC53" s="40"/>
      <c r="FD53" s="53">
        <v>0.99</v>
      </c>
      <c r="FE53" s="529">
        <f t="shared" si="41"/>
        <v>1.3043478260869563</v>
      </c>
      <c r="FF53" s="21" t="s">
        <v>108</v>
      </c>
      <c r="FG53" s="64"/>
      <c r="FH53" s="17">
        <v>0.84</v>
      </c>
      <c r="FI53" s="474">
        <f t="shared" si="42"/>
        <v>1.1067193675889326</v>
      </c>
      <c r="FJ53" s="17" t="s">
        <v>66</v>
      </c>
      <c r="FK53" s="51" t="s">
        <v>3173</v>
      </c>
      <c r="FL53" s="17">
        <v>0.67</v>
      </c>
      <c r="FM53" s="436">
        <f t="shared" si="43"/>
        <v>0.88274044795783912</v>
      </c>
      <c r="FN53" s="21" t="s">
        <v>66</v>
      </c>
      <c r="FO53" s="51" t="s">
        <v>3174</v>
      </c>
      <c r="FP53" s="17">
        <v>0.54</v>
      </c>
      <c r="FQ53" s="129">
        <f t="shared" si="44"/>
        <v>0.71146245059288526</v>
      </c>
      <c r="FR53" s="17" t="s">
        <v>48</v>
      </c>
      <c r="FS53" s="51" t="s">
        <v>3175</v>
      </c>
      <c r="FT53" s="17">
        <v>0.75</v>
      </c>
      <c r="FU53" s="61">
        <f t="shared" si="45"/>
        <v>0.98814229249011842</v>
      </c>
      <c r="FV53" s="17" t="s">
        <v>108</v>
      </c>
      <c r="FW53" s="51" t="s">
        <v>3176</v>
      </c>
      <c r="FX53" s="17">
        <v>1.23</v>
      </c>
      <c r="FY53" s="412">
        <f t="shared" si="46"/>
        <v>1.6205533596837942</v>
      </c>
      <c r="FZ53" s="17" t="s">
        <v>46</v>
      </c>
      <c r="GA53" s="51" t="s">
        <v>3177</v>
      </c>
      <c r="GB53" s="53">
        <v>0.67</v>
      </c>
      <c r="GC53" s="436">
        <f t="shared" si="47"/>
        <v>0.88274044795783912</v>
      </c>
      <c r="GD53" s="21" t="s">
        <v>48</v>
      </c>
      <c r="GE53" s="63"/>
      <c r="GF53" s="17">
        <v>0.93</v>
      </c>
      <c r="GG53" s="48">
        <f t="shared" si="48"/>
        <v>1.2252964426877468</v>
      </c>
      <c r="GH53" s="17" t="s">
        <v>66</v>
      </c>
      <c r="GI53" s="40"/>
      <c r="GJ53" s="17">
        <v>0.88</v>
      </c>
      <c r="GK53" s="139">
        <f t="shared" si="49"/>
        <v>1.1594202898550723</v>
      </c>
      <c r="GL53" s="17" t="s">
        <v>46</v>
      </c>
      <c r="GM53" s="67" t="s">
        <v>3178</v>
      </c>
      <c r="GN53" s="17">
        <v>0.38</v>
      </c>
      <c r="GO53" s="511">
        <f t="shared" si="50"/>
        <v>0.50065876152832667</v>
      </c>
      <c r="GP53" s="17" t="s">
        <v>42</v>
      </c>
      <c r="GQ53" s="51" t="s">
        <v>3179</v>
      </c>
      <c r="GR53" s="17">
        <v>0.56999999999999995</v>
      </c>
      <c r="GS53" s="242">
        <f t="shared" si="51"/>
        <v>0.75098814229248989</v>
      </c>
      <c r="GT53" s="17" t="s">
        <v>46</v>
      </c>
      <c r="GU53" s="51" t="s">
        <v>3180</v>
      </c>
      <c r="GV53" s="17">
        <v>1.08</v>
      </c>
      <c r="GW53" s="741">
        <f t="shared" si="52"/>
        <v>1.4229249011857705</v>
      </c>
      <c r="GX53" s="17" t="s">
        <v>42</v>
      </c>
      <c r="GY53" s="73" t="s">
        <v>3181</v>
      </c>
      <c r="GZ53" s="17">
        <v>0.65</v>
      </c>
      <c r="HA53" s="272">
        <f t="shared" si="53"/>
        <v>0.8563899868247693</v>
      </c>
      <c r="HB53" s="17" t="s">
        <v>42</v>
      </c>
      <c r="HC53" s="20" t="s">
        <v>3182</v>
      </c>
      <c r="HD53" s="17">
        <v>0.8</v>
      </c>
      <c r="HE53" s="557">
        <f t="shared" si="54"/>
        <v>1.054018445322793</v>
      </c>
      <c r="HF53" s="17" t="s">
        <v>42</v>
      </c>
      <c r="HG53" s="20" t="s">
        <v>3067</v>
      </c>
      <c r="HH53" s="17">
        <v>0.86</v>
      </c>
      <c r="HI53" s="338">
        <f t="shared" si="55"/>
        <v>1.1330698287220025</v>
      </c>
      <c r="HJ53" s="17" t="s">
        <v>70</v>
      </c>
      <c r="HK53" s="20" t="s">
        <v>3183</v>
      </c>
      <c r="HL53" s="17">
        <v>0.75</v>
      </c>
      <c r="HM53" s="61">
        <f t="shared" si="56"/>
        <v>0.98814229249011842</v>
      </c>
      <c r="HN53" s="17" t="s">
        <v>66</v>
      </c>
      <c r="HO53" s="41"/>
      <c r="HP53" s="17">
        <v>0.55000000000000004</v>
      </c>
      <c r="HQ53" s="149">
        <f t="shared" si="57"/>
        <v>0.72463768115942029</v>
      </c>
      <c r="HR53" s="17" t="s">
        <v>48</v>
      </c>
      <c r="HS53" s="73" t="s">
        <v>3184</v>
      </c>
      <c r="HT53" s="17">
        <v>1.08</v>
      </c>
      <c r="HU53" s="741">
        <f t="shared" si="58"/>
        <v>1.4229249011857705</v>
      </c>
      <c r="HV53" s="17" t="s">
        <v>48</v>
      </c>
      <c r="HW53" s="75" t="s">
        <v>3123</v>
      </c>
      <c r="HX53" s="17">
        <v>0.64</v>
      </c>
      <c r="HY53" s="497">
        <f t="shared" si="59"/>
        <v>0.84321475625823439</v>
      </c>
      <c r="HZ53" s="21" t="s">
        <v>46</v>
      </c>
      <c r="IA53" s="75" t="s">
        <v>3185</v>
      </c>
      <c r="IB53" s="17">
        <v>0.96</v>
      </c>
      <c r="IC53" s="95">
        <f t="shared" si="60"/>
        <v>1.2648221343873516</v>
      </c>
      <c r="ID53" s="17" t="s">
        <v>48</v>
      </c>
      <c r="IE53" s="51" t="s">
        <v>3186</v>
      </c>
      <c r="IF53" s="17">
        <v>0.46</v>
      </c>
      <c r="IG53" s="247">
        <f t="shared" si="61"/>
        <v>0.60606060606060597</v>
      </c>
      <c r="IH53" s="17" t="s">
        <v>48</v>
      </c>
      <c r="II53" s="67" t="s">
        <v>3187</v>
      </c>
      <c r="IJ53" s="17">
        <v>0.74</v>
      </c>
      <c r="IK53" s="186">
        <f t="shared" si="62"/>
        <v>0.97496706192358351</v>
      </c>
      <c r="IL53" s="17" t="s">
        <v>48</v>
      </c>
      <c r="IM53" s="51" t="s">
        <v>3188</v>
      </c>
      <c r="IN53" s="17">
        <v>0.59</v>
      </c>
      <c r="IO53" s="344">
        <f t="shared" si="63"/>
        <v>0.77733860342555983</v>
      </c>
      <c r="IP53" s="17" t="s">
        <v>179</v>
      </c>
      <c r="IQ53" s="51" t="s">
        <v>3189</v>
      </c>
      <c r="IR53" s="17">
        <v>0.93</v>
      </c>
      <c r="IS53" s="48">
        <f t="shared" si="64"/>
        <v>1.2252964426877468</v>
      </c>
      <c r="IT53" s="17" t="s">
        <v>179</v>
      </c>
      <c r="IU53" s="75" t="s">
        <v>3129</v>
      </c>
      <c r="IV53" s="17">
        <v>0.59</v>
      </c>
      <c r="IW53" s="344">
        <f t="shared" si="65"/>
        <v>0.77733860342555983</v>
      </c>
      <c r="IX53" s="17" t="s">
        <v>48</v>
      </c>
      <c r="IY53" s="51" t="s">
        <v>3190</v>
      </c>
      <c r="IZ53" s="17">
        <v>0.69</v>
      </c>
      <c r="JA53" s="492">
        <f t="shared" si="66"/>
        <v>0.90909090909090884</v>
      </c>
      <c r="JB53" s="17" t="s">
        <v>108</v>
      </c>
      <c r="JC53" s="51" t="s">
        <v>3191</v>
      </c>
      <c r="JD53" s="17">
        <v>0.68</v>
      </c>
      <c r="JE53" s="108">
        <f t="shared" si="67"/>
        <v>0.89591567852437415</v>
      </c>
      <c r="JF53" s="17" t="s">
        <v>48</v>
      </c>
      <c r="JG53" s="51" t="s">
        <v>3192</v>
      </c>
      <c r="JH53" s="17">
        <v>0.76</v>
      </c>
      <c r="JI53" s="17">
        <f t="shared" si="68"/>
        <v>1.0013175230566533</v>
      </c>
      <c r="JJ53" s="17" t="s">
        <v>66</v>
      </c>
      <c r="JK53" s="51" t="s">
        <v>3193</v>
      </c>
      <c r="JL53" s="21">
        <v>0.6</v>
      </c>
      <c r="JM53" s="545">
        <f t="shared" si="69"/>
        <v>0.79051383399209474</v>
      </c>
      <c r="JN53" s="21" t="s">
        <v>48</v>
      </c>
      <c r="JO53" s="75" t="s">
        <v>3194</v>
      </c>
      <c r="JP53" s="21">
        <v>0.66</v>
      </c>
      <c r="JQ53" s="282">
        <f t="shared" si="70"/>
        <v>0.86956521739130421</v>
      </c>
      <c r="JR53" s="21" t="s">
        <v>42</v>
      </c>
      <c r="JS53" s="51" t="s">
        <v>3195</v>
      </c>
      <c r="JT53" s="21">
        <v>0.7</v>
      </c>
      <c r="JU53" s="297">
        <f t="shared" si="71"/>
        <v>0.92226613965744375</v>
      </c>
      <c r="JV53" s="21" t="s">
        <v>48</v>
      </c>
      <c r="JW53" s="75" t="s">
        <v>3196</v>
      </c>
      <c r="JX53" s="17">
        <v>0.91</v>
      </c>
      <c r="JY53" s="386">
        <f t="shared" si="72"/>
        <v>1.198945981554677</v>
      </c>
      <c r="JZ53" s="51" t="s">
        <v>110</v>
      </c>
      <c r="KA53" s="51" t="s">
        <v>3197</v>
      </c>
      <c r="KB53" s="21">
        <v>0.85</v>
      </c>
      <c r="KC53" s="192">
        <f t="shared" si="73"/>
        <v>1.1198945981554675</v>
      </c>
      <c r="KD53" s="75" t="s">
        <v>48</v>
      </c>
      <c r="KE53" s="75" t="s">
        <v>3198</v>
      </c>
      <c r="KF53" s="17">
        <v>0.76</v>
      </c>
      <c r="KG53" s="17">
        <f t="shared" si="74"/>
        <v>1.0013175230566533</v>
      </c>
      <c r="KH53" s="51" t="s">
        <v>42</v>
      </c>
      <c r="KI53" s="51" t="s">
        <v>3199</v>
      </c>
      <c r="KJ53" s="21">
        <v>0.61</v>
      </c>
      <c r="KK53" s="268">
        <f t="shared" si="75"/>
        <v>0.80368906455862965</v>
      </c>
      <c r="KL53" s="75" t="s">
        <v>285</v>
      </c>
      <c r="KM53" s="75" t="s">
        <v>3200</v>
      </c>
      <c r="KN53" s="17">
        <v>0.93</v>
      </c>
      <c r="KO53" s="48">
        <f t="shared" si="76"/>
        <v>1.2252964426877468</v>
      </c>
      <c r="KP53" s="51" t="s">
        <v>42</v>
      </c>
      <c r="KQ53" s="51" t="s">
        <v>3201</v>
      </c>
      <c r="KR53" s="21">
        <v>0.93</v>
      </c>
      <c r="KS53" s="48">
        <f t="shared" si="77"/>
        <v>1.2252964426877468</v>
      </c>
      <c r="KT53" s="75" t="s">
        <v>42</v>
      </c>
      <c r="KU53" s="75" t="s">
        <v>3202</v>
      </c>
      <c r="KV53" s="82">
        <v>0.74</v>
      </c>
      <c r="KW53" s="186">
        <f t="shared" si="78"/>
        <v>0.97496706192358351</v>
      </c>
      <c r="KX53" s="51" t="s">
        <v>108</v>
      </c>
      <c r="KY53" s="40"/>
      <c r="KZ53" s="83">
        <v>0.57999999999999996</v>
      </c>
      <c r="LA53" s="356">
        <f t="shared" si="79"/>
        <v>0.76416337285902491</v>
      </c>
      <c r="LB53" s="75" t="s">
        <v>46</v>
      </c>
      <c r="LC53" s="75" t="s">
        <v>3203</v>
      </c>
      <c r="LD53" s="82">
        <v>0.88</v>
      </c>
      <c r="LE53" s="139">
        <f t="shared" si="80"/>
        <v>1.1594202898550723</v>
      </c>
      <c r="LF53" s="51" t="s">
        <v>179</v>
      </c>
      <c r="LG53" s="51" t="s">
        <v>3204</v>
      </c>
      <c r="LH53" s="83">
        <v>0.99</v>
      </c>
      <c r="LI53" s="84"/>
      <c r="LJ53" s="85"/>
      <c r="LK53" s="85"/>
      <c r="LL53" s="86">
        <f t="shared" si="81"/>
        <v>0.76063291139240508</v>
      </c>
      <c r="LM53" s="86">
        <f t="shared" si="82"/>
        <v>0.82825761357963057</v>
      </c>
      <c r="LN53" s="86">
        <f t="shared" si="90"/>
        <v>0.97098872749660203</v>
      </c>
      <c r="LO53" s="86">
        <f t="shared" si="94"/>
        <v>0.80806174185555713</v>
      </c>
      <c r="LP53" s="86">
        <f t="shared" si="95"/>
        <v>0.11570140366725323</v>
      </c>
      <c r="LQ53" s="87">
        <f t="shared" si="96"/>
        <v>1</v>
      </c>
      <c r="LR53" s="86">
        <f t="shared" si="97"/>
        <v>0.826173268749677</v>
      </c>
      <c r="LS53" s="84">
        <v>1</v>
      </c>
      <c r="LT53" s="87">
        <f t="shared" si="100"/>
        <v>0</v>
      </c>
      <c r="LU53" s="87">
        <f t="shared" si="92"/>
        <v>4</v>
      </c>
      <c r="LV53" s="84">
        <f t="shared" si="98"/>
        <v>1</v>
      </c>
      <c r="LW53" s="88" t="s">
        <v>3807</v>
      </c>
      <c r="LX53" s="89" t="str">
        <f t="shared" si="87"/>
        <v>—</v>
      </c>
      <c r="LY53" s="89" t="str">
        <f t="shared" si="102"/>
        <v>Queda severa — voltar ao que deu certo</v>
      </c>
      <c r="LZ53" s="5"/>
      <c r="MA53" s="67" t="str">
        <f t="shared" si="99"/>
        <v>PALMEIRAS</v>
      </c>
      <c r="MB53" s="89" t="s">
        <v>3808</v>
      </c>
    </row>
    <row r="54" spans="1:340" x14ac:dyDescent="0.2">
      <c r="A54" s="16">
        <v>0.78541666666666665</v>
      </c>
      <c r="B54" s="737">
        <f t="shared" si="0"/>
        <v>0.75374999999999992</v>
      </c>
      <c r="C54" s="708">
        <f t="shared" si="1"/>
        <v>-0.16417910447761186</v>
      </c>
      <c r="D54" s="17">
        <v>0.63</v>
      </c>
      <c r="E54" s="415">
        <f t="shared" si="2"/>
        <v>0.83582089552238814</v>
      </c>
      <c r="F54" s="17" t="s">
        <v>48</v>
      </c>
      <c r="G54" s="20" t="s">
        <v>3205</v>
      </c>
      <c r="H54" s="21">
        <v>0.99</v>
      </c>
      <c r="I54" s="459">
        <f t="shared" si="3"/>
        <v>1.3134328358208955</v>
      </c>
      <c r="J54" s="21" t="s">
        <v>66</v>
      </c>
      <c r="K54" s="23" t="s">
        <v>3206</v>
      </c>
      <c r="L54" s="17">
        <v>0.97</v>
      </c>
      <c r="M54" s="504">
        <f t="shared" si="4"/>
        <v>1.2868988391376452</v>
      </c>
      <c r="N54" s="17" t="s">
        <v>48</v>
      </c>
      <c r="O54" s="20" t="s">
        <v>3207</v>
      </c>
      <c r="P54" s="21">
        <v>0.81</v>
      </c>
      <c r="Q54" s="265">
        <f t="shared" si="5"/>
        <v>1.074626865671642</v>
      </c>
      <c r="R54" s="21" t="s">
        <v>46</v>
      </c>
      <c r="S54" s="23" t="s">
        <v>3208</v>
      </c>
      <c r="T54" s="17">
        <v>0.75</v>
      </c>
      <c r="U54" s="251">
        <f t="shared" si="6"/>
        <v>0.99502487562189068</v>
      </c>
      <c r="V54" s="17" t="s">
        <v>46</v>
      </c>
      <c r="W54" s="5"/>
      <c r="X54" s="21">
        <v>0.71</v>
      </c>
      <c r="Y54" s="121">
        <f t="shared" si="7"/>
        <v>0.94195688225538976</v>
      </c>
      <c r="Z54" s="21" t="s">
        <v>42</v>
      </c>
      <c r="AA54" s="28"/>
      <c r="AB54" s="17">
        <v>0.87</v>
      </c>
      <c r="AC54" s="402">
        <f t="shared" si="8"/>
        <v>1.1542288557213931</v>
      </c>
      <c r="AD54" s="17" t="s">
        <v>70</v>
      </c>
      <c r="AE54" s="20" t="s">
        <v>3209</v>
      </c>
      <c r="AF54" s="21">
        <v>0.9</v>
      </c>
      <c r="AG54" s="664">
        <f t="shared" si="9"/>
        <v>1.1940298507462688</v>
      </c>
      <c r="AH54" s="21" t="s">
        <v>42</v>
      </c>
      <c r="AI54" s="23" t="s">
        <v>3210</v>
      </c>
      <c r="AJ54" s="17">
        <v>1.18</v>
      </c>
      <c r="AK54" s="224">
        <f t="shared" si="10"/>
        <v>1.5655058043117744</v>
      </c>
      <c r="AL54" s="17" t="s">
        <v>108</v>
      </c>
      <c r="AM54" s="20" t="s">
        <v>3211</v>
      </c>
      <c r="AN54" s="21">
        <v>0.95</v>
      </c>
      <c r="AO54" s="332">
        <f t="shared" si="11"/>
        <v>1.2603648424543947</v>
      </c>
      <c r="AP54" s="21" t="s">
        <v>108</v>
      </c>
      <c r="AQ54" s="23" t="s">
        <v>3212</v>
      </c>
      <c r="AR54" s="17">
        <v>0.64</v>
      </c>
      <c r="AS54" s="288">
        <f t="shared" si="12"/>
        <v>0.8490878938640134</v>
      </c>
      <c r="AT54" s="17" t="s">
        <v>70</v>
      </c>
      <c r="AU54" s="20" t="s">
        <v>3213</v>
      </c>
      <c r="AV54" s="21">
        <v>1.1399999999999999</v>
      </c>
      <c r="AW54" s="697">
        <f t="shared" si="13"/>
        <v>1.5124378109452736</v>
      </c>
      <c r="AX54" s="21" t="s">
        <v>66</v>
      </c>
      <c r="AY54" s="23" t="s">
        <v>3214</v>
      </c>
      <c r="AZ54" s="17">
        <v>0.81</v>
      </c>
      <c r="BA54" s="265">
        <f t="shared" si="14"/>
        <v>1.074626865671642</v>
      </c>
      <c r="BB54" s="17" t="s">
        <v>46</v>
      </c>
      <c r="BC54" s="20" t="s">
        <v>3215</v>
      </c>
      <c r="BD54" s="17">
        <v>0.82</v>
      </c>
      <c r="BE54" s="444">
        <f t="shared" si="15"/>
        <v>1.0878938640132672</v>
      </c>
      <c r="BF54" s="17" t="s">
        <v>46</v>
      </c>
      <c r="BG54" s="20" t="s">
        <v>3156</v>
      </c>
      <c r="BH54" s="37">
        <v>1.27</v>
      </c>
      <c r="BI54" s="320">
        <f t="shared" si="16"/>
        <v>1.6849087893864014</v>
      </c>
      <c r="BJ54" s="37" t="s">
        <v>108</v>
      </c>
      <c r="BK54" s="38" t="s">
        <v>3216</v>
      </c>
      <c r="BL54" s="17">
        <v>0.62</v>
      </c>
      <c r="BM54" s="378">
        <f t="shared" si="17"/>
        <v>0.82255389718076288</v>
      </c>
      <c r="BN54" s="17" t="s">
        <v>179</v>
      </c>
      <c r="BO54" s="40"/>
      <c r="BP54" s="17">
        <v>0.43</v>
      </c>
      <c r="BQ54" s="165">
        <f t="shared" si="18"/>
        <v>0.57048092868988398</v>
      </c>
      <c r="BR54" s="40"/>
      <c r="BS54" s="41"/>
      <c r="BT54" s="37">
        <v>0.79</v>
      </c>
      <c r="BU54" s="395">
        <f t="shared" si="19"/>
        <v>1.0480928689883915</v>
      </c>
      <c r="BV54" s="46" t="s">
        <v>48</v>
      </c>
      <c r="BW54" s="23" t="s">
        <v>3158</v>
      </c>
      <c r="BX54" s="17">
        <v>0.63</v>
      </c>
      <c r="BY54" s="415">
        <f t="shared" si="20"/>
        <v>0.83582089552238814</v>
      </c>
      <c r="BZ54" s="17" t="s">
        <v>42</v>
      </c>
      <c r="CA54" s="20" t="s">
        <v>3217</v>
      </c>
      <c r="CB54" s="37">
        <v>0.56999999999999995</v>
      </c>
      <c r="CC54" s="302">
        <f t="shared" si="21"/>
        <v>0.75621890547263682</v>
      </c>
      <c r="CD54" s="46" t="s">
        <v>46</v>
      </c>
      <c r="CE54" s="23" t="s">
        <v>3218</v>
      </c>
      <c r="CF54" s="17">
        <v>0.7</v>
      </c>
      <c r="CG54" s="652">
        <f t="shared" si="22"/>
        <v>0.9286898839137645</v>
      </c>
      <c r="CH54" s="17" t="s">
        <v>108</v>
      </c>
      <c r="CI54" s="20" t="s">
        <v>3219</v>
      </c>
      <c r="CJ54" s="37">
        <v>0.12</v>
      </c>
      <c r="CK54" s="633">
        <f t="shared" si="23"/>
        <v>0.15920398009950251</v>
      </c>
      <c r="CL54" s="46" t="s">
        <v>70</v>
      </c>
      <c r="CM54" s="23" t="s">
        <v>3220</v>
      </c>
      <c r="CN54" s="17">
        <v>1</v>
      </c>
      <c r="CO54" s="182">
        <f t="shared" si="24"/>
        <v>1.3266998341625209</v>
      </c>
      <c r="CP54" s="17" t="s">
        <v>46</v>
      </c>
      <c r="CQ54" s="73" t="s">
        <v>3221</v>
      </c>
      <c r="CR54" s="37">
        <v>0.64</v>
      </c>
      <c r="CS54" s="288">
        <f t="shared" si="25"/>
        <v>0.8490878938640134</v>
      </c>
      <c r="CT54" s="21" t="s">
        <v>108</v>
      </c>
      <c r="CU54" s="28"/>
      <c r="CV54" s="17">
        <v>1.03</v>
      </c>
      <c r="CW54" s="645">
        <f t="shared" si="26"/>
        <v>1.3665008291873966</v>
      </c>
      <c r="CX54" s="17" t="s">
        <v>2545</v>
      </c>
      <c r="CY54" s="73" t="s">
        <v>3222</v>
      </c>
      <c r="CZ54" s="742">
        <v>0.56999999999999995</v>
      </c>
      <c r="DA54" s="302">
        <f t="shared" si="27"/>
        <v>0.75621890547263682</v>
      </c>
      <c r="DB54" s="21" t="s">
        <v>42</v>
      </c>
      <c r="DC54" s="23" t="s">
        <v>3223</v>
      </c>
      <c r="DD54" s="17">
        <v>0.89</v>
      </c>
      <c r="DE54" s="25">
        <f t="shared" si="28"/>
        <v>1.1807628524046436</v>
      </c>
      <c r="DF54" s="17" t="s">
        <v>108</v>
      </c>
      <c r="DG54" s="5"/>
      <c r="DH54" s="742">
        <v>0.77</v>
      </c>
      <c r="DI54" s="533">
        <f t="shared" si="29"/>
        <v>1.0215588723051412</v>
      </c>
      <c r="DJ54" s="21" t="s">
        <v>66</v>
      </c>
      <c r="DK54" s="28"/>
      <c r="DL54" s="17">
        <v>0.13</v>
      </c>
      <c r="DM54" s="569">
        <f t="shared" si="30"/>
        <v>0.17247097844112771</v>
      </c>
      <c r="DN54" s="17" t="s">
        <v>42</v>
      </c>
      <c r="DO54" s="51" t="s">
        <v>3224</v>
      </c>
      <c r="DP54" s="21">
        <v>0.89</v>
      </c>
      <c r="DQ54" s="25">
        <f t="shared" si="31"/>
        <v>1.1807628524046436</v>
      </c>
      <c r="DR54" s="53" t="s">
        <v>356</v>
      </c>
      <c r="DS54" s="54" t="s">
        <v>3225</v>
      </c>
      <c r="DT54" s="53">
        <v>0.64</v>
      </c>
      <c r="DU54" s="288">
        <f t="shared" si="32"/>
        <v>0.8490878938640134</v>
      </c>
      <c r="DV54" s="56" t="s">
        <v>66</v>
      </c>
      <c r="DW54" s="57" t="s">
        <v>3226</v>
      </c>
      <c r="DX54" s="53">
        <v>0.65</v>
      </c>
      <c r="DY54" s="324">
        <f t="shared" si="33"/>
        <v>0.86235489220563855</v>
      </c>
      <c r="DZ54" s="53" t="s">
        <v>48</v>
      </c>
      <c r="EA54" s="54" t="s">
        <v>3227</v>
      </c>
      <c r="EB54" s="56">
        <v>0.44</v>
      </c>
      <c r="EC54" s="184">
        <f t="shared" si="34"/>
        <v>0.58374792703150924</v>
      </c>
      <c r="ED54" s="56" t="s">
        <v>46</v>
      </c>
      <c r="EE54" s="57" t="s">
        <v>3228</v>
      </c>
      <c r="EF54" s="53">
        <v>0.38</v>
      </c>
      <c r="EG54" s="68">
        <f t="shared" si="35"/>
        <v>0.50414593698175791</v>
      </c>
      <c r="EH54" s="53" t="s">
        <v>46</v>
      </c>
      <c r="EI54" s="57" t="s">
        <v>3229</v>
      </c>
      <c r="EJ54" s="53">
        <v>0.84</v>
      </c>
      <c r="EK54" s="263">
        <f t="shared" si="36"/>
        <v>1.1144278606965174</v>
      </c>
      <c r="EL54" s="56" t="s">
        <v>108</v>
      </c>
      <c r="EM54" s="614"/>
      <c r="EN54" s="53">
        <v>0.77</v>
      </c>
      <c r="EO54" s="533">
        <f t="shared" si="37"/>
        <v>1.0215588723051412</v>
      </c>
      <c r="EP54" s="53" t="s">
        <v>46</v>
      </c>
      <c r="EQ54" s="23" t="s">
        <v>3230</v>
      </c>
      <c r="ER54" s="53">
        <v>0.87</v>
      </c>
      <c r="ES54" s="402">
        <f t="shared" si="38"/>
        <v>1.1542288557213931</v>
      </c>
      <c r="ET54" s="53" t="s">
        <v>46</v>
      </c>
      <c r="EU54" s="73" t="s">
        <v>3231</v>
      </c>
      <c r="EV54" s="53">
        <v>0.88</v>
      </c>
      <c r="EW54" s="448">
        <f t="shared" si="39"/>
        <v>1.1674958540630185</v>
      </c>
      <c r="EX54" s="21" t="s">
        <v>66</v>
      </c>
      <c r="EY54" s="57" t="s">
        <v>3232</v>
      </c>
      <c r="EZ54" s="53">
        <v>0.75</v>
      </c>
      <c r="FA54" s="251">
        <f t="shared" si="40"/>
        <v>0.99502487562189068</v>
      </c>
      <c r="FB54" s="40"/>
      <c r="FC54" s="40"/>
      <c r="FD54" s="53">
        <v>0.92</v>
      </c>
      <c r="FE54" s="107">
        <f t="shared" si="41"/>
        <v>1.2205638474295193</v>
      </c>
      <c r="FF54" s="21" t="s">
        <v>48</v>
      </c>
      <c r="FG54" s="64"/>
      <c r="FH54" s="17">
        <v>0.9</v>
      </c>
      <c r="FI54" s="664">
        <f t="shared" si="42"/>
        <v>1.1940298507462688</v>
      </c>
      <c r="FJ54" s="17" t="s">
        <v>46</v>
      </c>
      <c r="FK54" s="51" t="s">
        <v>3233</v>
      </c>
      <c r="FL54" s="17">
        <v>0.67</v>
      </c>
      <c r="FM54" s="366">
        <f t="shared" si="43"/>
        <v>0.88888888888888906</v>
      </c>
      <c r="FN54" s="21" t="s">
        <v>66</v>
      </c>
      <c r="FO54" s="51" t="s">
        <v>3174</v>
      </c>
      <c r="FP54" s="17">
        <v>0.6</v>
      </c>
      <c r="FQ54" s="31">
        <f t="shared" si="44"/>
        <v>0.79601990049751248</v>
      </c>
      <c r="FR54" s="17" t="s">
        <v>48</v>
      </c>
      <c r="FS54" s="51" t="s">
        <v>3234</v>
      </c>
      <c r="FT54" s="17">
        <v>0.69</v>
      </c>
      <c r="FU54" s="227">
        <f t="shared" si="45"/>
        <v>0.91542288557213936</v>
      </c>
      <c r="FV54" s="17" t="s">
        <v>42</v>
      </c>
      <c r="FW54" s="51" t="s">
        <v>3235</v>
      </c>
      <c r="FX54" s="17">
        <v>1.23</v>
      </c>
      <c r="FY54" s="345">
        <f t="shared" si="46"/>
        <v>1.6318407960199006</v>
      </c>
      <c r="FZ54" s="17" t="s">
        <v>108</v>
      </c>
      <c r="GA54" s="51" t="s">
        <v>3236</v>
      </c>
      <c r="GB54" s="53">
        <v>0.73</v>
      </c>
      <c r="GC54" s="433">
        <f t="shared" si="47"/>
        <v>0.96849087893864017</v>
      </c>
      <c r="GD54" s="21" t="s">
        <v>48</v>
      </c>
      <c r="GE54" s="63"/>
      <c r="GF54" s="17">
        <v>0.93</v>
      </c>
      <c r="GG54" s="466">
        <f t="shared" si="48"/>
        <v>1.2338308457711444</v>
      </c>
      <c r="GH54" s="17" t="s">
        <v>66</v>
      </c>
      <c r="GI54" s="40"/>
      <c r="GJ54" s="17">
        <v>0.8</v>
      </c>
      <c r="GK54" s="570">
        <f t="shared" si="49"/>
        <v>1.0613598673300169</v>
      </c>
      <c r="GL54" s="17" t="s">
        <v>108</v>
      </c>
      <c r="GM54" s="274"/>
      <c r="GN54" s="17">
        <v>0.38</v>
      </c>
      <c r="GO54" s="68">
        <f t="shared" si="50"/>
        <v>0.50414593698175791</v>
      </c>
      <c r="GP54" s="17" t="s">
        <v>46</v>
      </c>
      <c r="GQ54" s="51" t="s">
        <v>3237</v>
      </c>
      <c r="GR54" s="17">
        <v>0.63</v>
      </c>
      <c r="GS54" s="415">
        <f t="shared" si="51"/>
        <v>0.83582089552238814</v>
      </c>
      <c r="GT54" s="17" t="s">
        <v>46</v>
      </c>
      <c r="GU54" s="51" t="s">
        <v>3238</v>
      </c>
      <c r="GV54" s="17">
        <v>1.06</v>
      </c>
      <c r="GW54" s="105">
        <f t="shared" si="52"/>
        <v>1.4063018242122722</v>
      </c>
      <c r="GX54" s="17" t="s">
        <v>42</v>
      </c>
      <c r="GY54" s="73" t="s">
        <v>3239</v>
      </c>
      <c r="GZ54" s="17">
        <v>0.65</v>
      </c>
      <c r="HA54" s="324">
        <f t="shared" si="53"/>
        <v>0.86235489220563855</v>
      </c>
      <c r="HB54" s="17" t="s">
        <v>48</v>
      </c>
      <c r="HC54" s="20" t="s">
        <v>3240</v>
      </c>
      <c r="HD54" s="17">
        <v>0.8</v>
      </c>
      <c r="HE54" s="570">
        <f t="shared" si="54"/>
        <v>1.0613598673300169</v>
      </c>
      <c r="HF54" s="17" t="s">
        <v>70</v>
      </c>
      <c r="HG54" s="20" t="s">
        <v>3241</v>
      </c>
      <c r="HH54" s="17">
        <v>0.86</v>
      </c>
      <c r="HI54" s="490">
        <f t="shared" si="55"/>
        <v>1.140961857379768</v>
      </c>
      <c r="HJ54" s="17" t="s">
        <v>66</v>
      </c>
      <c r="HK54" s="20" t="s">
        <v>3242</v>
      </c>
      <c r="HL54" s="17">
        <v>0.8</v>
      </c>
      <c r="HM54" s="570">
        <f t="shared" si="56"/>
        <v>1.0613598673300169</v>
      </c>
      <c r="HN54" s="17" t="s">
        <v>66</v>
      </c>
      <c r="HO54" s="41"/>
      <c r="HP54" s="17">
        <v>0.55000000000000004</v>
      </c>
      <c r="HQ54" s="540">
        <f t="shared" si="57"/>
        <v>0.72968490878938652</v>
      </c>
      <c r="HR54" s="17" t="s">
        <v>48</v>
      </c>
      <c r="HS54" s="73" t="s">
        <v>3243</v>
      </c>
      <c r="HT54" s="17">
        <v>1.02</v>
      </c>
      <c r="HU54" s="648">
        <f t="shared" si="58"/>
        <v>1.3532338308457712</v>
      </c>
      <c r="HV54" s="17" t="s">
        <v>48</v>
      </c>
      <c r="HW54" s="75" t="s">
        <v>3123</v>
      </c>
      <c r="HX54" s="17">
        <v>0.56999999999999995</v>
      </c>
      <c r="HY54" s="302">
        <f t="shared" si="59"/>
        <v>0.75621890547263682</v>
      </c>
      <c r="HZ54" s="21" t="s">
        <v>66</v>
      </c>
      <c r="IA54" s="75" t="s">
        <v>3244</v>
      </c>
      <c r="IB54" s="17">
        <v>0.96</v>
      </c>
      <c r="IC54" s="77">
        <f t="shared" si="60"/>
        <v>1.2736318407960201</v>
      </c>
      <c r="ID54" s="17" t="s">
        <v>48</v>
      </c>
      <c r="IE54" s="51" t="s">
        <v>3245</v>
      </c>
      <c r="IF54" s="17">
        <v>0.46</v>
      </c>
      <c r="IG54" s="313">
        <f t="shared" si="61"/>
        <v>0.61028192371475964</v>
      </c>
      <c r="IH54" s="17" t="s">
        <v>48</v>
      </c>
      <c r="II54" s="67" t="s">
        <v>3246</v>
      </c>
      <c r="IJ54" s="17">
        <v>0.74</v>
      </c>
      <c r="IK54" s="284">
        <f t="shared" si="62"/>
        <v>0.98175787728026542</v>
      </c>
      <c r="IL54" s="17" t="s">
        <v>48</v>
      </c>
      <c r="IM54" s="51" t="s">
        <v>3247</v>
      </c>
      <c r="IN54" s="17">
        <v>0.59</v>
      </c>
      <c r="IO54" s="109">
        <f t="shared" si="63"/>
        <v>0.78275290215588722</v>
      </c>
      <c r="IP54" s="17" t="s">
        <v>179</v>
      </c>
      <c r="IQ54" s="51" t="s">
        <v>3189</v>
      </c>
      <c r="IR54" s="17">
        <v>1.01</v>
      </c>
      <c r="IS54" s="292">
        <f t="shared" si="64"/>
        <v>1.3399668325041461</v>
      </c>
      <c r="IT54" s="17" t="s">
        <v>46</v>
      </c>
      <c r="IU54" s="75" t="s">
        <v>3248</v>
      </c>
      <c r="IV54" s="17">
        <v>0.53</v>
      </c>
      <c r="IW54" s="198">
        <f t="shared" si="65"/>
        <v>0.70315091210613612</v>
      </c>
      <c r="IX54" s="17" t="s">
        <v>48</v>
      </c>
      <c r="IY54" s="51" t="s">
        <v>3249</v>
      </c>
      <c r="IZ54" s="17">
        <v>0.69</v>
      </c>
      <c r="JA54" s="227">
        <f t="shared" si="66"/>
        <v>0.91542288557213936</v>
      </c>
      <c r="JB54" s="17" t="s">
        <v>48</v>
      </c>
      <c r="JC54" s="51" t="s">
        <v>3250</v>
      </c>
      <c r="JD54" s="17">
        <v>0.68</v>
      </c>
      <c r="JE54" s="300">
        <f t="shared" si="67"/>
        <v>0.90215588723051421</v>
      </c>
      <c r="JF54" s="17" t="s">
        <v>48</v>
      </c>
      <c r="JG54" s="51" t="s">
        <v>3251</v>
      </c>
      <c r="JH54" s="17">
        <v>0.81</v>
      </c>
      <c r="JI54" s="265">
        <f t="shared" si="68"/>
        <v>1.074626865671642</v>
      </c>
      <c r="JJ54" s="17" t="s">
        <v>66</v>
      </c>
      <c r="JK54" s="51" t="s">
        <v>3252</v>
      </c>
      <c r="JL54" s="21">
        <v>0.53</v>
      </c>
      <c r="JM54" s="198">
        <f t="shared" si="69"/>
        <v>0.70315091210613612</v>
      </c>
      <c r="JN54" s="21" t="s">
        <v>48</v>
      </c>
      <c r="JO54" s="75" t="s">
        <v>3253</v>
      </c>
      <c r="JP54" s="21">
        <v>0.72</v>
      </c>
      <c r="JQ54" s="194">
        <f t="shared" si="70"/>
        <v>0.95522388059701502</v>
      </c>
      <c r="JR54" s="21" t="s">
        <v>42</v>
      </c>
      <c r="JS54" s="51" t="s">
        <v>3254</v>
      </c>
      <c r="JT54" s="21">
        <v>0.7</v>
      </c>
      <c r="JU54" s="652">
        <f t="shared" si="71"/>
        <v>0.9286898839137645</v>
      </c>
      <c r="JV54" s="21" t="s">
        <v>48</v>
      </c>
      <c r="JW54" s="75" t="s">
        <v>3255</v>
      </c>
      <c r="JX54" s="17">
        <v>0.79</v>
      </c>
      <c r="JY54" s="395">
        <f t="shared" si="72"/>
        <v>1.0480928689883915</v>
      </c>
      <c r="JZ54" s="51" t="s">
        <v>48</v>
      </c>
      <c r="KA54" s="51" t="s">
        <v>3256</v>
      </c>
      <c r="KB54" s="21">
        <v>0.85</v>
      </c>
      <c r="KC54" s="367">
        <f t="shared" si="73"/>
        <v>1.1276948590381428</v>
      </c>
      <c r="KD54" s="75" t="s">
        <v>48</v>
      </c>
      <c r="KE54" s="75" t="s">
        <v>3257</v>
      </c>
      <c r="KF54" s="17">
        <v>0.76</v>
      </c>
      <c r="KG54" s="362">
        <f t="shared" si="74"/>
        <v>1.0082918739635158</v>
      </c>
      <c r="KH54" s="51" t="s">
        <v>42</v>
      </c>
      <c r="KI54" s="51" t="s">
        <v>3258</v>
      </c>
      <c r="KJ54" s="21">
        <v>0.61</v>
      </c>
      <c r="KK54" s="159">
        <f t="shared" si="75"/>
        <v>0.80928689883913774</v>
      </c>
      <c r="KL54" s="75" t="s">
        <v>285</v>
      </c>
      <c r="KM54" s="75" t="s">
        <v>3200</v>
      </c>
      <c r="KN54" s="17">
        <v>0.8</v>
      </c>
      <c r="KO54" s="570">
        <f t="shared" si="76"/>
        <v>1.0613598673300169</v>
      </c>
      <c r="KP54" s="51" t="s">
        <v>42</v>
      </c>
      <c r="KQ54" s="51" t="s">
        <v>3259</v>
      </c>
      <c r="KR54" s="21">
        <v>0.88</v>
      </c>
      <c r="KS54" s="448">
        <f t="shared" si="77"/>
        <v>1.1674958540630185</v>
      </c>
      <c r="KT54" s="75" t="s">
        <v>42</v>
      </c>
      <c r="KU54" s="75" t="s">
        <v>3260</v>
      </c>
      <c r="KV54" s="82">
        <v>0.68</v>
      </c>
      <c r="KW54" s="300">
        <f t="shared" si="78"/>
        <v>0.90215588723051421</v>
      </c>
      <c r="KX54" s="51" t="s">
        <v>42</v>
      </c>
      <c r="KY54" s="51" t="s">
        <v>3261</v>
      </c>
      <c r="KZ54" s="83">
        <v>0.57999999999999996</v>
      </c>
      <c r="LA54" s="19">
        <f t="shared" si="79"/>
        <v>0.76948590381426207</v>
      </c>
      <c r="LB54" s="75" t="s">
        <v>46</v>
      </c>
      <c r="LC54" s="75" t="s">
        <v>3262</v>
      </c>
      <c r="LD54" s="82">
        <v>0.78</v>
      </c>
      <c r="LE54" s="94">
        <f t="shared" si="80"/>
        <v>1.0348258706467663</v>
      </c>
      <c r="LF54" s="51" t="s">
        <v>48</v>
      </c>
      <c r="LG54" s="51" t="s">
        <v>3263</v>
      </c>
      <c r="LH54" s="83">
        <v>0.92</v>
      </c>
      <c r="LI54" s="84"/>
      <c r="LJ54" s="85"/>
      <c r="LK54" s="85"/>
      <c r="LL54" s="86">
        <f t="shared" si="81"/>
        <v>0.75531645569620265</v>
      </c>
      <c r="LM54" s="86">
        <f t="shared" si="82"/>
        <v>0.8340874811463046</v>
      </c>
      <c r="LN54" s="86">
        <f t="shared" si="90"/>
        <v>0.9681900782041124</v>
      </c>
      <c r="LO54" s="86">
        <f t="shared" si="94"/>
        <v>0.82922560718829785</v>
      </c>
      <c r="LP54" s="86">
        <f t="shared" si="95"/>
        <v>4.1145435349212445E-3</v>
      </c>
      <c r="LQ54" s="87">
        <f t="shared" si="96"/>
        <v>1</v>
      </c>
      <c r="LR54" s="86">
        <f t="shared" si="97"/>
        <v>0.82939506313962319</v>
      </c>
      <c r="LS54" s="84">
        <v>1</v>
      </c>
      <c r="LT54" s="87">
        <f t="shared" si="100"/>
        <v>0</v>
      </c>
      <c r="LU54" s="87">
        <f t="shared" si="92"/>
        <v>5</v>
      </c>
      <c r="LV54" s="84">
        <f t="shared" si="98"/>
        <v>1</v>
      </c>
      <c r="LW54" s="88" t="s">
        <v>3807</v>
      </c>
      <c r="LX54" s="89" t="str">
        <f t="shared" si="87"/>
        <v>—</v>
      </c>
      <c r="LY54" s="89" t="str">
        <f t="shared" si="102"/>
        <v>Queda severa — voltar ao que deu certo</v>
      </c>
      <c r="LZ54" s="5"/>
      <c r="MA54" s="67" t="str">
        <f t="shared" si="99"/>
        <v>PALMEIRAS</v>
      </c>
      <c r="MB54" s="89" t="s">
        <v>3808</v>
      </c>
    </row>
    <row r="55" spans="1:340" x14ac:dyDescent="0.2">
      <c r="A55" s="16">
        <v>0.78611111111111109</v>
      </c>
      <c r="B55" s="734">
        <f t="shared" si="0"/>
        <v>0.76312500000000028</v>
      </c>
      <c r="C55" s="743">
        <f t="shared" si="1"/>
        <v>-5.6511056511056923E-2</v>
      </c>
      <c r="D55" s="17">
        <v>0.72</v>
      </c>
      <c r="E55" s="121">
        <f t="shared" si="2"/>
        <v>0.94348894348894308</v>
      </c>
      <c r="F55" s="17" t="s">
        <v>48</v>
      </c>
      <c r="G55" s="20" t="s">
        <v>3264</v>
      </c>
      <c r="H55" s="21">
        <v>0.92</v>
      </c>
      <c r="I55" s="744">
        <f t="shared" si="3"/>
        <v>1.2055692055692051</v>
      </c>
      <c r="J55" s="21" t="s">
        <v>108</v>
      </c>
      <c r="K55" s="23" t="s">
        <v>3265</v>
      </c>
      <c r="L55" s="17">
        <v>0.91</v>
      </c>
      <c r="M55" s="664">
        <f t="shared" si="4"/>
        <v>1.1924651924651921</v>
      </c>
      <c r="N55" s="17" t="s">
        <v>48</v>
      </c>
      <c r="O55" s="20" t="s">
        <v>3266</v>
      </c>
      <c r="P55" s="21">
        <v>0.86</v>
      </c>
      <c r="Q55" s="367">
        <f t="shared" si="5"/>
        <v>1.1269451269451265</v>
      </c>
      <c r="R55" s="21" t="s">
        <v>108</v>
      </c>
      <c r="S55" s="23" t="s">
        <v>3267</v>
      </c>
      <c r="T55" s="17">
        <v>0.69</v>
      </c>
      <c r="U55" s="300">
        <f t="shared" si="6"/>
        <v>0.90417690417690377</v>
      </c>
      <c r="V55" s="17" t="s">
        <v>108</v>
      </c>
      <c r="W55" s="5"/>
      <c r="X55" s="21">
        <v>0.71</v>
      </c>
      <c r="Y55" s="191">
        <f t="shared" si="7"/>
        <v>0.93038493038492998</v>
      </c>
      <c r="Z55" s="21" t="s">
        <v>42</v>
      </c>
      <c r="AA55" s="28"/>
      <c r="AB55" s="17">
        <v>0.87</v>
      </c>
      <c r="AC55" s="195">
        <f t="shared" si="8"/>
        <v>1.1400491400491397</v>
      </c>
      <c r="AD55" s="17" t="s">
        <v>70</v>
      </c>
      <c r="AE55" s="20" t="s">
        <v>3268</v>
      </c>
      <c r="AF55" s="21">
        <v>0.9</v>
      </c>
      <c r="AG55" s="25">
        <f t="shared" si="9"/>
        <v>1.1793611793611789</v>
      </c>
      <c r="AH55" s="21" t="s">
        <v>48</v>
      </c>
      <c r="AI55" s="23" t="s">
        <v>3269</v>
      </c>
      <c r="AJ55" s="17">
        <v>1.1599999999999999</v>
      </c>
      <c r="AK55" s="407">
        <f t="shared" si="10"/>
        <v>1.5200655200655193</v>
      </c>
      <c r="AL55" s="17" t="s">
        <v>70</v>
      </c>
      <c r="AM55" s="20" t="s">
        <v>3270</v>
      </c>
      <c r="AN55" s="21">
        <v>1.01</v>
      </c>
      <c r="AO55" s="615">
        <f t="shared" si="11"/>
        <v>1.3235053235053231</v>
      </c>
      <c r="AP55" s="21" t="s">
        <v>42</v>
      </c>
      <c r="AQ55" s="23" t="s">
        <v>3271</v>
      </c>
      <c r="AR55" s="17">
        <v>0.64</v>
      </c>
      <c r="AS55" s="415">
        <f t="shared" si="12"/>
        <v>0.83865683865683838</v>
      </c>
      <c r="AT55" s="17" t="s">
        <v>48</v>
      </c>
      <c r="AU55" s="20" t="s">
        <v>3272</v>
      </c>
      <c r="AV55" s="21">
        <v>1.1399999999999999</v>
      </c>
      <c r="AW55" s="114">
        <f t="shared" si="13"/>
        <v>1.4938574938574931</v>
      </c>
      <c r="AX55" s="21" t="s">
        <v>66</v>
      </c>
      <c r="AY55" s="23" t="s">
        <v>3273</v>
      </c>
      <c r="AZ55" s="17">
        <v>0.88</v>
      </c>
      <c r="BA55" s="44">
        <f t="shared" si="14"/>
        <v>1.1531531531531527</v>
      </c>
      <c r="BB55" s="17" t="s">
        <v>46</v>
      </c>
      <c r="BC55" s="20" t="s">
        <v>3274</v>
      </c>
      <c r="BD55" s="17">
        <v>0.76</v>
      </c>
      <c r="BE55" s="251">
        <f t="shared" si="15"/>
        <v>0.99590499590499559</v>
      </c>
      <c r="BF55" s="17" t="s">
        <v>108</v>
      </c>
      <c r="BG55" s="20" t="s">
        <v>3267</v>
      </c>
      <c r="BH55" s="37">
        <v>1.21</v>
      </c>
      <c r="BI55" s="35">
        <f t="shared" si="16"/>
        <v>1.5855855855855849</v>
      </c>
      <c r="BJ55" s="37" t="s">
        <v>42</v>
      </c>
      <c r="BK55" s="38" t="s">
        <v>3275</v>
      </c>
      <c r="BL55" s="17">
        <v>0.62</v>
      </c>
      <c r="BM55" s="223">
        <f t="shared" si="17"/>
        <v>0.81244881244881217</v>
      </c>
      <c r="BN55" s="17" t="s">
        <v>108</v>
      </c>
      <c r="BO55" s="40"/>
      <c r="BP55" s="17">
        <v>0.5</v>
      </c>
      <c r="BQ55" s="163">
        <f t="shared" si="18"/>
        <v>0.65520065520065496</v>
      </c>
      <c r="BR55" s="40"/>
      <c r="BS55" s="41"/>
      <c r="BT55" s="37">
        <v>0.79</v>
      </c>
      <c r="BU55" s="699">
        <f t="shared" si="19"/>
        <v>1.0352170352170349</v>
      </c>
      <c r="BV55" s="46" t="s">
        <v>48</v>
      </c>
      <c r="BW55" s="23" t="s">
        <v>3276</v>
      </c>
      <c r="BX55" s="17">
        <v>0.63</v>
      </c>
      <c r="BY55" s="629">
        <f t="shared" si="20"/>
        <v>0.82555282555282528</v>
      </c>
      <c r="BZ55" s="17" t="s">
        <v>42</v>
      </c>
      <c r="CA55" s="20" t="s">
        <v>3277</v>
      </c>
      <c r="CB55" s="37">
        <v>0.56999999999999995</v>
      </c>
      <c r="CC55" s="541">
        <f t="shared" si="21"/>
        <v>0.74692874692874656</v>
      </c>
      <c r="CD55" s="46" t="s">
        <v>46</v>
      </c>
      <c r="CE55" s="23" t="s">
        <v>3278</v>
      </c>
      <c r="CF55" s="17">
        <v>0.56999999999999995</v>
      </c>
      <c r="CG55" s="541">
        <f t="shared" si="22"/>
        <v>0.74692874692874656</v>
      </c>
      <c r="CH55" s="17" t="s">
        <v>48</v>
      </c>
      <c r="CI55" s="20" t="s">
        <v>3279</v>
      </c>
      <c r="CJ55" s="37">
        <v>0.19</v>
      </c>
      <c r="CK55" s="185">
        <f t="shared" si="23"/>
        <v>0.2489762489762489</v>
      </c>
      <c r="CL55" s="46" t="s">
        <v>48</v>
      </c>
      <c r="CM55" s="23" t="s">
        <v>3280</v>
      </c>
      <c r="CN55" s="17">
        <v>1</v>
      </c>
      <c r="CO55" s="116">
        <f t="shared" si="24"/>
        <v>1.3104013104013099</v>
      </c>
      <c r="CP55" s="17" t="s">
        <v>46</v>
      </c>
      <c r="CQ55" s="73" t="s">
        <v>3281</v>
      </c>
      <c r="CR55" s="742">
        <v>0.71</v>
      </c>
      <c r="CS55" s="191">
        <f t="shared" si="25"/>
        <v>0.93038493038492998</v>
      </c>
      <c r="CT55" s="21" t="s">
        <v>48</v>
      </c>
      <c r="CU55" s="23" t="s">
        <v>3282</v>
      </c>
      <c r="CV55" s="17">
        <v>1.03</v>
      </c>
      <c r="CW55" s="745">
        <f t="shared" si="26"/>
        <v>1.3497133497133493</v>
      </c>
      <c r="CX55" s="17" t="s">
        <v>48</v>
      </c>
      <c r="CY55" s="73" t="s">
        <v>3283</v>
      </c>
      <c r="CZ55" s="742">
        <v>0.63</v>
      </c>
      <c r="DA55" s="629">
        <f t="shared" si="27"/>
        <v>0.82555282555282528</v>
      </c>
      <c r="DB55" s="21" t="s">
        <v>42</v>
      </c>
      <c r="DC55" s="23" t="s">
        <v>3284</v>
      </c>
      <c r="DD55" s="17">
        <v>0.76</v>
      </c>
      <c r="DE55" s="251">
        <f t="shared" si="28"/>
        <v>0.99590499590499559</v>
      </c>
      <c r="DF55" s="17" t="s">
        <v>108</v>
      </c>
      <c r="DG55" s="5"/>
      <c r="DH55" s="742">
        <v>0.77</v>
      </c>
      <c r="DI55" s="618">
        <f t="shared" si="29"/>
        <v>1.0090090090090087</v>
      </c>
      <c r="DJ55" s="21" t="s">
        <v>46</v>
      </c>
      <c r="DK55" s="28"/>
      <c r="DL55" s="17">
        <v>0.13</v>
      </c>
      <c r="DM55" s="569">
        <f t="shared" si="30"/>
        <v>0.17035217035217029</v>
      </c>
      <c r="DN55" s="17" t="s">
        <v>42</v>
      </c>
      <c r="DO55" s="51" t="s">
        <v>3285</v>
      </c>
      <c r="DP55" s="21">
        <v>0.89</v>
      </c>
      <c r="DQ55" s="448">
        <f t="shared" si="31"/>
        <v>1.1662571662571659</v>
      </c>
      <c r="DR55" s="53" t="s">
        <v>48</v>
      </c>
      <c r="DS55" s="54" t="s">
        <v>3286</v>
      </c>
      <c r="DT55" s="53">
        <v>0.63</v>
      </c>
      <c r="DU55" s="629">
        <f t="shared" si="32"/>
        <v>0.82555282555282528</v>
      </c>
      <c r="DV55" s="56" t="s">
        <v>66</v>
      </c>
      <c r="DW55" s="57" t="s">
        <v>3226</v>
      </c>
      <c r="DX55" s="53">
        <v>0.65</v>
      </c>
      <c r="DY55" s="127">
        <f t="shared" si="33"/>
        <v>0.85176085176085148</v>
      </c>
      <c r="DZ55" s="53" t="s">
        <v>48</v>
      </c>
      <c r="EA55" s="54" t="s">
        <v>3287</v>
      </c>
      <c r="EB55" s="56">
        <v>0.44</v>
      </c>
      <c r="EC55" s="72">
        <f t="shared" si="34"/>
        <v>0.57657657657657635</v>
      </c>
      <c r="ED55" s="56" t="s">
        <v>46</v>
      </c>
      <c r="EE55" s="57" t="s">
        <v>3288</v>
      </c>
      <c r="EF55" s="53">
        <v>0.45</v>
      </c>
      <c r="EG55" s="147">
        <f t="shared" si="35"/>
        <v>0.58968058968058945</v>
      </c>
      <c r="EH55" s="53" t="s">
        <v>46</v>
      </c>
      <c r="EI55" s="57" t="s">
        <v>3289</v>
      </c>
      <c r="EJ55" s="53">
        <v>0.84</v>
      </c>
      <c r="EK55" s="573">
        <f t="shared" si="36"/>
        <v>1.1007371007371003</v>
      </c>
      <c r="EL55" s="56" t="s">
        <v>108</v>
      </c>
      <c r="EM55" s="711"/>
      <c r="EN55" s="53">
        <v>0.89</v>
      </c>
      <c r="EO55" s="448">
        <f t="shared" si="37"/>
        <v>1.1662571662571659</v>
      </c>
      <c r="EP55" s="53" t="s">
        <v>66</v>
      </c>
      <c r="EQ55" s="23" t="s">
        <v>3290</v>
      </c>
      <c r="ER55" s="53">
        <v>0.87</v>
      </c>
      <c r="ES55" s="195">
        <f t="shared" si="38"/>
        <v>1.1400491400491397</v>
      </c>
      <c r="ET55" s="53" t="s">
        <v>46</v>
      </c>
      <c r="EU55" s="20" t="s">
        <v>3291</v>
      </c>
      <c r="EV55" s="53">
        <v>0.94</v>
      </c>
      <c r="EW55" s="458">
        <f t="shared" si="39"/>
        <v>1.2317772317772313</v>
      </c>
      <c r="EX55" s="21" t="s">
        <v>66</v>
      </c>
      <c r="EY55" s="57" t="s">
        <v>3292</v>
      </c>
      <c r="EZ55" s="53">
        <v>0.75</v>
      </c>
      <c r="FA55" s="284">
        <f t="shared" si="40"/>
        <v>0.98280098280098249</v>
      </c>
      <c r="FB55" s="40"/>
      <c r="FC55" s="40"/>
      <c r="FD55" s="53">
        <v>0.93</v>
      </c>
      <c r="FE55" s="472">
        <f t="shared" si="41"/>
        <v>1.2186732186732183</v>
      </c>
      <c r="FF55" s="21" t="s">
        <v>48</v>
      </c>
      <c r="FG55" s="64"/>
      <c r="FH55" s="17">
        <v>0.96</v>
      </c>
      <c r="FI55" s="332">
        <f t="shared" si="42"/>
        <v>1.2579852579852575</v>
      </c>
      <c r="FJ55" s="17" t="s">
        <v>66</v>
      </c>
      <c r="FK55" s="51" t="s">
        <v>3293</v>
      </c>
      <c r="FL55" s="17">
        <v>0.67</v>
      </c>
      <c r="FM55" s="145">
        <f t="shared" si="43"/>
        <v>0.87796887796887768</v>
      </c>
      <c r="FN55" s="21" t="s">
        <v>179</v>
      </c>
      <c r="FO55" s="51" t="s">
        <v>3294</v>
      </c>
      <c r="FP55" s="17">
        <v>0.54</v>
      </c>
      <c r="FQ55" s="353">
        <f t="shared" si="44"/>
        <v>0.70761670761670736</v>
      </c>
      <c r="FR55" s="17" t="s">
        <v>108</v>
      </c>
      <c r="FS55" s="51" t="s">
        <v>3295</v>
      </c>
      <c r="FT55" s="17">
        <v>0.69</v>
      </c>
      <c r="FU55" s="300">
        <f t="shared" si="45"/>
        <v>0.90417690417690377</v>
      </c>
      <c r="FV55" s="17" t="s">
        <v>42</v>
      </c>
      <c r="FW55" s="51" t="s">
        <v>3296</v>
      </c>
      <c r="FX55" s="17">
        <v>1.23</v>
      </c>
      <c r="FY55" s="342">
        <f t="shared" si="46"/>
        <v>1.6117936117936111</v>
      </c>
      <c r="FZ55" s="17" t="s">
        <v>108</v>
      </c>
      <c r="GA55" s="51" t="s">
        <v>3297</v>
      </c>
      <c r="GB55" s="53">
        <v>0.79</v>
      </c>
      <c r="GC55" s="699">
        <f t="shared" si="47"/>
        <v>1.0352170352170349</v>
      </c>
      <c r="GD55" s="21" t="s">
        <v>108</v>
      </c>
      <c r="GE55" s="63"/>
      <c r="GF55" s="17">
        <v>0.93</v>
      </c>
      <c r="GG55" s="472">
        <f t="shared" si="48"/>
        <v>1.2186732186732183</v>
      </c>
      <c r="GH55" s="17" t="s">
        <v>46</v>
      </c>
      <c r="GI55" s="51" t="s">
        <v>3298</v>
      </c>
      <c r="GJ55" s="17">
        <v>0.74</v>
      </c>
      <c r="GK55" s="409">
        <f t="shared" si="49"/>
        <v>0.96969696969696939</v>
      </c>
      <c r="GL55" s="17" t="s">
        <v>46</v>
      </c>
      <c r="GM55" s="274"/>
      <c r="GN55" s="17">
        <v>0.38</v>
      </c>
      <c r="GO55" s="210">
        <f t="shared" si="50"/>
        <v>0.4979524979524978</v>
      </c>
      <c r="GP55" s="17" t="s">
        <v>46</v>
      </c>
      <c r="GQ55" s="51" t="s">
        <v>3299</v>
      </c>
      <c r="GR55" s="17">
        <v>0.63</v>
      </c>
      <c r="GS55" s="629">
        <f t="shared" si="51"/>
        <v>0.82555282555282528</v>
      </c>
      <c r="GT55" s="17" t="s">
        <v>46</v>
      </c>
      <c r="GU55" s="51" t="s">
        <v>3300</v>
      </c>
      <c r="GV55" s="17">
        <v>1.1299999999999999</v>
      </c>
      <c r="GW55" s="666">
        <f t="shared" si="52"/>
        <v>1.4807534807534801</v>
      </c>
      <c r="GX55" s="17" t="s">
        <v>70</v>
      </c>
      <c r="GY55" s="67" t="s">
        <v>3301</v>
      </c>
      <c r="GZ55" s="17">
        <v>0.65</v>
      </c>
      <c r="HA55" s="127">
        <f t="shared" si="53"/>
        <v>0.85176085176085148</v>
      </c>
      <c r="HB55" s="17" t="s">
        <v>48</v>
      </c>
      <c r="HC55" s="20" t="s">
        <v>3302</v>
      </c>
      <c r="HD55" s="17">
        <v>0.8</v>
      </c>
      <c r="HE55" s="395">
        <f t="shared" si="54"/>
        <v>1.0483210483210481</v>
      </c>
      <c r="HF55" s="17" t="s">
        <v>70</v>
      </c>
      <c r="HG55" s="20" t="s">
        <v>3241</v>
      </c>
      <c r="HH55" s="17">
        <v>0.86</v>
      </c>
      <c r="HI55" s="367">
        <f t="shared" si="55"/>
        <v>1.1269451269451265</v>
      </c>
      <c r="HJ55" s="17" t="s">
        <v>42</v>
      </c>
      <c r="HK55" s="20" t="s">
        <v>3303</v>
      </c>
      <c r="HL55" s="17">
        <v>0.8</v>
      </c>
      <c r="HM55" s="395">
        <f t="shared" si="56"/>
        <v>1.0483210483210481</v>
      </c>
      <c r="HN55" s="17" t="s">
        <v>66</v>
      </c>
      <c r="HO55" s="41"/>
      <c r="HP55" s="17">
        <v>0.55000000000000004</v>
      </c>
      <c r="HQ55" s="74">
        <f t="shared" si="57"/>
        <v>0.72072072072072046</v>
      </c>
      <c r="HR55" s="17" t="s">
        <v>48</v>
      </c>
      <c r="HS55" s="73" t="s">
        <v>3304</v>
      </c>
      <c r="HT55" s="17">
        <v>1.02</v>
      </c>
      <c r="HU55" s="746">
        <f t="shared" si="58"/>
        <v>1.3366093366093361</v>
      </c>
      <c r="HV55" s="17" t="s">
        <v>48</v>
      </c>
      <c r="HW55" s="75" t="s">
        <v>3123</v>
      </c>
      <c r="HX55" s="17">
        <v>0.63</v>
      </c>
      <c r="HY55" s="629">
        <f t="shared" si="59"/>
        <v>0.82555282555282528</v>
      </c>
      <c r="HZ55" s="21" t="s">
        <v>66</v>
      </c>
      <c r="IA55" s="75" t="s">
        <v>3305</v>
      </c>
      <c r="IB55" s="17">
        <v>0.96</v>
      </c>
      <c r="IC55" s="332">
        <f t="shared" si="60"/>
        <v>1.2579852579852575</v>
      </c>
      <c r="ID55" s="17" t="s">
        <v>48</v>
      </c>
      <c r="IE55" s="51" t="s">
        <v>3306</v>
      </c>
      <c r="IF55" s="17">
        <v>0.52</v>
      </c>
      <c r="IG55" s="312">
        <f t="shared" si="61"/>
        <v>0.68140868140868116</v>
      </c>
      <c r="IH55" s="17" t="s">
        <v>48</v>
      </c>
      <c r="II55" s="67" t="s">
        <v>3307</v>
      </c>
      <c r="IJ55" s="17">
        <v>0.74</v>
      </c>
      <c r="IK55" s="409">
        <f t="shared" si="62"/>
        <v>0.96969696969696939</v>
      </c>
      <c r="IL55" s="17" t="s">
        <v>66</v>
      </c>
      <c r="IM55" s="51" t="s">
        <v>3308</v>
      </c>
      <c r="IN55" s="17">
        <v>0.59</v>
      </c>
      <c r="IO55" s="217">
        <f t="shared" si="63"/>
        <v>0.77313677313677287</v>
      </c>
      <c r="IP55" s="17" t="s">
        <v>179</v>
      </c>
      <c r="IQ55" s="51" t="s">
        <v>3309</v>
      </c>
      <c r="IR55" s="17">
        <v>1</v>
      </c>
      <c r="IS55" s="116">
        <f t="shared" si="64"/>
        <v>1.3104013104013099</v>
      </c>
      <c r="IT55" s="17" t="s">
        <v>46</v>
      </c>
      <c r="IU55" s="75" t="s">
        <v>3310</v>
      </c>
      <c r="IV55" s="17">
        <v>0.53</v>
      </c>
      <c r="IW55" s="69">
        <f t="shared" si="65"/>
        <v>0.69451269451269426</v>
      </c>
      <c r="IX55" s="17" t="s">
        <v>179</v>
      </c>
      <c r="IY55" s="51" t="s">
        <v>3311</v>
      </c>
      <c r="IZ55" s="17">
        <v>0.68</v>
      </c>
      <c r="JA55" s="199">
        <f t="shared" si="66"/>
        <v>0.89107289107289078</v>
      </c>
      <c r="JB55" s="17" t="s">
        <v>48</v>
      </c>
      <c r="JC55" s="51" t="s">
        <v>3312</v>
      </c>
      <c r="JD55" s="17">
        <v>0.81</v>
      </c>
      <c r="JE55" s="570">
        <f t="shared" si="67"/>
        <v>1.0614250614250611</v>
      </c>
      <c r="JF55" s="17" t="s">
        <v>48</v>
      </c>
      <c r="JG55" s="51" t="s">
        <v>3313</v>
      </c>
      <c r="JH55" s="17">
        <v>0.81</v>
      </c>
      <c r="JI55" s="570">
        <f t="shared" si="68"/>
        <v>1.0614250614250611</v>
      </c>
      <c r="JJ55" s="17" t="s">
        <v>66</v>
      </c>
      <c r="JK55" s="51" t="s">
        <v>3314</v>
      </c>
      <c r="JL55" s="21">
        <v>0.61</v>
      </c>
      <c r="JM55" s="491">
        <f t="shared" si="69"/>
        <v>0.79934479934479907</v>
      </c>
      <c r="JN55" s="21" t="s">
        <v>48</v>
      </c>
      <c r="JO55" s="75" t="s">
        <v>3315</v>
      </c>
      <c r="JP55" s="21">
        <v>0.72</v>
      </c>
      <c r="JQ55" s="121">
        <f t="shared" si="70"/>
        <v>0.94348894348894308</v>
      </c>
      <c r="JR55" s="21" t="s">
        <v>42</v>
      </c>
      <c r="JS55" s="51" t="s">
        <v>3316</v>
      </c>
      <c r="JT55" s="21">
        <v>0.7</v>
      </c>
      <c r="JU55" s="227">
        <f t="shared" si="71"/>
        <v>0.91728091728091687</v>
      </c>
      <c r="JV55" s="21" t="s">
        <v>42</v>
      </c>
      <c r="JW55" s="75" t="s">
        <v>3317</v>
      </c>
      <c r="JX55" s="17">
        <v>0.85</v>
      </c>
      <c r="JY55" s="263">
        <f t="shared" si="72"/>
        <v>1.1138411138411135</v>
      </c>
      <c r="JZ55" s="51" t="s">
        <v>48</v>
      </c>
      <c r="KA55" s="51" t="s">
        <v>3318</v>
      </c>
      <c r="KB55" s="21">
        <v>0.99</v>
      </c>
      <c r="KC55" s="360">
        <f t="shared" si="73"/>
        <v>1.2972972972972969</v>
      </c>
      <c r="KD55" s="75" t="s">
        <v>48</v>
      </c>
      <c r="KE55" s="75" t="s">
        <v>3319</v>
      </c>
      <c r="KF55" s="17">
        <v>0.71</v>
      </c>
      <c r="KG55" s="191">
        <f t="shared" si="74"/>
        <v>0.93038493038492998</v>
      </c>
      <c r="KH55" s="51" t="s">
        <v>42</v>
      </c>
      <c r="KI55" s="51" t="s">
        <v>3320</v>
      </c>
      <c r="KJ55" s="21">
        <v>0.62</v>
      </c>
      <c r="KK55" s="223">
        <f t="shared" si="75"/>
        <v>0.81244881244881217</v>
      </c>
      <c r="KL55" s="75" t="s">
        <v>179</v>
      </c>
      <c r="KM55" s="75" t="s">
        <v>3321</v>
      </c>
      <c r="KN55" s="17">
        <v>0.75</v>
      </c>
      <c r="KO55" s="284">
        <f t="shared" si="76"/>
        <v>0.98280098280098249</v>
      </c>
      <c r="KP55" s="51" t="s">
        <v>42</v>
      </c>
      <c r="KQ55" s="51" t="s">
        <v>3259</v>
      </c>
      <c r="KR55" s="21">
        <v>0.93</v>
      </c>
      <c r="KS55" s="472">
        <f t="shared" si="77"/>
        <v>1.2186732186732183</v>
      </c>
      <c r="KT55" s="75" t="s">
        <v>42</v>
      </c>
      <c r="KU55" s="75" t="s">
        <v>3322</v>
      </c>
      <c r="KV55" s="82">
        <v>0.68</v>
      </c>
      <c r="KW55" s="199">
        <f t="shared" si="78"/>
        <v>0.89107289107289078</v>
      </c>
      <c r="KX55" s="51" t="s">
        <v>42</v>
      </c>
      <c r="KY55" s="51" t="s">
        <v>3323</v>
      </c>
      <c r="KZ55" s="83">
        <v>0.59</v>
      </c>
      <c r="LA55" s="217">
        <f t="shared" si="79"/>
        <v>0.77313677313677287</v>
      </c>
      <c r="LB55" s="75" t="s">
        <v>46</v>
      </c>
      <c r="LC55" s="75" t="s">
        <v>3324</v>
      </c>
      <c r="LD55" s="82">
        <v>0.78</v>
      </c>
      <c r="LE55" s="317">
        <f t="shared" si="80"/>
        <v>1.0221130221130217</v>
      </c>
      <c r="LF55" s="51" t="s">
        <v>48</v>
      </c>
      <c r="LG55" s="51" t="s">
        <v>3325</v>
      </c>
      <c r="LH55" s="83">
        <v>0.92</v>
      </c>
      <c r="LI55" s="84"/>
      <c r="LJ55" s="85"/>
      <c r="LK55" s="85"/>
      <c r="LL55" s="86">
        <f t="shared" si="81"/>
        <v>0.7636708860759498</v>
      </c>
      <c r="LM55" s="86">
        <f t="shared" si="82"/>
        <v>0.94281452013923361</v>
      </c>
      <c r="LN55" s="86">
        <f t="shared" si="90"/>
        <v>0.96561118210684682</v>
      </c>
      <c r="LO55" s="86">
        <f t="shared" si="94"/>
        <v>0.83236648224006859</v>
      </c>
      <c r="LP55" s="86">
        <f t="shared" si="95"/>
        <v>-1.3980681883096757E-4</v>
      </c>
      <c r="LQ55" s="87">
        <f t="shared" si="96"/>
        <v>1</v>
      </c>
      <c r="LR55" s="86">
        <f t="shared" si="97"/>
        <v>0.83278275128474455</v>
      </c>
      <c r="LS55" s="84">
        <v>1</v>
      </c>
      <c r="LT55" s="87">
        <f t="shared" si="100"/>
        <v>0</v>
      </c>
      <c r="LU55" s="87">
        <f t="shared" si="92"/>
        <v>6</v>
      </c>
      <c r="LV55" s="84">
        <f t="shared" si="98"/>
        <v>1</v>
      </c>
      <c r="LW55" s="88" t="s">
        <v>3807</v>
      </c>
      <c r="LX55" s="89" t="str">
        <f t="shared" si="87"/>
        <v>—</v>
      </c>
      <c r="LY55" s="89" t="str">
        <f t="shared" si="102"/>
        <v>Queda severa — voltar ao que deu certo</v>
      </c>
      <c r="LZ55" s="5"/>
      <c r="MA55" s="67" t="str">
        <f t="shared" si="99"/>
        <v>PALMEIRAS</v>
      </c>
      <c r="MB55" s="89" t="s">
        <v>3808</v>
      </c>
    </row>
    <row r="56" spans="1:340" x14ac:dyDescent="0.2">
      <c r="A56" s="16">
        <v>0.78680555555555554</v>
      </c>
      <c r="B56" s="636">
        <f t="shared" si="0"/>
        <v>0.77074999999999994</v>
      </c>
      <c r="C56" s="747">
        <f t="shared" si="1"/>
        <v>-6.5844956211482231E-2</v>
      </c>
      <c r="D56" s="17">
        <v>0.72</v>
      </c>
      <c r="E56" s="24">
        <f t="shared" si="2"/>
        <v>0.93415504378851777</v>
      </c>
      <c r="F56" s="17" t="s">
        <v>2611</v>
      </c>
      <c r="G56" s="20" t="s">
        <v>3326</v>
      </c>
      <c r="H56" s="21">
        <v>0.8</v>
      </c>
      <c r="I56" s="206">
        <f t="shared" si="3"/>
        <v>1.0379500486539086</v>
      </c>
      <c r="J56" s="21" t="s">
        <v>108</v>
      </c>
      <c r="K56" s="23" t="s">
        <v>3327</v>
      </c>
      <c r="L56" s="17">
        <v>0.84</v>
      </c>
      <c r="M56" s="568">
        <f t="shared" si="4"/>
        <v>1.0898475510866039</v>
      </c>
      <c r="N56" s="17" t="s">
        <v>48</v>
      </c>
      <c r="O56" s="20" t="s">
        <v>3328</v>
      </c>
      <c r="P56" s="21">
        <v>0.79</v>
      </c>
      <c r="Q56" s="368">
        <f t="shared" si="5"/>
        <v>1.0249756730457349</v>
      </c>
      <c r="R56" s="21" t="s">
        <v>2611</v>
      </c>
      <c r="S56" s="23" t="s">
        <v>3329</v>
      </c>
      <c r="T56" s="17">
        <v>0.82</v>
      </c>
      <c r="U56" s="334">
        <f t="shared" si="6"/>
        <v>1.0638987998702563</v>
      </c>
      <c r="V56" s="17" t="s">
        <v>48</v>
      </c>
      <c r="W56" s="5"/>
      <c r="X56" s="21">
        <v>0.82</v>
      </c>
      <c r="Y56" s="334">
        <f t="shared" si="7"/>
        <v>1.0638987998702563</v>
      </c>
      <c r="Z56" s="21" t="s">
        <v>108</v>
      </c>
      <c r="AA56" s="28"/>
      <c r="AB56" s="17">
        <v>0.87</v>
      </c>
      <c r="AC56" s="33">
        <f t="shared" si="8"/>
        <v>1.1287706779111255</v>
      </c>
      <c r="AD56" s="17" t="s">
        <v>70</v>
      </c>
      <c r="AE56" s="20" t="s">
        <v>3330</v>
      </c>
      <c r="AF56" s="21">
        <v>0.9</v>
      </c>
      <c r="AG56" s="448">
        <f t="shared" si="9"/>
        <v>1.1676938047356473</v>
      </c>
      <c r="AH56" s="21" t="s">
        <v>48</v>
      </c>
      <c r="AI56" s="23" t="s">
        <v>3331</v>
      </c>
      <c r="AJ56" s="17">
        <v>1.22</v>
      </c>
      <c r="AK56" s="266">
        <f t="shared" si="10"/>
        <v>1.5828738241972107</v>
      </c>
      <c r="AL56" s="17" t="s">
        <v>70</v>
      </c>
      <c r="AM56" s="20" t="s">
        <v>3332</v>
      </c>
      <c r="AN56" s="21">
        <v>1.1399999999999999</v>
      </c>
      <c r="AO56" s="666">
        <f t="shared" si="11"/>
        <v>1.4790788193318196</v>
      </c>
      <c r="AP56" s="21" t="s">
        <v>42</v>
      </c>
      <c r="AQ56" s="23" t="s">
        <v>3333</v>
      </c>
      <c r="AR56" s="17">
        <v>0.71</v>
      </c>
      <c r="AS56" s="110">
        <f t="shared" si="12"/>
        <v>0.92118066818034383</v>
      </c>
      <c r="AT56" s="17" t="s">
        <v>48</v>
      </c>
      <c r="AU56" s="20" t="s">
        <v>3334</v>
      </c>
      <c r="AV56" s="21">
        <v>1.1299999999999999</v>
      </c>
      <c r="AW56" s="748">
        <f t="shared" si="13"/>
        <v>1.4661044437236457</v>
      </c>
      <c r="AX56" s="21" t="s">
        <v>46</v>
      </c>
      <c r="AY56" s="23" t="s">
        <v>3335</v>
      </c>
      <c r="AZ56" s="17">
        <v>0.88</v>
      </c>
      <c r="BA56" s="381">
        <f t="shared" si="14"/>
        <v>1.1417450535192994</v>
      </c>
      <c r="BB56" s="17" t="s">
        <v>46</v>
      </c>
      <c r="BC56" s="20" t="s">
        <v>3336</v>
      </c>
      <c r="BD56" s="17">
        <v>0.82</v>
      </c>
      <c r="BE56" s="334">
        <f t="shared" si="15"/>
        <v>1.0638987998702563</v>
      </c>
      <c r="BF56" s="17" t="s">
        <v>42</v>
      </c>
      <c r="BG56" s="20" t="s">
        <v>3337</v>
      </c>
      <c r="BH56" s="37">
        <v>1.21</v>
      </c>
      <c r="BI56" s="590">
        <f t="shared" si="16"/>
        <v>1.5698994485890367</v>
      </c>
      <c r="BJ56" s="37" t="s">
        <v>42</v>
      </c>
      <c r="BK56" s="38" t="s">
        <v>3338</v>
      </c>
      <c r="BL56" s="17">
        <v>0.68</v>
      </c>
      <c r="BM56" s="510">
        <f t="shared" si="17"/>
        <v>0.88225754135582235</v>
      </c>
      <c r="BN56" s="17" t="s">
        <v>46</v>
      </c>
      <c r="BO56" s="40"/>
      <c r="BP56" s="17">
        <v>0.5</v>
      </c>
      <c r="BQ56" s="240">
        <f t="shared" si="18"/>
        <v>0.64871878040869291</v>
      </c>
      <c r="BR56" s="40"/>
      <c r="BS56" s="41"/>
      <c r="BT56" s="37">
        <v>0.86</v>
      </c>
      <c r="BU56" s="146">
        <f t="shared" si="19"/>
        <v>1.1157963023029518</v>
      </c>
      <c r="BV56" s="46" t="s">
        <v>108</v>
      </c>
      <c r="BW56" s="23" t="s">
        <v>3339</v>
      </c>
      <c r="BX56" s="17">
        <v>0.63</v>
      </c>
      <c r="BY56" s="62">
        <f t="shared" si="20"/>
        <v>0.81738566331495299</v>
      </c>
      <c r="BZ56" s="17" t="s">
        <v>66</v>
      </c>
      <c r="CA56" s="20" t="s">
        <v>3340</v>
      </c>
      <c r="CB56" s="37">
        <v>0.64</v>
      </c>
      <c r="CC56" s="137">
        <f t="shared" si="21"/>
        <v>0.83036003892312693</v>
      </c>
      <c r="CD56" s="46" t="s">
        <v>108</v>
      </c>
      <c r="CE56" s="23" t="s">
        <v>3341</v>
      </c>
      <c r="CF56" s="17">
        <v>0.56999999999999995</v>
      </c>
      <c r="CG56" s="425">
        <f t="shared" si="22"/>
        <v>0.73953940966590981</v>
      </c>
      <c r="CH56" s="17" t="s">
        <v>48</v>
      </c>
      <c r="CI56" s="20" t="s">
        <v>3342</v>
      </c>
      <c r="CJ56" s="37">
        <v>0.19</v>
      </c>
      <c r="CK56" s="238">
        <f t="shared" si="23"/>
        <v>0.2465131365553033</v>
      </c>
      <c r="CL56" s="46" t="s">
        <v>46</v>
      </c>
      <c r="CM56" s="23" t="s">
        <v>3343</v>
      </c>
      <c r="CN56" s="17">
        <v>1</v>
      </c>
      <c r="CO56" s="360">
        <f t="shared" si="24"/>
        <v>1.2974375608173858</v>
      </c>
      <c r="CP56" s="17" t="s">
        <v>66</v>
      </c>
      <c r="CQ56" s="73" t="s">
        <v>3344</v>
      </c>
      <c r="CR56" s="37">
        <v>0.64</v>
      </c>
      <c r="CS56" s="137">
        <f t="shared" si="25"/>
        <v>0.83036003892312693</v>
      </c>
      <c r="CT56" s="21" t="s">
        <v>48</v>
      </c>
      <c r="CU56" s="23" t="s">
        <v>3345</v>
      </c>
      <c r="CV56" s="17">
        <v>0.97</v>
      </c>
      <c r="CW56" s="332">
        <f t="shared" si="26"/>
        <v>1.2585144339928642</v>
      </c>
      <c r="CX56" s="17" t="s">
        <v>48</v>
      </c>
      <c r="CY56" s="73" t="s">
        <v>3346</v>
      </c>
      <c r="CZ56" s="37">
        <v>0.7</v>
      </c>
      <c r="DA56" s="492">
        <f t="shared" si="27"/>
        <v>0.90820629257217</v>
      </c>
      <c r="DB56" s="21" t="s">
        <v>108</v>
      </c>
      <c r="DC56" s="28"/>
      <c r="DD56" s="17">
        <v>0.63</v>
      </c>
      <c r="DE56" s="62">
        <f t="shared" si="28"/>
        <v>0.81738566331495299</v>
      </c>
      <c r="DF56" s="17" t="s">
        <v>46</v>
      </c>
      <c r="DG56" s="5"/>
      <c r="DH56" s="37">
        <v>0.71</v>
      </c>
      <c r="DI56" s="110">
        <f t="shared" si="29"/>
        <v>0.92118066818034383</v>
      </c>
      <c r="DJ56" s="21" t="s">
        <v>46</v>
      </c>
      <c r="DK56" s="28"/>
      <c r="DL56" s="17">
        <v>0.27</v>
      </c>
      <c r="DM56" s="275">
        <f t="shared" si="30"/>
        <v>0.35030814142069416</v>
      </c>
      <c r="DN56" s="17" t="s">
        <v>42</v>
      </c>
      <c r="DO56" s="51" t="s">
        <v>3285</v>
      </c>
      <c r="DP56" s="21">
        <v>0.89</v>
      </c>
      <c r="DQ56" s="402">
        <f t="shared" si="31"/>
        <v>1.1547194291274734</v>
      </c>
      <c r="DR56" s="53" t="s">
        <v>48</v>
      </c>
      <c r="DS56" s="54" t="s">
        <v>3347</v>
      </c>
      <c r="DT56" s="53">
        <v>0.63</v>
      </c>
      <c r="DU56" s="62">
        <f t="shared" si="32"/>
        <v>0.81738566331495299</v>
      </c>
      <c r="DV56" s="56" t="s">
        <v>108</v>
      </c>
      <c r="DW56" s="57" t="s">
        <v>3169</v>
      </c>
      <c r="DX56" s="53">
        <v>0.65</v>
      </c>
      <c r="DY56" s="497">
        <f t="shared" si="33"/>
        <v>0.84333441453130076</v>
      </c>
      <c r="DZ56" s="53" t="s">
        <v>108</v>
      </c>
      <c r="EA56" s="64"/>
      <c r="EB56" s="56">
        <v>0.44</v>
      </c>
      <c r="EC56" s="165">
        <f t="shared" si="34"/>
        <v>0.57087252675964972</v>
      </c>
      <c r="ED56" s="56" t="s">
        <v>46</v>
      </c>
      <c r="EE56" s="57" t="s">
        <v>3288</v>
      </c>
      <c r="EF56" s="53">
        <v>0.45</v>
      </c>
      <c r="EG56" s="184">
        <f t="shared" si="35"/>
        <v>0.58384690236782366</v>
      </c>
      <c r="EH56" s="53" t="s">
        <v>46</v>
      </c>
      <c r="EI56" s="57" t="s">
        <v>3348</v>
      </c>
      <c r="EJ56" s="53">
        <v>0.84</v>
      </c>
      <c r="EK56" s="568">
        <f t="shared" si="36"/>
        <v>1.0898475510866039</v>
      </c>
      <c r="EL56" s="56" t="s">
        <v>66</v>
      </c>
      <c r="EM56" s="57" t="s">
        <v>3349</v>
      </c>
      <c r="EN56" s="53">
        <v>0.82</v>
      </c>
      <c r="EO56" s="334">
        <f t="shared" si="37"/>
        <v>1.0638987998702563</v>
      </c>
      <c r="EP56" s="53" t="s">
        <v>66</v>
      </c>
      <c r="EQ56" s="23" t="s">
        <v>3350</v>
      </c>
      <c r="ER56" s="53">
        <v>0.87</v>
      </c>
      <c r="ES56" s="33">
        <f t="shared" si="38"/>
        <v>1.1287706779111255</v>
      </c>
      <c r="ET56" s="53" t="s">
        <v>46</v>
      </c>
      <c r="EU56" s="20" t="s">
        <v>3351</v>
      </c>
      <c r="EV56" s="53">
        <v>1.01</v>
      </c>
      <c r="EW56" s="116">
        <f t="shared" si="39"/>
        <v>1.3104119364255595</v>
      </c>
      <c r="EX56" s="21" t="s">
        <v>66</v>
      </c>
      <c r="EY56" s="57" t="s">
        <v>3352</v>
      </c>
      <c r="EZ56" s="53">
        <v>0.75</v>
      </c>
      <c r="FA56" s="186">
        <f t="shared" si="40"/>
        <v>0.97307817061303936</v>
      </c>
      <c r="FB56" s="40"/>
      <c r="FC56" s="40"/>
      <c r="FD56" s="53">
        <v>0.93</v>
      </c>
      <c r="FE56" s="285">
        <f t="shared" si="41"/>
        <v>1.2066169315601689</v>
      </c>
      <c r="FF56" s="21" t="s">
        <v>48</v>
      </c>
      <c r="FG56" s="64"/>
      <c r="FH56" s="17">
        <v>0.9</v>
      </c>
      <c r="FI56" s="448">
        <f t="shared" si="42"/>
        <v>1.1676938047356473</v>
      </c>
      <c r="FJ56" s="17" t="s">
        <v>42</v>
      </c>
      <c r="FK56" s="51" t="s">
        <v>3353</v>
      </c>
      <c r="FL56" s="17">
        <v>0.74</v>
      </c>
      <c r="FM56" s="446">
        <f t="shared" si="43"/>
        <v>0.96010379500486542</v>
      </c>
      <c r="FN56" s="21" t="s">
        <v>179</v>
      </c>
      <c r="FO56" s="51" t="s">
        <v>3294</v>
      </c>
      <c r="FP56" s="17">
        <v>0.54</v>
      </c>
      <c r="FQ56" s="154">
        <f t="shared" si="44"/>
        <v>0.70061628284138833</v>
      </c>
      <c r="FR56" s="17" t="s">
        <v>66</v>
      </c>
      <c r="FS56" s="51" t="s">
        <v>3354</v>
      </c>
      <c r="FT56" s="17">
        <v>0.63</v>
      </c>
      <c r="FU56" s="62">
        <f t="shared" si="45"/>
        <v>0.81738566331495299</v>
      </c>
      <c r="FV56" s="17" t="s">
        <v>42</v>
      </c>
      <c r="FW56" s="51" t="s">
        <v>3296</v>
      </c>
      <c r="FX56" s="17">
        <v>1.22</v>
      </c>
      <c r="FY56" s="266">
        <f t="shared" si="46"/>
        <v>1.5828738241972107</v>
      </c>
      <c r="FZ56" s="17" t="s">
        <v>108</v>
      </c>
      <c r="GA56" s="51" t="s">
        <v>3355</v>
      </c>
      <c r="GB56" s="53">
        <v>0.79</v>
      </c>
      <c r="GC56" s="368">
        <f t="shared" si="47"/>
        <v>1.0249756730457349</v>
      </c>
      <c r="GD56" s="21" t="s">
        <v>46</v>
      </c>
      <c r="GE56" s="63"/>
      <c r="GF56" s="17">
        <v>0.93</v>
      </c>
      <c r="GG56" s="285">
        <f t="shared" si="48"/>
        <v>1.2066169315601689</v>
      </c>
      <c r="GH56" s="17" t="s">
        <v>46</v>
      </c>
      <c r="GI56" s="51" t="s">
        <v>3356</v>
      </c>
      <c r="GJ56" s="17">
        <v>0.74</v>
      </c>
      <c r="GK56" s="446">
        <f t="shared" si="49"/>
        <v>0.96010379500486542</v>
      </c>
      <c r="GL56" s="17" t="s">
        <v>66</v>
      </c>
      <c r="GM56" s="274"/>
      <c r="GN56" s="17">
        <v>0.44</v>
      </c>
      <c r="GO56" s="165">
        <f t="shared" si="50"/>
        <v>0.57087252675964972</v>
      </c>
      <c r="GP56" s="17" t="s">
        <v>46</v>
      </c>
      <c r="GQ56" s="51" t="s">
        <v>3357</v>
      </c>
      <c r="GR56" s="17">
        <v>0.79</v>
      </c>
      <c r="GS56" s="368">
        <f t="shared" si="51"/>
        <v>1.0249756730457349</v>
      </c>
      <c r="GT56" s="17" t="s">
        <v>46</v>
      </c>
      <c r="GU56" s="51" t="s">
        <v>3358</v>
      </c>
      <c r="GV56" s="17">
        <v>1.1200000000000001</v>
      </c>
      <c r="GW56" s="453">
        <f t="shared" si="52"/>
        <v>1.4531300681154722</v>
      </c>
      <c r="GX56" s="17" t="s">
        <v>70</v>
      </c>
      <c r="GY56" s="67" t="s">
        <v>3301</v>
      </c>
      <c r="GZ56" s="17">
        <v>0.71</v>
      </c>
      <c r="HA56" s="110">
        <f t="shared" si="53"/>
        <v>0.92118066818034383</v>
      </c>
      <c r="HB56" s="17" t="s">
        <v>48</v>
      </c>
      <c r="HC56" s="20" t="s">
        <v>3359</v>
      </c>
      <c r="HD56" s="17">
        <v>0.91</v>
      </c>
      <c r="HE56" s="25">
        <f t="shared" si="54"/>
        <v>1.180668180343821</v>
      </c>
      <c r="HF56" s="17" t="s">
        <v>70</v>
      </c>
      <c r="HG56" s="20" t="s">
        <v>3360</v>
      </c>
      <c r="HH56" s="17">
        <v>0.79</v>
      </c>
      <c r="HI56" s="368">
        <f t="shared" si="55"/>
        <v>1.0249756730457349</v>
      </c>
      <c r="HJ56" s="17" t="s">
        <v>42</v>
      </c>
      <c r="HK56" s="20" t="s">
        <v>3361</v>
      </c>
      <c r="HL56" s="17">
        <v>0.72</v>
      </c>
      <c r="HM56" s="24">
        <f t="shared" si="56"/>
        <v>0.93415504378851777</v>
      </c>
      <c r="HN56" s="17" t="s">
        <v>108</v>
      </c>
      <c r="HO56" s="41"/>
      <c r="HP56" s="17">
        <v>0.68</v>
      </c>
      <c r="HQ56" s="510">
        <f t="shared" si="57"/>
        <v>0.88225754135582235</v>
      </c>
      <c r="HR56" s="17" t="s">
        <v>66</v>
      </c>
      <c r="HS56" s="73" t="s">
        <v>3362</v>
      </c>
      <c r="HT56" s="17">
        <v>1.02</v>
      </c>
      <c r="HU56" s="615">
        <f t="shared" si="58"/>
        <v>1.3233863120337335</v>
      </c>
      <c r="HV56" s="17" t="s">
        <v>179</v>
      </c>
      <c r="HW56" s="75" t="s">
        <v>3363</v>
      </c>
      <c r="HX56" s="17">
        <v>0.63</v>
      </c>
      <c r="HY56" s="62">
        <f t="shared" si="59"/>
        <v>0.81738566331495299</v>
      </c>
      <c r="HZ56" s="21" t="s">
        <v>108</v>
      </c>
      <c r="IA56" s="75" t="s">
        <v>3364</v>
      </c>
      <c r="IB56" s="17">
        <v>0.96</v>
      </c>
      <c r="IC56" s="181">
        <f t="shared" si="60"/>
        <v>1.2455400583846903</v>
      </c>
      <c r="ID56" s="17" t="s">
        <v>48</v>
      </c>
      <c r="IE56" s="51" t="s">
        <v>3365</v>
      </c>
      <c r="IF56" s="17">
        <v>0.46</v>
      </c>
      <c r="IG56" s="100">
        <f t="shared" si="61"/>
        <v>0.59682127797599749</v>
      </c>
      <c r="IH56" s="17" t="s">
        <v>48</v>
      </c>
      <c r="II56" s="67" t="s">
        <v>3366</v>
      </c>
      <c r="IJ56" s="164">
        <v>0.8</v>
      </c>
      <c r="IK56" s="206">
        <f t="shared" si="62"/>
        <v>1.0379500486539086</v>
      </c>
      <c r="IL56" s="17" t="s">
        <v>42</v>
      </c>
      <c r="IM56" s="51" t="s">
        <v>3308</v>
      </c>
      <c r="IN56" s="17">
        <v>0.66</v>
      </c>
      <c r="IO56" s="272">
        <f t="shared" si="63"/>
        <v>0.8563087901394747</v>
      </c>
      <c r="IP56" s="17" t="s">
        <v>108</v>
      </c>
      <c r="IQ56" s="274"/>
      <c r="IR56" s="17">
        <v>0.94</v>
      </c>
      <c r="IS56" s="107">
        <f t="shared" si="64"/>
        <v>1.2195913071683426</v>
      </c>
      <c r="IT56" s="17" t="s">
        <v>46</v>
      </c>
      <c r="IU56" s="75" t="s">
        <v>3367</v>
      </c>
      <c r="IV56" s="17">
        <v>0.53</v>
      </c>
      <c r="IW56" s="130">
        <f t="shared" si="65"/>
        <v>0.6876419072332145</v>
      </c>
      <c r="IX56" s="17" t="s">
        <v>179</v>
      </c>
      <c r="IY56" s="51" t="s">
        <v>3368</v>
      </c>
      <c r="IZ56" s="17">
        <v>0.68</v>
      </c>
      <c r="JA56" s="510">
        <f t="shared" si="66"/>
        <v>0.88225754135582235</v>
      </c>
      <c r="JB56" s="17" t="s">
        <v>48</v>
      </c>
      <c r="JC56" s="51" t="s">
        <v>3369</v>
      </c>
      <c r="JD56" s="17">
        <v>0.81</v>
      </c>
      <c r="JE56" s="524">
        <f t="shared" si="67"/>
        <v>1.0509244242620825</v>
      </c>
      <c r="JF56" s="17" t="s">
        <v>108</v>
      </c>
      <c r="JG56" s="51" t="s">
        <v>3370</v>
      </c>
      <c r="JH56" s="17">
        <v>0.81</v>
      </c>
      <c r="JI56" s="524">
        <f t="shared" si="68"/>
        <v>1.0509244242620825</v>
      </c>
      <c r="JJ56" s="17" t="s">
        <v>46</v>
      </c>
      <c r="JK56" s="51" t="s">
        <v>3371</v>
      </c>
      <c r="JL56" s="21">
        <v>0.61</v>
      </c>
      <c r="JM56" s="545">
        <f t="shared" si="69"/>
        <v>0.79143691209860534</v>
      </c>
      <c r="JN56" s="21" t="s">
        <v>108</v>
      </c>
      <c r="JO56" s="75" t="s">
        <v>3372</v>
      </c>
      <c r="JP56" s="21">
        <v>0.72</v>
      </c>
      <c r="JQ56" s="24">
        <f t="shared" si="70"/>
        <v>0.93415504378851777</v>
      </c>
      <c r="JR56" s="21" t="s">
        <v>42</v>
      </c>
      <c r="JS56" s="51" t="s">
        <v>3373</v>
      </c>
      <c r="JT56" s="21">
        <v>0.76</v>
      </c>
      <c r="JU56" s="61">
        <f t="shared" si="71"/>
        <v>0.98605254622121319</v>
      </c>
      <c r="JV56" s="21" t="s">
        <v>42</v>
      </c>
      <c r="JW56" s="75" t="s">
        <v>3374</v>
      </c>
      <c r="JX56" s="17">
        <v>0.79</v>
      </c>
      <c r="JY56" s="368">
        <f t="shared" si="72"/>
        <v>1.0249756730457349</v>
      </c>
      <c r="JZ56" s="51" t="s">
        <v>48</v>
      </c>
      <c r="KA56" s="51" t="s">
        <v>3375</v>
      </c>
      <c r="KB56" s="21">
        <v>1.06</v>
      </c>
      <c r="KC56" s="496">
        <f t="shared" si="73"/>
        <v>1.375283814466429</v>
      </c>
      <c r="KD56" s="75" t="s">
        <v>48</v>
      </c>
      <c r="KE56" s="75" t="s">
        <v>3376</v>
      </c>
      <c r="KF56" s="17">
        <v>0.71</v>
      </c>
      <c r="KG56" s="110">
        <f t="shared" si="74"/>
        <v>0.92118066818034383</v>
      </c>
      <c r="KH56" s="51" t="s">
        <v>48</v>
      </c>
      <c r="KI56" s="51" t="s">
        <v>3377</v>
      </c>
      <c r="KJ56" s="21">
        <v>0.62</v>
      </c>
      <c r="KK56" s="471">
        <f t="shared" si="75"/>
        <v>0.80441128770677917</v>
      </c>
      <c r="KL56" s="75" t="s">
        <v>414</v>
      </c>
      <c r="KM56" s="75" t="s">
        <v>3378</v>
      </c>
      <c r="KN56" s="17">
        <v>0.62</v>
      </c>
      <c r="KO56" s="471">
        <f t="shared" si="76"/>
        <v>0.80441128770677917</v>
      </c>
      <c r="KP56" s="51" t="s">
        <v>42</v>
      </c>
      <c r="KQ56" s="51" t="s">
        <v>3379</v>
      </c>
      <c r="KR56" s="21">
        <v>0.93</v>
      </c>
      <c r="KS56" s="285">
        <f t="shared" si="77"/>
        <v>1.2066169315601689</v>
      </c>
      <c r="KT56" s="75" t="s">
        <v>42</v>
      </c>
      <c r="KU56" s="75" t="s">
        <v>3322</v>
      </c>
      <c r="KV56" s="82">
        <v>0.74</v>
      </c>
      <c r="KW56" s="446">
        <f t="shared" si="78"/>
        <v>0.96010379500486542</v>
      </c>
      <c r="KX56" s="51" t="s">
        <v>856</v>
      </c>
      <c r="KY56" s="51" t="s">
        <v>3380</v>
      </c>
      <c r="KZ56" s="83">
        <v>0.59</v>
      </c>
      <c r="LA56" s="202">
        <f t="shared" si="79"/>
        <v>0.76548816088225757</v>
      </c>
      <c r="LB56" s="75" t="s">
        <v>1620</v>
      </c>
      <c r="LC56" s="75" t="s">
        <v>3381</v>
      </c>
      <c r="LD56" s="82">
        <v>0.7</v>
      </c>
      <c r="LE56" s="492">
        <f t="shared" si="80"/>
        <v>0.90820629257217</v>
      </c>
      <c r="LF56" s="51" t="s">
        <v>48</v>
      </c>
      <c r="LG56" s="51" t="s">
        <v>3382</v>
      </c>
      <c r="LH56" s="83">
        <v>0.92</v>
      </c>
      <c r="LI56" s="84"/>
      <c r="LJ56" s="85"/>
      <c r="LK56" s="85"/>
      <c r="LL56" s="86">
        <f t="shared" si="81"/>
        <v>0.7713924050632911</v>
      </c>
      <c r="LM56" s="86">
        <f t="shared" si="82"/>
        <v>0.93337709222185761</v>
      </c>
      <c r="LN56" s="86">
        <f t="shared" si="90"/>
        <v>0.96518105640934482</v>
      </c>
      <c r="LO56" s="86">
        <f t="shared" si="94"/>
        <v>0.88728502712943425</v>
      </c>
      <c r="LP56" s="86">
        <f t="shared" si="95"/>
        <v>0.11455690655960304</v>
      </c>
      <c r="LQ56" s="87">
        <f t="shared" si="96"/>
        <v>1</v>
      </c>
      <c r="LR56" s="86">
        <f t="shared" si="97"/>
        <v>0.91262309103784445</v>
      </c>
      <c r="LS56" s="84">
        <v>1</v>
      </c>
      <c r="LT56" s="87">
        <f t="shared" si="100"/>
        <v>1</v>
      </c>
      <c r="LU56" s="87">
        <f t="shared" si="92"/>
        <v>1</v>
      </c>
      <c r="LV56" s="86">
        <f t="shared" si="98"/>
        <v>0.92</v>
      </c>
      <c r="LW56" s="89" t="s">
        <v>3810</v>
      </c>
      <c r="LX56" s="5" t="str">
        <f t="shared" si="87"/>
        <v/>
      </c>
      <c r="LY56" s="5" t="str">
        <f t="shared" si="102"/>
        <v/>
      </c>
      <c r="LZ56" s="5"/>
      <c r="MA56" s="67" t="str">
        <f t="shared" si="99"/>
        <v>TCR</v>
      </c>
      <c r="MB56" s="89" t="s">
        <v>3808</v>
      </c>
    </row>
    <row r="57" spans="1:340" x14ac:dyDescent="0.2">
      <c r="A57" s="16">
        <v>0.78749999999999998</v>
      </c>
      <c r="B57" s="640">
        <f t="shared" si="0"/>
        <v>0.77549999999999986</v>
      </c>
      <c r="C57" s="749">
        <f t="shared" si="1"/>
        <v>-7.1566731141199047E-2</v>
      </c>
      <c r="D57" s="17">
        <v>0.72</v>
      </c>
      <c r="E57" s="652">
        <f t="shared" si="2"/>
        <v>0.92843326885880095</v>
      </c>
      <c r="F57" s="17" t="s">
        <v>2611</v>
      </c>
      <c r="G57" s="20" t="s">
        <v>3383</v>
      </c>
      <c r="H57" s="21">
        <v>0.8</v>
      </c>
      <c r="I57" s="94">
        <f t="shared" si="3"/>
        <v>1.0315925209542234</v>
      </c>
      <c r="J57" s="21" t="s">
        <v>2611</v>
      </c>
      <c r="K57" s="23" t="s">
        <v>3384</v>
      </c>
      <c r="L57" s="17">
        <v>0.84</v>
      </c>
      <c r="M57" s="27">
        <f t="shared" si="4"/>
        <v>1.0831721470019344</v>
      </c>
      <c r="N57" s="17" t="s">
        <v>2611</v>
      </c>
      <c r="O57" s="20" t="s">
        <v>3385</v>
      </c>
      <c r="P57" s="21">
        <v>0.79</v>
      </c>
      <c r="Q57" s="401">
        <f t="shared" si="5"/>
        <v>1.0186976144422955</v>
      </c>
      <c r="R57" s="21" t="s">
        <v>2611</v>
      </c>
      <c r="S57" s="23" t="s">
        <v>3386</v>
      </c>
      <c r="T57" s="17">
        <v>0.76</v>
      </c>
      <c r="U57" s="389">
        <f t="shared" si="6"/>
        <v>0.98001289490651211</v>
      </c>
      <c r="V57" s="17" t="s">
        <v>48</v>
      </c>
      <c r="W57" s="5"/>
      <c r="X57" s="21">
        <v>0.82</v>
      </c>
      <c r="Y57" s="71">
        <f t="shared" si="7"/>
        <v>1.0573823339780788</v>
      </c>
      <c r="Z57" s="21" t="s">
        <v>46</v>
      </c>
      <c r="AA57" s="28"/>
      <c r="AB57" s="17">
        <v>0.83</v>
      </c>
      <c r="AC57" s="404">
        <f t="shared" si="8"/>
        <v>1.0702772404900065</v>
      </c>
      <c r="AD57" s="17" t="s">
        <v>70</v>
      </c>
      <c r="AE57" s="20" t="s">
        <v>3387</v>
      </c>
      <c r="AF57" s="21">
        <v>0.96</v>
      </c>
      <c r="AG57" s="621">
        <f t="shared" si="9"/>
        <v>1.2379110251450678</v>
      </c>
      <c r="AH57" s="21" t="s">
        <v>48</v>
      </c>
      <c r="AI57" s="23" t="s">
        <v>3388</v>
      </c>
      <c r="AJ57" s="17">
        <v>1.29</v>
      </c>
      <c r="AK57" s="750">
        <f t="shared" si="10"/>
        <v>1.663442940038685</v>
      </c>
      <c r="AL57" s="17" t="s">
        <v>42</v>
      </c>
      <c r="AM57" s="20" t="s">
        <v>3389</v>
      </c>
      <c r="AN57" s="21">
        <v>1.1399999999999999</v>
      </c>
      <c r="AO57" s="103">
        <f t="shared" si="11"/>
        <v>1.4700193423597681</v>
      </c>
      <c r="AP57" s="21" t="s">
        <v>42</v>
      </c>
      <c r="AQ57" s="23" t="s">
        <v>3390</v>
      </c>
      <c r="AR57" s="17">
        <v>0.71</v>
      </c>
      <c r="AS57" s="227">
        <f t="shared" si="12"/>
        <v>0.91553836234687314</v>
      </c>
      <c r="AT57" s="17" t="s">
        <v>48</v>
      </c>
      <c r="AU57" s="20" t="s">
        <v>3391</v>
      </c>
      <c r="AV57" s="21">
        <v>1.1299999999999999</v>
      </c>
      <c r="AW57" s="751">
        <f t="shared" si="13"/>
        <v>1.4571244358478401</v>
      </c>
      <c r="AX57" s="21" t="s">
        <v>46</v>
      </c>
      <c r="AY57" s="23" t="s">
        <v>3392</v>
      </c>
      <c r="AZ57" s="17">
        <v>0.88</v>
      </c>
      <c r="BA57" s="338">
        <f t="shared" si="14"/>
        <v>1.1347517730496457</v>
      </c>
      <c r="BB57" s="17" t="s">
        <v>46</v>
      </c>
      <c r="BC57" s="20" t="s">
        <v>3393</v>
      </c>
      <c r="BD57" s="17">
        <v>0.95</v>
      </c>
      <c r="BE57" s="48">
        <f t="shared" si="15"/>
        <v>1.2250161186331401</v>
      </c>
      <c r="BF57" s="17" t="s">
        <v>42</v>
      </c>
      <c r="BG57" s="20" t="s">
        <v>3394</v>
      </c>
      <c r="BH57" s="37">
        <v>1.21</v>
      </c>
      <c r="BI57" s="253">
        <f t="shared" si="16"/>
        <v>1.5602836879432627</v>
      </c>
      <c r="BJ57" s="37" t="s">
        <v>108</v>
      </c>
      <c r="BK57" s="38" t="s">
        <v>3395</v>
      </c>
      <c r="BL57" s="17">
        <v>0.68</v>
      </c>
      <c r="BM57" s="145">
        <f t="shared" si="17"/>
        <v>0.8768536428110898</v>
      </c>
      <c r="BN57" s="17" t="s">
        <v>46</v>
      </c>
      <c r="BO57" s="40"/>
      <c r="BP57" s="17">
        <v>0.45</v>
      </c>
      <c r="BQ57" s="72">
        <f t="shared" si="18"/>
        <v>0.58027079303675055</v>
      </c>
      <c r="BR57" s="40"/>
      <c r="BS57" s="41"/>
      <c r="BT57" s="37">
        <v>0.72</v>
      </c>
      <c r="BU57" s="652">
        <f t="shared" si="19"/>
        <v>0.92843326885880095</v>
      </c>
      <c r="BV57" s="46" t="s">
        <v>108</v>
      </c>
      <c r="BW57" s="23" t="s">
        <v>3396</v>
      </c>
      <c r="BX57" s="17">
        <v>0.76</v>
      </c>
      <c r="BY57" s="389">
        <f t="shared" si="20"/>
        <v>0.98001289490651211</v>
      </c>
      <c r="BZ57" s="17" t="s">
        <v>108</v>
      </c>
      <c r="CA57" s="20" t="s">
        <v>3397</v>
      </c>
      <c r="CB57" s="37">
        <v>0.56999999999999995</v>
      </c>
      <c r="CC57" s="92">
        <f t="shared" si="21"/>
        <v>0.73500967117988403</v>
      </c>
      <c r="CD57" s="46" t="s">
        <v>66</v>
      </c>
      <c r="CE57" s="23" t="s">
        <v>3398</v>
      </c>
      <c r="CF57" s="17">
        <v>0.56999999999999995</v>
      </c>
      <c r="CG57" s="92">
        <f t="shared" si="22"/>
        <v>0.73500967117988403</v>
      </c>
      <c r="CH57" s="17" t="s">
        <v>48</v>
      </c>
      <c r="CI57" s="20" t="s">
        <v>3399</v>
      </c>
      <c r="CJ57" s="37">
        <v>0.19</v>
      </c>
      <c r="CK57" s="238">
        <f t="shared" si="23"/>
        <v>0.24500322372662803</v>
      </c>
      <c r="CL57" s="46" t="s">
        <v>46</v>
      </c>
      <c r="CM57" s="23" t="s">
        <v>3400</v>
      </c>
      <c r="CN57" s="17">
        <v>0.93</v>
      </c>
      <c r="CO57" s="218">
        <f t="shared" si="24"/>
        <v>1.1992263056092847</v>
      </c>
      <c r="CP57" s="17" t="s">
        <v>108</v>
      </c>
      <c r="CQ57" s="73" t="s">
        <v>3401</v>
      </c>
      <c r="CR57" s="37">
        <v>0.71</v>
      </c>
      <c r="CS57" s="227">
        <f t="shared" si="25"/>
        <v>0.91553836234687314</v>
      </c>
      <c r="CT57" s="21" t="s">
        <v>48</v>
      </c>
      <c r="CU57" s="23" t="s">
        <v>3402</v>
      </c>
      <c r="CV57" s="17">
        <v>0.97</v>
      </c>
      <c r="CW57" s="47">
        <f t="shared" si="26"/>
        <v>1.2508059316569957</v>
      </c>
      <c r="CX57" s="17" t="s">
        <v>48</v>
      </c>
      <c r="CY57" s="73" t="s">
        <v>3403</v>
      </c>
      <c r="CZ57" s="37">
        <v>0.64</v>
      </c>
      <c r="DA57" s="629">
        <f t="shared" si="27"/>
        <v>0.82527401676337864</v>
      </c>
      <c r="DB57" s="21" t="s">
        <v>108</v>
      </c>
      <c r="DC57" s="28"/>
      <c r="DD57" s="17">
        <v>0.69</v>
      </c>
      <c r="DE57" s="366">
        <f t="shared" si="28"/>
        <v>0.8897485493230175</v>
      </c>
      <c r="DF57" s="17" t="s">
        <v>46</v>
      </c>
      <c r="DG57" s="5"/>
      <c r="DH57" s="37">
        <v>0.71</v>
      </c>
      <c r="DI57" s="227">
        <f t="shared" si="29"/>
        <v>0.91553836234687314</v>
      </c>
      <c r="DJ57" s="21" t="s">
        <v>108</v>
      </c>
      <c r="DK57" s="28"/>
      <c r="DL57" s="17">
        <v>0.27</v>
      </c>
      <c r="DM57" s="518">
        <f t="shared" si="30"/>
        <v>0.3481624758220504</v>
      </c>
      <c r="DN57" s="17" t="s">
        <v>46</v>
      </c>
      <c r="DO57" s="51" t="s">
        <v>3404</v>
      </c>
      <c r="DP57" s="21">
        <v>0.89</v>
      </c>
      <c r="DQ57" s="131">
        <f t="shared" si="31"/>
        <v>1.1476466795615734</v>
      </c>
      <c r="DR57" s="53" t="s">
        <v>108</v>
      </c>
      <c r="DS57" s="54" t="s">
        <v>3405</v>
      </c>
      <c r="DT57" s="53">
        <v>0.63</v>
      </c>
      <c r="DU57" s="223">
        <f t="shared" si="32"/>
        <v>0.81237911025145082</v>
      </c>
      <c r="DV57" s="56" t="s">
        <v>46</v>
      </c>
      <c r="DW57" s="57" t="s">
        <v>3227</v>
      </c>
      <c r="DX57" s="53">
        <v>0.65</v>
      </c>
      <c r="DY57" s="415">
        <f t="shared" si="33"/>
        <v>0.83816892327530645</v>
      </c>
      <c r="DZ57" s="53" t="s">
        <v>108</v>
      </c>
      <c r="EA57" s="64"/>
      <c r="EB57" s="56">
        <v>0.44</v>
      </c>
      <c r="EC57" s="269">
        <f t="shared" si="34"/>
        <v>0.56737588652482285</v>
      </c>
      <c r="ED57" s="56" t="s">
        <v>46</v>
      </c>
      <c r="EE57" s="57" t="s">
        <v>3288</v>
      </c>
      <c r="EF57" s="53">
        <v>0.52</v>
      </c>
      <c r="EG57" s="411">
        <f t="shared" si="35"/>
        <v>0.67053513862024516</v>
      </c>
      <c r="EH57" s="53" t="s">
        <v>66</v>
      </c>
      <c r="EI57" s="57" t="s">
        <v>3406</v>
      </c>
      <c r="EJ57" s="53">
        <v>0.84</v>
      </c>
      <c r="EK57" s="27">
        <f t="shared" si="36"/>
        <v>1.0831721470019344</v>
      </c>
      <c r="EL57" s="56" t="s">
        <v>66</v>
      </c>
      <c r="EM57" s="57" t="s">
        <v>3407</v>
      </c>
      <c r="EN57" s="53">
        <v>0.88</v>
      </c>
      <c r="EO57" s="338">
        <f t="shared" si="37"/>
        <v>1.1347517730496457</v>
      </c>
      <c r="EP57" s="53" t="s">
        <v>108</v>
      </c>
      <c r="EQ57" s="23" t="s">
        <v>3408</v>
      </c>
      <c r="ER57" s="53">
        <v>0.94</v>
      </c>
      <c r="ES57" s="631">
        <f t="shared" si="38"/>
        <v>1.2121212121212124</v>
      </c>
      <c r="ET57" s="53" t="s">
        <v>66</v>
      </c>
      <c r="EU57" s="20" t="s">
        <v>3409</v>
      </c>
      <c r="EV57" s="53">
        <v>0.89</v>
      </c>
      <c r="EW57" s="131">
        <f t="shared" si="39"/>
        <v>1.1476466795615734</v>
      </c>
      <c r="EX57" s="21" t="s">
        <v>108</v>
      </c>
      <c r="EY57" s="57" t="s">
        <v>3410</v>
      </c>
      <c r="EZ57" s="53">
        <v>0.69</v>
      </c>
      <c r="FA57" s="366">
        <f t="shared" si="40"/>
        <v>0.8897485493230175</v>
      </c>
      <c r="FB57" s="40"/>
      <c r="FC57" s="40"/>
      <c r="FD57" s="53">
        <v>0.99</v>
      </c>
      <c r="FE57" s="605">
        <f t="shared" si="41"/>
        <v>1.2765957446808514</v>
      </c>
      <c r="FF57" s="21" t="s">
        <v>70</v>
      </c>
      <c r="FG57" s="64"/>
      <c r="FH57" s="17">
        <v>0.96</v>
      </c>
      <c r="FI57" s="621">
        <f t="shared" si="42"/>
        <v>1.2379110251450678</v>
      </c>
      <c r="FJ57" s="17" t="s">
        <v>42</v>
      </c>
      <c r="FK57" s="51" t="s">
        <v>3411</v>
      </c>
      <c r="FL57" s="17">
        <v>0.67</v>
      </c>
      <c r="FM57" s="461">
        <f t="shared" si="43"/>
        <v>0.86395873629916209</v>
      </c>
      <c r="FN57" s="21" t="s">
        <v>179</v>
      </c>
      <c r="FO57" s="51" t="s">
        <v>3294</v>
      </c>
      <c r="FP57" s="17">
        <v>0.54</v>
      </c>
      <c r="FQ57" s="69">
        <f t="shared" si="44"/>
        <v>0.6963249516441008</v>
      </c>
      <c r="FR57" s="17" t="s">
        <v>66</v>
      </c>
      <c r="FS57" s="51" t="s">
        <v>3412</v>
      </c>
      <c r="FT57" s="17">
        <v>0.7</v>
      </c>
      <c r="FU57" s="300">
        <f t="shared" si="45"/>
        <v>0.90264345583494532</v>
      </c>
      <c r="FV57" s="17" t="s">
        <v>66</v>
      </c>
      <c r="FW57" s="51" t="s">
        <v>3413</v>
      </c>
      <c r="FX57" s="17">
        <v>1.1399999999999999</v>
      </c>
      <c r="FY57" s="103">
        <f t="shared" si="46"/>
        <v>1.4700193423597681</v>
      </c>
      <c r="FZ57" s="17" t="s">
        <v>66</v>
      </c>
      <c r="GA57" s="51" t="s">
        <v>3414</v>
      </c>
      <c r="GB57" s="53">
        <v>0.79</v>
      </c>
      <c r="GC57" s="401">
        <f t="shared" si="47"/>
        <v>1.0186976144422955</v>
      </c>
      <c r="GD57" s="21" t="s">
        <v>46</v>
      </c>
      <c r="GE57" s="63"/>
      <c r="GF57" s="17">
        <v>0.93</v>
      </c>
      <c r="GG57" s="218">
        <f t="shared" si="48"/>
        <v>1.1992263056092847</v>
      </c>
      <c r="GH57" s="17" t="s">
        <v>46</v>
      </c>
      <c r="GI57" s="51" t="s">
        <v>3415</v>
      </c>
      <c r="GJ57" s="17">
        <v>0.74</v>
      </c>
      <c r="GK57" s="194">
        <f t="shared" si="49"/>
        <v>0.95422308188265648</v>
      </c>
      <c r="GL57" s="17" t="s">
        <v>66</v>
      </c>
      <c r="GM57" s="274"/>
      <c r="GN57" s="17">
        <v>0.44</v>
      </c>
      <c r="GO57" s="269">
        <f t="shared" si="50"/>
        <v>0.56737588652482285</v>
      </c>
      <c r="GP57" s="17" t="s">
        <v>66</v>
      </c>
      <c r="GQ57" s="51" t="s">
        <v>3416</v>
      </c>
      <c r="GR57" s="17">
        <v>0.86</v>
      </c>
      <c r="GS57" s="474">
        <f t="shared" si="51"/>
        <v>1.1089619600257901</v>
      </c>
      <c r="GT57" s="17" t="s">
        <v>108</v>
      </c>
      <c r="GU57" s="51" t="s">
        <v>3417</v>
      </c>
      <c r="GV57" s="17">
        <v>1.18</v>
      </c>
      <c r="GW57" s="407">
        <f t="shared" si="52"/>
        <v>1.5215989684074793</v>
      </c>
      <c r="GX57" s="17" t="s">
        <v>70</v>
      </c>
      <c r="GY57" s="67" t="s">
        <v>3418</v>
      </c>
      <c r="GZ57" s="17">
        <v>0.85</v>
      </c>
      <c r="HA57" s="385">
        <f t="shared" si="53"/>
        <v>1.0960670535138621</v>
      </c>
      <c r="HB57" s="17" t="s">
        <v>70</v>
      </c>
      <c r="HC57" s="20" t="s">
        <v>3419</v>
      </c>
      <c r="HD57" s="17">
        <v>0.83</v>
      </c>
      <c r="HE57" s="404">
        <f t="shared" si="54"/>
        <v>1.0702772404900065</v>
      </c>
      <c r="HF57" s="17" t="s">
        <v>70</v>
      </c>
      <c r="HG57" s="20" t="s">
        <v>3420</v>
      </c>
      <c r="HH57" s="17">
        <v>0.79</v>
      </c>
      <c r="HI57" s="401">
        <f t="shared" si="55"/>
        <v>1.0186976144422955</v>
      </c>
      <c r="HJ57" s="17" t="s">
        <v>42</v>
      </c>
      <c r="HK57" s="20" t="s">
        <v>3421</v>
      </c>
      <c r="HL57" s="17">
        <v>0.86</v>
      </c>
      <c r="HM57" s="474">
        <f t="shared" si="56"/>
        <v>1.1089619600257901</v>
      </c>
      <c r="HN57" s="17" t="s">
        <v>108</v>
      </c>
      <c r="HO57" s="41"/>
      <c r="HP57" s="17">
        <v>0.54</v>
      </c>
      <c r="HQ57" s="69">
        <f t="shared" si="57"/>
        <v>0.6963249516441008</v>
      </c>
      <c r="HR57" s="17" t="s">
        <v>108</v>
      </c>
      <c r="HS57" s="73" t="s">
        <v>3422</v>
      </c>
      <c r="HT57" s="17">
        <v>1.02</v>
      </c>
      <c r="HU57" s="369">
        <f t="shared" si="58"/>
        <v>1.3152804642166347</v>
      </c>
      <c r="HV57" s="17" t="s">
        <v>179</v>
      </c>
      <c r="HW57" s="75" t="s">
        <v>3363</v>
      </c>
      <c r="HX57" s="17">
        <v>0.64</v>
      </c>
      <c r="HY57" s="629">
        <f t="shared" si="59"/>
        <v>0.82527401676337864</v>
      </c>
      <c r="HZ57" s="21" t="s">
        <v>42</v>
      </c>
      <c r="IA57" s="75" t="s">
        <v>3423</v>
      </c>
      <c r="IB57" s="17">
        <v>0.96</v>
      </c>
      <c r="IC57" s="621">
        <f t="shared" si="60"/>
        <v>1.2379110251450678</v>
      </c>
      <c r="ID57" s="17" t="s">
        <v>48</v>
      </c>
      <c r="IE57" s="51" t="s">
        <v>3424</v>
      </c>
      <c r="IF57" s="17">
        <v>0.4</v>
      </c>
      <c r="IG57" s="509">
        <f t="shared" si="61"/>
        <v>0.51579626047711169</v>
      </c>
      <c r="IH57" s="17" t="s">
        <v>48</v>
      </c>
      <c r="II57" s="67" t="s">
        <v>3425</v>
      </c>
      <c r="IJ57" s="204">
        <v>0.74</v>
      </c>
      <c r="IK57" s="194">
        <f t="shared" si="62"/>
        <v>0.95422308188265648</v>
      </c>
      <c r="IL57" s="17" t="s">
        <v>42</v>
      </c>
      <c r="IM57" s="51" t="s">
        <v>3426</v>
      </c>
      <c r="IN57" s="17">
        <v>0.66</v>
      </c>
      <c r="IO57" s="127">
        <f t="shared" si="63"/>
        <v>0.85106382978723427</v>
      </c>
      <c r="IP57" s="17" t="s">
        <v>66</v>
      </c>
      <c r="IQ57" s="51" t="s">
        <v>3427</v>
      </c>
      <c r="IR57" s="17">
        <v>1.01</v>
      </c>
      <c r="IS57" s="529">
        <f t="shared" si="64"/>
        <v>1.302385557704707</v>
      </c>
      <c r="IT57" s="17" t="s">
        <v>108</v>
      </c>
      <c r="IU57" s="75" t="s">
        <v>3428</v>
      </c>
      <c r="IV57" s="17">
        <v>0.54</v>
      </c>
      <c r="IW57" s="69">
        <f t="shared" si="65"/>
        <v>0.6963249516441008</v>
      </c>
      <c r="IX57" s="17" t="s">
        <v>66</v>
      </c>
      <c r="IY57" s="51" t="s">
        <v>3429</v>
      </c>
      <c r="IZ57" s="17">
        <v>0.68</v>
      </c>
      <c r="JA57" s="145">
        <f t="shared" si="66"/>
        <v>0.8768536428110898</v>
      </c>
      <c r="JB57" s="17" t="s">
        <v>108</v>
      </c>
      <c r="JC57" s="51" t="s">
        <v>3430</v>
      </c>
      <c r="JD57" s="17">
        <v>0.81</v>
      </c>
      <c r="JE57" s="331">
        <f t="shared" si="67"/>
        <v>1.0444874274661511</v>
      </c>
      <c r="JF57" s="17" t="s">
        <v>42</v>
      </c>
      <c r="JG57" s="51" t="s">
        <v>3431</v>
      </c>
      <c r="JH57" s="17">
        <v>0.83</v>
      </c>
      <c r="JI57" s="404">
        <f t="shared" si="68"/>
        <v>1.0702772404900065</v>
      </c>
      <c r="JJ57" s="17" t="s">
        <v>48</v>
      </c>
      <c r="JK57" s="51" t="s">
        <v>3432</v>
      </c>
      <c r="JL57" s="21">
        <v>0.61</v>
      </c>
      <c r="JM57" s="174">
        <f t="shared" si="69"/>
        <v>0.78658929722759519</v>
      </c>
      <c r="JN57" s="21" t="s">
        <v>48</v>
      </c>
      <c r="JO57" s="75" t="s">
        <v>3433</v>
      </c>
      <c r="JP57" s="21">
        <v>0.72</v>
      </c>
      <c r="JQ57" s="652">
        <f t="shared" si="70"/>
        <v>0.92843326885880095</v>
      </c>
      <c r="JR57" s="21" t="s">
        <v>42</v>
      </c>
      <c r="JS57" s="51" t="s">
        <v>3434</v>
      </c>
      <c r="JT57" s="21">
        <v>0.76</v>
      </c>
      <c r="JU57" s="389">
        <f t="shared" si="71"/>
        <v>0.98001289490651211</v>
      </c>
      <c r="JV57" s="21" t="s">
        <v>70</v>
      </c>
      <c r="JW57" s="75" t="s">
        <v>3435</v>
      </c>
      <c r="JX57" s="17">
        <v>0.79</v>
      </c>
      <c r="JY57" s="401">
        <f t="shared" si="72"/>
        <v>1.0186976144422955</v>
      </c>
      <c r="JZ57" s="51" t="s">
        <v>46</v>
      </c>
      <c r="KA57" s="51" t="s">
        <v>3436</v>
      </c>
      <c r="KB57" s="21">
        <v>1.06</v>
      </c>
      <c r="KC57" s="752">
        <f t="shared" si="73"/>
        <v>1.366860090264346</v>
      </c>
      <c r="KD57" s="75" t="s">
        <v>48</v>
      </c>
      <c r="KE57" s="75" t="s">
        <v>3437</v>
      </c>
      <c r="KF57" s="17">
        <v>0.78</v>
      </c>
      <c r="KG57" s="606">
        <f t="shared" si="74"/>
        <v>1.0058027079303677</v>
      </c>
      <c r="KH57" s="51" t="s">
        <v>48</v>
      </c>
      <c r="KI57" s="51" t="s">
        <v>3438</v>
      </c>
      <c r="KJ57" s="21">
        <v>0.62</v>
      </c>
      <c r="KK57" s="491">
        <f t="shared" si="75"/>
        <v>0.799484203739523</v>
      </c>
      <c r="KL57" s="75" t="s">
        <v>285</v>
      </c>
      <c r="KM57" s="75" t="s">
        <v>3439</v>
      </c>
      <c r="KN57" s="17">
        <v>0.68</v>
      </c>
      <c r="KO57" s="145">
        <f t="shared" si="76"/>
        <v>0.8768536428110898</v>
      </c>
      <c r="KP57" s="51" t="s">
        <v>42</v>
      </c>
      <c r="KQ57" s="51" t="s">
        <v>3440</v>
      </c>
      <c r="KR57" s="21">
        <v>0.79</v>
      </c>
      <c r="KS57" s="401">
        <f t="shared" si="77"/>
        <v>1.0186976144422955</v>
      </c>
      <c r="KT57" s="75" t="s">
        <v>42</v>
      </c>
      <c r="KU57" s="75" t="s">
        <v>3441</v>
      </c>
      <c r="KV57" s="82">
        <v>0.8</v>
      </c>
      <c r="KW57" s="94">
        <f t="shared" si="78"/>
        <v>1.0315925209542234</v>
      </c>
      <c r="KX57" s="51" t="s">
        <v>48</v>
      </c>
      <c r="KY57" s="51" t="s">
        <v>3442</v>
      </c>
      <c r="KZ57" s="83">
        <v>0.59</v>
      </c>
      <c r="LA57" s="356">
        <f t="shared" si="79"/>
        <v>0.76079948420373966</v>
      </c>
      <c r="LB57" s="75" t="s">
        <v>48</v>
      </c>
      <c r="LC57" s="75" t="s">
        <v>3443</v>
      </c>
      <c r="LD57" s="82">
        <v>0.76</v>
      </c>
      <c r="LE57" s="389">
        <f t="shared" si="80"/>
        <v>0.98001289490651211</v>
      </c>
      <c r="LF57" s="51" t="s">
        <v>414</v>
      </c>
      <c r="LG57" s="51" t="s">
        <v>3444</v>
      </c>
      <c r="LH57" s="83">
        <v>0.92</v>
      </c>
      <c r="LI57" s="84"/>
      <c r="LJ57" s="85"/>
      <c r="LK57" s="85"/>
      <c r="LL57" s="86">
        <f t="shared" si="81"/>
        <v>0.77620253164556963</v>
      </c>
      <c r="LM57" s="86">
        <f t="shared" si="82"/>
        <v>0.92759295499021521</v>
      </c>
      <c r="LN57" s="86">
        <f t="shared" si="90"/>
        <v>0.96459209410957658</v>
      </c>
      <c r="LO57" s="86">
        <f t="shared" si="94"/>
        <v>0.91635039838195975</v>
      </c>
      <c r="LP57" s="86">
        <f t="shared" si="95"/>
        <v>9.9289611075553008E-2</v>
      </c>
      <c r="LQ57" s="87">
        <f t="shared" si="96"/>
        <v>0</v>
      </c>
      <c r="LR57" s="86">
        <f t="shared" si="97"/>
        <v>0.94429751795679562</v>
      </c>
      <c r="LS57" s="84">
        <v>1</v>
      </c>
      <c r="LT57" s="87">
        <f t="shared" si="100"/>
        <v>0</v>
      </c>
      <c r="LU57" s="87">
        <f t="shared" si="92"/>
        <v>2</v>
      </c>
      <c r="LV57" s="86">
        <f t="shared" si="98"/>
        <v>0.96</v>
      </c>
      <c r="LW57" s="519" t="s">
        <v>3811</v>
      </c>
      <c r="LX57" s="5" t="str">
        <f t="shared" si="87"/>
        <v/>
      </c>
      <c r="LY57" s="5" t="str">
        <f t="shared" si="102"/>
        <v/>
      </c>
      <c r="LZ57" s="5"/>
      <c r="MA57" s="67" t="str">
        <f t="shared" si="99"/>
        <v>TCR</v>
      </c>
      <c r="MB57" s="89" t="s">
        <v>3808</v>
      </c>
    </row>
    <row r="58" spans="1:340" x14ac:dyDescent="0.2">
      <c r="A58" s="16">
        <v>0.78819444444444442</v>
      </c>
      <c r="B58" s="753">
        <f t="shared" si="0"/>
        <v>0.7662500000000001</v>
      </c>
      <c r="C58" s="754">
        <f t="shared" si="1"/>
        <v>4.8939641109297938E-3</v>
      </c>
      <c r="D58" s="17">
        <v>0.77</v>
      </c>
      <c r="E58" s="564">
        <f t="shared" si="2"/>
        <v>1.0048939641109298</v>
      </c>
      <c r="F58" s="17" t="s">
        <v>2611</v>
      </c>
      <c r="G58" s="20" t="s">
        <v>3445</v>
      </c>
      <c r="H58" s="21">
        <v>0.75</v>
      </c>
      <c r="I58" s="389">
        <f t="shared" si="3"/>
        <v>0.97879282218597052</v>
      </c>
      <c r="J58" s="21" t="s">
        <v>42</v>
      </c>
      <c r="K58" s="23" t="s">
        <v>3446</v>
      </c>
      <c r="L58" s="17">
        <v>0.84</v>
      </c>
      <c r="M58" s="385">
        <f t="shared" si="4"/>
        <v>1.0962479608482869</v>
      </c>
      <c r="N58" s="17" t="s">
        <v>108</v>
      </c>
      <c r="O58" s="20" t="s">
        <v>3447</v>
      </c>
      <c r="P58" s="21">
        <v>0.79</v>
      </c>
      <c r="Q58" s="94">
        <f t="shared" si="5"/>
        <v>1.0309951060358891</v>
      </c>
      <c r="R58" s="21" t="s">
        <v>48</v>
      </c>
      <c r="S58" s="23" t="s">
        <v>3448</v>
      </c>
      <c r="T58" s="17">
        <v>0.68</v>
      </c>
      <c r="U58" s="366">
        <f t="shared" si="6"/>
        <v>0.8874388254486133</v>
      </c>
      <c r="V58" s="17" t="s">
        <v>48</v>
      </c>
      <c r="W58" s="5"/>
      <c r="X58" s="21">
        <v>0.82</v>
      </c>
      <c r="Y58" s="404">
        <f t="shared" si="7"/>
        <v>1.0701468189233276</v>
      </c>
      <c r="Z58" s="21" t="s">
        <v>46</v>
      </c>
      <c r="AA58" s="28"/>
      <c r="AB58" s="17">
        <v>0.96</v>
      </c>
      <c r="AC58" s="310">
        <f t="shared" si="8"/>
        <v>1.2528548123980423</v>
      </c>
      <c r="AD58" s="17" t="s">
        <v>66</v>
      </c>
      <c r="AE58" s="20" t="s">
        <v>3449</v>
      </c>
      <c r="AF58" s="21">
        <v>1.02</v>
      </c>
      <c r="AG58" s="488">
        <f t="shared" si="9"/>
        <v>1.3311582381729199</v>
      </c>
      <c r="AH58" s="21" t="s">
        <v>66</v>
      </c>
      <c r="AI58" s="23" t="s">
        <v>3450</v>
      </c>
      <c r="AJ58" s="17">
        <v>1.29</v>
      </c>
      <c r="AK58" s="320">
        <f t="shared" si="10"/>
        <v>1.6835236541598693</v>
      </c>
      <c r="AL58" s="17" t="s">
        <v>42</v>
      </c>
      <c r="AM58" s="20" t="s">
        <v>3451</v>
      </c>
      <c r="AN58" s="21">
        <v>1.21</v>
      </c>
      <c r="AO58" s="546">
        <f t="shared" si="11"/>
        <v>1.5791190864600324</v>
      </c>
      <c r="AP58" s="21" t="s">
        <v>42</v>
      </c>
      <c r="AQ58" s="23" t="s">
        <v>3452</v>
      </c>
      <c r="AR58" s="17">
        <v>0.71</v>
      </c>
      <c r="AS58" s="652">
        <f t="shared" si="12"/>
        <v>0.92659053833605198</v>
      </c>
      <c r="AT58" s="17" t="s">
        <v>184</v>
      </c>
      <c r="AU58" s="20" t="s">
        <v>3453</v>
      </c>
      <c r="AV58" s="21">
        <v>1.1299999999999999</v>
      </c>
      <c r="AW58" s="607">
        <f t="shared" si="13"/>
        <v>1.4747145187601953</v>
      </c>
      <c r="AX58" s="21" t="s">
        <v>70</v>
      </c>
      <c r="AY58" s="23" t="s">
        <v>3454</v>
      </c>
      <c r="AZ58" s="17">
        <v>0.75</v>
      </c>
      <c r="BA58" s="389">
        <f t="shared" si="14"/>
        <v>0.97879282218597052</v>
      </c>
      <c r="BB58" s="17" t="s">
        <v>66</v>
      </c>
      <c r="BC58" s="20" t="s">
        <v>3455</v>
      </c>
      <c r="BD58" s="17">
        <v>1.02</v>
      </c>
      <c r="BE58" s="488">
        <f t="shared" si="15"/>
        <v>1.3311582381729199</v>
      </c>
      <c r="BF58" s="17" t="s">
        <v>42</v>
      </c>
      <c r="BG58" s="20" t="s">
        <v>3456</v>
      </c>
      <c r="BH58" s="37">
        <v>1.21</v>
      </c>
      <c r="BI58" s="546">
        <f t="shared" si="16"/>
        <v>1.5791190864600324</v>
      </c>
      <c r="BJ58" s="37" t="s">
        <v>42</v>
      </c>
      <c r="BK58" s="38" t="s">
        <v>3457</v>
      </c>
      <c r="BL58" s="17">
        <v>0.68</v>
      </c>
      <c r="BM58" s="366">
        <f t="shared" si="17"/>
        <v>0.8874388254486133</v>
      </c>
      <c r="BN58" s="17" t="s">
        <v>108</v>
      </c>
      <c r="BO58" s="40"/>
      <c r="BP58" s="17">
        <v>0.43</v>
      </c>
      <c r="BQ58" s="376">
        <f t="shared" si="18"/>
        <v>0.56117455138662309</v>
      </c>
      <c r="BR58" s="40"/>
      <c r="BS58" s="41"/>
      <c r="BT58" s="37">
        <v>0.77</v>
      </c>
      <c r="BU58" s="564">
        <f t="shared" si="19"/>
        <v>1.0048939641109298</v>
      </c>
      <c r="BV58" s="46" t="s">
        <v>42</v>
      </c>
      <c r="BW58" s="23" t="s">
        <v>3458</v>
      </c>
      <c r="BX58" s="17">
        <v>0.7</v>
      </c>
      <c r="BY58" s="80">
        <f t="shared" si="20"/>
        <v>0.91353996737357246</v>
      </c>
      <c r="BZ58" s="17" t="s">
        <v>48</v>
      </c>
      <c r="CA58" s="20" t="s">
        <v>3459</v>
      </c>
      <c r="CB58" s="37">
        <v>0.56999999999999995</v>
      </c>
      <c r="CC58" s="58">
        <f t="shared" si="21"/>
        <v>0.74388254486133754</v>
      </c>
      <c r="CD58" s="46" t="s">
        <v>48</v>
      </c>
      <c r="CE58" s="23" t="s">
        <v>3460</v>
      </c>
      <c r="CF58" s="17">
        <v>0.56999999999999995</v>
      </c>
      <c r="CG58" s="58">
        <f t="shared" si="22"/>
        <v>0.74388254486133754</v>
      </c>
      <c r="CH58" s="17" t="s">
        <v>48</v>
      </c>
      <c r="CI58" s="20" t="s">
        <v>3461</v>
      </c>
      <c r="CJ58" s="37">
        <v>0.19</v>
      </c>
      <c r="CK58" s="185">
        <f t="shared" si="23"/>
        <v>0.24796084828711254</v>
      </c>
      <c r="CL58" s="46" t="s">
        <v>46</v>
      </c>
      <c r="CM58" s="23" t="s">
        <v>3462</v>
      </c>
      <c r="CN58" s="17">
        <v>0.93</v>
      </c>
      <c r="CO58" s="361">
        <f t="shared" si="24"/>
        <v>1.2137030995106035</v>
      </c>
      <c r="CP58" s="17" t="s">
        <v>48</v>
      </c>
      <c r="CQ58" s="73" t="s">
        <v>3463</v>
      </c>
      <c r="CR58" s="37">
        <v>0.71</v>
      </c>
      <c r="CS58" s="652">
        <f t="shared" si="25"/>
        <v>0.92659053833605198</v>
      </c>
      <c r="CT58" s="21" t="s">
        <v>48</v>
      </c>
      <c r="CU58" s="23" t="s">
        <v>3464</v>
      </c>
      <c r="CV58" s="17">
        <v>0.97</v>
      </c>
      <c r="CW58" s="465">
        <f t="shared" si="26"/>
        <v>1.2659053833605218</v>
      </c>
      <c r="CX58" s="17" t="s">
        <v>108</v>
      </c>
      <c r="CY58" s="73" t="s">
        <v>3465</v>
      </c>
      <c r="CZ58" s="37">
        <v>0.64</v>
      </c>
      <c r="DA58" s="514">
        <f t="shared" si="27"/>
        <v>0.83523654159869487</v>
      </c>
      <c r="DB58" s="21" t="s">
        <v>48</v>
      </c>
      <c r="DC58" s="23" t="s">
        <v>3466</v>
      </c>
      <c r="DD58" s="17">
        <v>0.69</v>
      </c>
      <c r="DE58" s="478">
        <f t="shared" si="28"/>
        <v>0.90048939641109282</v>
      </c>
      <c r="DF58" s="17" t="s">
        <v>108</v>
      </c>
      <c r="DG58" s="5"/>
      <c r="DH58" s="37">
        <v>0.77</v>
      </c>
      <c r="DI58" s="564">
        <f t="shared" si="29"/>
        <v>1.0048939641109298</v>
      </c>
      <c r="DJ58" s="21" t="s">
        <v>70</v>
      </c>
      <c r="DK58" s="28"/>
      <c r="DL58" s="17">
        <v>0.27</v>
      </c>
      <c r="DM58" s="275">
        <f t="shared" si="30"/>
        <v>0.35236541598694943</v>
      </c>
      <c r="DN58" s="17" t="s">
        <v>48</v>
      </c>
      <c r="DO58" s="51" t="s">
        <v>3467</v>
      </c>
      <c r="DP58" s="21">
        <v>0.83</v>
      </c>
      <c r="DQ58" s="27">
        <f t="shared" si="31"/>
        <v>1.0831973898858074</v>
      </c>
      <c r="DR58" s="53" t="s">
        <v>108</v>
      </c>
      <c r="DS58" s="54" t="s">
        <v>3468</v>
      </c>
      <c r="DT58" s="53">
        <v>0.63</v>
      </c>
      <c r="DU58" s="378">
        <f t="shared" si="32"/>
        <v>0.82218597063621524</v>
      </c>
      <c r="DV58" s="56" t="s">
        <v>46</v>
      </c>
      <c r="DW58" s="57" t="s">
        <v>3287</v>
      </c>
      <c r="DX58" s="53">
        <v>0.65</v>
      </c>
      <c r="DY58" s="288">
        <f t="shared" si="33"/>
        <v>0.84828711256117451</v>
      </c>
      <c r="DZ58" s="53" t="s">
        <v>108</v>
      </c>
      <c r="EA58" s="64"/>
      <c r="EB58" s="56">
        <v>0.44</v>
      </c>
      <c r="EC58" s="133">
        <f t="shared" si="34"/>
        <v>0.57422512234910272</v>
      </c>
      <c r="ED58" s="56" t="s">
        <v>48</v>
      </c>
      <c r="EE58" s="57" t="s">
        <v>3469</v>
      </c>
      <c r="EF58" s="53">
        <v>0.44</v>
      </c>
      <c r="EG58" s="133">
        <f t="shared" si="35"/>
        <v>0.57422512234910272</v>
      </c>
      <c r="EH58" s="53" t="s">
        <v>48</v>
      </c>
      <c r="EI58" s="57" t="s">
        <v>3470</v>
      </c>
      <c r="EJ58" s="53">
        <v>0.78</v>
      </c>
      <c r="EK58" s="401">
        <f t="shared" si="36"/>
        <v>1.0179445350734093</v>
      </c>
      <c r="EL58" s="56" t="s">
        <v>108</v>
      </c>
      <c r="EM58" s="57" t="s">
        <v>3471</v>
      </c>
      <c r="EN58" s="53">
        <v>0.88</v>
      </c>
      <c r="EO58" s="131">
        <f t="shared" si="37"/>
        <v>1.1484502446982054</v>
      </c>
      <c r="EP58" s="53" t="s">
        <v>42</v>
      </c>
      <c r="EQ58" s="23" t="s">
        <v>3472</v>
      </c>
      <c r="ER58" s="53">
        <v>1</v>
      </c>
      <c r="ES58" s="529">
        <f t="shared" si="38"/>
        <v>1.3050570962479606</v>
      </c>
      <c r="ET58" s="53" t="s">
        <v>48</v>
      </c>
      <c r="EU58" s="20" t="s">
        <v>3473</v>
      </c>
      <c r="EV58" s="53">
        <v>0.81</v>
      </c>
      <c r="EW58" s="71">
        <f t="shared" si="39"/>
        <v>1.0570962479608481</v>
      </c>
      <c r="EX58" s="21" t="s">
        <v>48</v>
      </c>
      <c r="EY58" s="57" t="s">
        <v>3474</v>
      </c>
      <c r="EZ58" s="53">
        <v>0.69</v>
      </c>
      <c r="FA58" s="478">
        <f t="shared" si="40"/>
        <v>0.90048939641109282</v>
      </c>
      <c r="FB58" s="40"/>
      <c r="FC58" s="40"/>
      <c r="FD58" s="53">
        <v>0.99</v>
      </c>
      <c r="FE58" s="755">
        <f t="shared" si="41"/>
        <v>1.2920065252854811</v>
      </c>
      <c r="FF58" s="21" t="s">
        <v>70</v>
      </c>
      <c r="FG58" s="64"/>
      <c r="FH58" s="17">
        <v>0.96</v>
      </c>
      <c r="FI58" s="310">
        <f t="shared" si="42"/>
        <v>1.2528548123980423</v>
      </c>
      <c r="FJ58" s="17" t="s">
        <v>42</v>
      </c>
      <c r="FK58" s="51" t="s">
        <v>3475</v>
      </c>
      <c r="FL58" s="17">
        <v>0.67</v>
      </c>
      <c r="FM58" s="115">
        <f t="shared" si="43"/>
        <v>0.87438825448613366</v>
      </c>
      <c r="FN58" s="21" t="s">
        <v>179</v>
      </c>
      <c r="FO58" s="51" t="s">
        <v>3476</v>
      </c>
      <c r="FP58" s="17">
        <v>0.48</v>
      </c>
      <c r="FQ58" s="26">
        <f t="shared" si="44"/>
        <v>0.62642740619902115</v>
      </c>
      <c r="FR58" s="17" t="s">
        <v>42</v>
      </c>
      <c r="FS58" s="51" t="s">
        <v>3477</v>
      </c>
      <c r="FT58" s="17">
        <v>0.73</v>
      </c>
      <c r="FU58" s="37">
        <f t="shared" si="45"/>
        <v>0.95269168026101125</v>
      </c>
      <c r="FV58" s="17" t="s">
        <v>66</v>
      </c>
      <c r="FW58" s="51" t="s">
        <v>3478</v>
      </c>
      <c r="FX58" s="17">
        <v>1.1399999999999999</v>
      </c>
      <c r="FY58" s="169">
        <f t="shared" si="46"/>
        <v>1.4877650897226751</v>
      </c>
      <c r="FZ58" s="17" t="s">
        <v>66</v>
      </c>
      <c r="GA58" s="51" t="s">
        <v>3479</v>
      </c>
      <c r="GB58" s="53">
        <v>0.79</v>
      </c>
      <c r="GC58" s="94">
        <f t="shared" si="47"/>
        <v>1.0309951060358891</v>
      </c>
      <c r="GD58" s="21" t="s">
        <v>46</v>
      </c>
      <c r="GE58" s="63"/>
      <c r="GF58" s="17">
        <v>0.93</v>
      </c>
      <c r="GG58" s="361">
        <f t="shared" si="48"/>
        <v>1.2137030995106035</v>
      </c>
      <c r="GH58" s="17" t="s">
        <v>108</v>
      </c>
      <c r="GI58" s="40"/>
      <c r="GJ58" s="17">
        <v>0.8</v>
      </c>
      <c r="GK58" s="647">
        <f t="shared" si="49"/>
        <v>1.0440456769983686</v>
      </c>
      <c r="GL58" s="17" t="s">
        <v>66</v>
      </c>
      <c r="GM58" s="274"/>
      <c r="GN58" s="17">
        <v>0.38</v>
      </c>
      <c r="GO58" s="210">
        <f t="shared" si="50"/>
        <v>0.49592169657422508</v>
      </c>
      <c r="GP58" s="17" t="s">
        <v>42</v>
      </c>
      <c r="GQ58" s="51" t="s">
        <v>3480</v>
      </c>
      <c r="GR58" s="17">
        <v>0.8</v>
      </c>
      <c r="GS58" s="647">
        <f t="shared" si="51"/>
        <v>1.0440456769983686</v>
      </c>
      <c r="GT58" s="17" t="s">
        <v>108</v>
      </c>
      <c r="GU58" s="51" t="s">
        <v>3481</v>
      </c>
      <c r="GV58" s="17">
        <v>1.18</v>
      </c>
      <c r="GW58" s="756">
        <f t="shared" si="52"/>
        <v>1.5399673735725936</v>
      </c>
      <c r="GX58" s="17" t="s">
        <v>108</v>
      </c>
      <c r="GY58" s="73" t="s">
        <v>3482</v>
      </c>
      <c r="GZ58" s="17">
        <v>0.64</v>
      </c>
      <c r="HA58" s="514">
        <f t="shared" si="53"/>
        <v>0.83523654159869487</v>
      </c>
      <c r="HB58" s="17" t="s">
        <v>70</v>
      </c>
      <c r="HC58" s="20" t="s">
        <v>3483</v>
      </c>
      <c r="HD58" s="17">
        <v>0.9</v>
      </c>
      <c r="HE58" s="560">
        <f t="shared" si="54"/>
        <v>1.1745513866231647</v>
      </c>
      <c r="HF58" s="17" t="s">
        <v>108</v>
      </c>
      <c r="HG58" s="20" t="s">
        <v>3484</v>
      </c>
      <c r="HH58" s="17">
        <v>0.79</v>
      </c>
      <c r="HI58" s="94">
        <f t="shared" si="55"/>
        <v>1.0309951060358891</v>
      </c>
      <c r="HJ58" s="17" t="s">
        <v>42</v>
      </c>
      <c r="HK58" s="20" t="s">
        <v>3485</v>
      </c>
      <c r="HL58" s="17">
        <v>0.92</v>
      </c>
      <c r="HM58" s="218">
        <f t="shared" si="56"/>
        <v>1.200652528548124</v>
      </c>
      <c r="HN58" s="17" t="s">
        <v>42</v>
      </c>
      <c r="HO58" s="20" t="s">
        <v>3486</v>
      </c>
      <c r="HP58" s="17">
        <v>0.54</v>
      </c>
      <c r="HQ58" s="198">
        <f t="shared" si="57"/>
        <v>0.70473083197389885</v>
      </c>
      <c r="HR58" s="17" t="s">
        <v>42</v>
      </c>
      <c r="HS58" s="73" t="s">
        <v>3487</v>
      </c>
      <c r="HT58" s="17">
        <v>1.02</v>
      </c>
      <c r="HU58" s="488">
        <f t="shared" si="58"/>
        <v>1.3311582381729199</v>
      </c>
      <c r="HV58" s="17" t="s">
        <v>108</v>
      </c>
      <c r="HW58" s="75" t="s">
        <v>3488</v>
      </c>
      <c r="HX58" s="17">
        <v>0.52</v>
      </c>
      <c r="HY58" s="312">
        <f t="shared" si="59"/>
        <v>0.67862969004893958</v>
      </c>
      <c r="HZ58" s="21" t="s">
        <v>42</v>
      </c>
      <c r="IA58" s="75" t="s">
        <v>3489</v>
      </c>
      <c r="IB58" s="17">
        <v>1.02</v>
      </c>
      <c r="IC58" s="488">
        <f t="shared" si="60"/>
        <v>1.3311582381729199</v>
      </c>
      <c r="ID58" s="17" t="s">
        <v>42</v>
      </c>
      <c r="IE58" s="51" t="s">
        <v>3490</v>
      </c>
      <c r="IF58" s="17">
        <v>0.46</v>
      </c>
      <c r="IG58" s="39">
        <f t="shared" si="61"/>
        <v>0.60032626427406199</v>
      </c>
      <c r="IH58" s="17" t="s">
        <v>66</v>
      </c>
      <c r="II58" s="51" t="s">
        <v>3491</v>
      </c>
      <c r="IJ58" s="236">
        <v>0.74</v>
      </c>
      <c r="IK58" s="433">
        <f t="shared" si="62"/>
        <v>0.96574225122349089</v>
      </c>
      <c r="IL58" s="17" t="s">
        <v>42</v>
      </c>
      <c r="IM58" s="51" t="s">
        <v>3492</v>
      </c>
      <c r="IN58" s="17">
        <v>0.46</v>
      </c>
      <c r="IO58" s="39">
        <f t="shared" si="63"/>
        <v>0.60032626427406199</v>
      </c>
      <c r="IP58" s="17" t="s">
        <v>66</v>
      </c>
      <c r="IQ58" s="51" t="s">
        <v>3427</v>
      </c>
      <c r="IR58" s="17">
        <v>1.08</v>
      </c>
      <c r="IS58" s="432">
        <f t="shared" si="64"/>
        <v>1.4094616639477977</v>
      </c>
      <c r="IT58" s="17" t="s">
        <v>48</v>
      </c>
      <c r="IU58" s="75" t="s">
        <v>3493</v>
      </c>
      <c r="IV58" s="17">
        <v>0.54</v>
      </c>
      <c r="IW58" s="198">
        <f t="shared" si="65"/>
        <v>0.70473083197389885</v>
      </c>
      <c r="IX58" s="17" t="s">
        <v>66</v>
      </c>
      <c r="IY58" s="51" t="s">
        <v>3494</v>
      </c>
      <c r="IZ58" s="17">
        <v>0.68</v>
      </c>
      <c r="JA58" s="366">
        <f t="shared" si="66"/>
        <v>0.8874388254486133</v>
      </c>
      <c r="JB58" s="17" t="s">
        <v>70</v>
      </c>
      <c r="JC58" s="51" t="s">
        <v>3495</v>
      </c>
      <c r="JD58" s="17">
        <v>0.74</v>
      </c>
      <c r="JE58" s="433">
        <f t="shared" si="67"/>
        <v>0.96574225122349089</v>
      </c>
      <c r="JF58" s="17" t="s">
        <v>42</v>
      </c>
      <c r="JG58" s="51" t="s">
        <v>3496</v>
      </c>
      <c r="JH58" s="17">
        <v>0.75</v>
      </c>
      <c r="JI58" s="389">
        <f t="shared" si="68"/>
        <v>0.97879282218597052</v>
      </c>
      <c r="JJ58" s="17" t="s">
        <v>48</v>
      </c>
      <c r="JK58" s="51" t="s">
        <v>3497</v>
      </c>
      <c r="JL58" s="21">
        <v>0.46</v>
      </c>
      <c r="JM58" s="39">
        <f t="shared" si="69"/>
        <v>0.60032626427406199</v>
      </c>
      <c r="JN58" s="21" t="s">
        <v>48</v>
      </c>
      <c r="JO58" s="75" t="s">
        <v>3498</v>
      </c>
      <c r="JP58" s="21">
        <v>0.72</v>
      </c>
      <c r="JQ58" s="155">
        <f t="shared" si="70"/>
        <v>0.93964110929853162</v>
      </c>
      <c r="JR58" s="21" t="s">
        <v>42</v>
      </c>
      <c r="JS58" s="51" t="s">
        <v>3499</v>
      </c>
      <c r="JT58" s="21">
        <v>0.71</v>
      </c>
      <c r="JU58" s="652">
        <f t="shared" si="71"/>
        <v>0.92659053833605198</v>
      </c>
      <c r="JV58" s="21" t="s">
        <v>70</v>
      </c>
      <c r="JW58" s="75" t="s">
        <v>3500</v>
      </c>
      <c r="JX58" s="17">
        <v>0.85</v>
      </c>
      <c r="JY58" s="474">
        <f t="shared" si="72"/>
        <v>1.1092985318107667</v>
      </c>
      <c r="JZ58" s="51" t="s">
        <v>110</v>
      </c>
      <c r="KA58" s="51" t="s">
        <v>3501</v>
      </c>
      <c r="KB58" s="21">
        <v>1.06</v>
      </c>
      <c r="KC58" s="390">
        <f t="shared" si="73"/>
        <v>1.3833605220228384</v>
      </c>
      <c r="KD58" s="75" t="s">
        <v>48</v>
      </c>
      <c r="KE58" s="75" t="s">
        <v>3437</v>
      </c>
      <c r="KF58" s="17">
        <v>0.71</v>
      </c>
      <c r="KG58" s="652">
        <f t="shared" si="74"/>
        <v>0.92659053833605198</v>
      </c>
      <c r="KH58" s="51" t="s">
        <v>48</v>
      </c>
      <c r="KI58" s="51" t="s">
        <v>3502</v>
      </c>
      <c r="KJ58" s="21">
        <v>0.55000000000000004</v>
      </c>
      <c r="KK58" s="74">
        <f t="shared" si="75"/>
        <v>0.71778140293637849</v>
      </c>
      <c r="KL58" s="75" t="s">
        <v>179</v>
      </c>
      <c r="KM58" s="75" t="s">
        <v>3503</v>
      </c>
      <c r="KN58" s="17">
        <v>0.68</v>
      </c>
      <c r="KO58" s="366">
        <f t="shared" si="76"/>
        <v>0.8874388254486133</v>
      </c>
      <c r="KP58" s="51" t="s">
        <v>46</v>
      </c>
      <c r="KQ58" s="51" t="s">
        <v>3504</v>
      </c>
      <c r="KR58" s="21">
        <v>0.92</v>
      </c>
      <c r="KS58" s="218">
        <f t="shared" si="77"/>
        <v>1.200652528548124</v>
      </c>
      <c r="KT58" s="75" t="s">
        <v>42</v>
      </c>
      <c r="KU58" s="75" t="s">
        <v>3505</v>
      </c>
      <c r="KV58" s="82">
        <v>0.74</v>
      </c>
      <c r="KW58" s="433">
        <f t="shared" si="78"/>
        <v>0.96574225122349089</v>
      </c>
      <c r="KX58" s="51" t="s">
        <v>48</v>
      </c>
      <c r="KY58" s="51" t="s">
        <v>3442</v>
      </c>
      <c r="KZ58" s="83">
        <v>0.59</v>
      </c>
      <c r="LA58" s="19">
        <f t="shared" si="79"/>
        <v>0.76998368678629681</v>
      </c>
      <c r="LB58" s="75" t="s">
        <v>285</v>
      </c>
      <c r="LC58" s="75" t="s">
        <v>3506</v>
      </c>
      <c r="LD58" s="82">
        <v>0.82</v>
      </c>
      <c r="LE58" s="404">
        <f t="shared" si="80"/>
        <v>1.0701468189233276</v>
      </c>
      <c r="LF58" s="51" t="s">
        <v>414</v>
      </c>
      <c r="LG58" s="51" t="s">
        <v>3507</v>
      </c>
      <c r="LH58" s="83">
        <v>0.85</v>
      </c>
      <c r="LI58" s="84"/>
      <c r="LJ58" s="85"/>
      <c r="LK58" s="85"/>
      <c r="LL58" s="86">
        <f t="shared" si="81"/>
        <v>0.76620253164556984</v>
      </c>
      <c r="LM58" s="86">
        <f t="shared" si="82"/>
        <v>1.0049562200561701</v>
      </c>
      <c r="LN58" s="86">
        <f t="shared" si="90"/>
        <v>0.9639193824892246</v>
      </c>
      <c r="LO58" s="86">
        <f t="shared" si="94"/>
        <v>0.93237250918951164</v>
      </c>
      <c r="LP58" s="86">
        <f t="shared" si="95"/>
        <v>-1.5221565149018401E-2</v>
      </c>
      <c r="LQ58" s="87">
        <f t="shared" si="96"/>
        <v>0</v>
      </c>
      <c r="LR58" s="86">
        <f t="shared" si="97"/>
        <v>0.93544273823724211</v>
      </c>
      <c r="LS58" s="84">
        <v>1</v>
      </c>
      <c r="LT58" s="87">
        <f t="shared" si="100"/>
        <v>0</v>
      </c>
      <c r="LU58" s="87">
        <f t="shared" si="92"/>
        <v>3</v>
      </c>
      <c r="LV58" s="86">
        <f t="shared" si="98"/>
        <v>0.96</v>
      </c>
      <c r="LW58" s="519" t="s">
        <v>3812</v>
      </c>
      <c r="LX58" s="5" t="str">
        <f t="shared" si="87"/>
        <v/>
      </c>
      <c r="LY58" s="5" t="str">
        <f t="shared" si="102"/>
        <v/>
      </c>
      <c r="LZ58" s="5"/>
      <c r="MA58" s="67" t="str">
        <f t="shared" si="99"/>
        <v>TCR</v>
      </c>
      <c r="MB58" s="89" t="s">
        <v>3808</v>
      </c>
    </row>
    <row r="59" spans="1:340" x14ac:dyDescent="0.2">
      <c r="A59" s="16">
        <v>0.78888888888888886</v>
      </c>
      <c r="B59" s="757">
        <f t="shared" si="0"/>
        <v>0.76174999999999993</v>
      </c>
      <c r="C59" s="758">
        <f t="shared" si="1"/>
        <v>0.10272399081063344</v>
      </c>
      <c r="D59" s="17">
        <v>0.84</v>
      </c>
      <c r="E59" s="49">
        <f t="shared" si="2"/>
        <v>1.1027239908106334</v>
      </c>
      <c r="F59" s="17" t="s">
        <v>3508</v>
      </c>
      <c r="G59" s="20" t="s">
        <v>3509</v>
      </c>
      <c r="H59" s="21">
        <v>0.88</v>
      </c>
      <c r="I59" s="691">
        <f t="shared" si="3"/>
        <v>1.1552346570397114</v>
      </c>
      <c r="J59" s="21" t="s">
        <v>42</v>
      </c>
      <c r="K59" s="23" t="s">
        <v>3510</v>
      </c>
      <c r="L59" s="17">
        <v>0.85</v>
      </c>
      <c r="M59" s="146">
        <f t="shared" si="4"/>
        <v>1.1158516573679029</v>
      </c>
      <c r="N59" s="17" t="s">
        <v>42</v>
      </c>
      <c r="O59" s="20" t="s">
        <v>3511</v>
      </c>
      <c r="P59" s="21">
        <v>0.79</v>
      </c>
      <c r="Q59" s="206">
        <f t="shared" si="5"/>
        <v>1.0370856580242864</v>
      </c>
      <c r="R59" s="21" t="s">
        <v>48</v>
      </c>
      <c r="S59" s="23" t="s">
        <v>3512</v>
      </c>
      <c r="T59" s="17">
        <v>0.68</v>
      </c>
      <c r="U59" s="199">
        <f t="shared" si="6"/>
        <v>0.89268132589432247</v>
      </c>
      <c r="V59" s="17" t="s">
        <v>66</v>
      </c>
      <c r="W59" s="5"/>
      <c r="X59" s="21">
        <v>0.82</v>
      </c>
      <c r="Y59" s="176">
        <f t="shared" si="7"/>
        <v>1.0764686576960945</v>
      </c>
      <c r="Z59" s="21" t="s">
        <v>49</v>
      </c>
      <c r="AA59" s="28"/>
      <c r="AB59" s="17">
        <v>0.83</v>
      </c>
      <c r="AC59" s="568">
        <f t="shared" si="8"/>
        <v>1.0895963242533639</v>
      </c>
      <c r="AD59" s="17" t="s">
        <v>179</v>
      </c>
      <c r="AE59" s="20" t="s">
        <v>3513</v>
      </c>
      <c r="AF59" s="21">
        <v>1.1399999999999999</v>
      </c>
      <c r="AG59" s="759">
        <f t="shared" si="9"/>
        <v>1.4965539875287168</v>
      </c>
      <c r="AH59" s="21" t="s">
        <v>42</v>
      </c>
      <c r="AI59" s="23" t="s">
        <v>3514</v>
      </c>
      <c r="AJ59" s="17">
        <v>1.22</v>
      </c>
      <c r="AK59" s="260">
        <f t="shared" si="10"/>
        <v>1.6015753199868725</v>
      </c>
      <c r="AL59" s="17" t="s">
        <v>66</v>
      </c>
      <c r="AM59" s="20" t="s">
        <v>3515</v>
      </c>
      <c r="AN59" s="21">
        <v>1.1399999999999999</v>
      </c>
      <c r="AO59" s="759">
        <f t="shared" si="11"/>
        <v>1.4965539875287168</v>
      </c>
      <c r="AP59" s="21" t="s">
        <v>42</v>
      </c>
      <c r="AQ59" s="23" t="s">
        <v>3516</v>
      </c>
      <c r="AR59" s="17">
        <v>0.77</v>
      </c>
      <c r="AS59" s="111">
        <f t="shared" si="12"/>
        <v>1.0108303249097474</v>
      </c>
      <c r="AT59" s="17" t="s">
        <v>48</v>
      </c>
      <c r="AU59" s="20" t="s">
        <v>3517</v>
      </c>
      <c r="AV59" s="21">
        <v>1.1299999999999999</v>
      </c>
      <c r="AW59" s="276">
        <f t="shared" si="13"/>
        <v>1.4834263209714473</v>
      </c>
      <c r="AX59" s="21" t="s">
        <v>70</v>
      </c>
      <c r="AY59" s="23" t="s">
        <v>3518</v>
      </c>
      <c r="AZ59" s="17">
        <v>0.56000000000000005</v>
      </c>
      <c r="BA59" s="92">
        <f t="shared" si="14"/>
        <v>0.73514932720708903</v>
      </c>
      <c r="BB59" s="17" t="s">
        <v>3519</v>
      </c>
      <c r="BC59" s="20" t="s">
        <v>3520</v>
      </c>
      <c r="BD59" s="17">
        <v>1.08</v>
      </c>
      <c r="BE59" s="52">
        <f t="shared" si="15"/>
        <v>1.4177879881851003</v>
      </c>
      <c r="BF59" s="17" t="s">
        <v>66</v>
      </c>
      <c r="BG59" s="20" t="s">
        <v>3521</v>
      </c>
      <c r="BH59" s="37">
        <v>1.21</v>
      </c>
      <c r="BI59" s="760">
        <f t="shared" si="16"/>
        <v>1.588447653429603</v>
      </c>
      <c r="BJ59" s="37" t="s">
        <v>66</v>
      </c>
      <c r="BK59" s="38" t="s">
        <v>3522</v>
      </c>
      <c r="BL59" s="17">
        <v>0.62</v>
      </c>
      <c r="BM59" s="223">
        <f t="shared" si="17"/>
        <v>0.81391532655070564</v>
      </c>
      <c r="BN59" s="17" t="s">
        <v>66</v>
      </c>
      <c r="BO59" s="40"/>
      <c r="BP59" s="17">
        <v>0.43</v>
      </c>
      <c r="BQ59" s="376">
        <f t="shared" si="18"/>
        <v>0.56448966196258621</v>
      </c>
      <c r="BR59" s="40"/>
      <c r="BS59" s="41"/>
      <c r="BT59" s="37">
        <v>0.77</v>
      </c>
      <c r="BU59" s="111">
        <f t="shared" si="19"/>
        <v>1.0108303249097474</v>
      </c>
      <c r="BV59" s="46" t="s">
        <v>42</v>
      </c>
      <c r="BW59" s="23" t="s">
        <v>3523</v>
      </c>
      <c r="BX59" s="17">
        <v>0.64</v>
      </c>
      <c r="BY59" s="78">
        <f t="shared" si="20"/>
        <v>0.84017065966524462</v>
      </c>
      <c r="BZ59" s="17" t="s">
        <v>48</v>
      </c>
      <c r="CA59" s="20" t="s">
        <v>3524</v>
      </c>
      <c r="CB59" s="37">
        <v>0.52</v>
      </c>
      <c r="CC59" s="188">
        <f t="shared" si="21"/>
        <v>0.68263866097801129</v>
      </c>
      <c r="CD59" s="46" t="s">
        <v>48</v>
      </c>
      <c r="CE59" s="23" t="s">
        <v>3525</v>
      </c>
      <c r="CF59" s="17">
        <v>0.56999999999999995</v>
      </c>
      <c r="CG59" s="541">
        <f t="shared" si="22"/>
        <v>0.74827699376435841</v>
      </c>
      <c r="CH59" s="17" t="s">
        <v>42</v>
      </c>
      <c r="CI59" s="20" t="s">
        <v>3526</v>
      </c>
      <c r="CJ59" s="37">
        <v>0.13</v>
      </c>
      <c r="CK59" s="569">
        <f t="shared" si="23"/>
        <v>0.17065966524450282</v>
      </c>
      <c r="CL59" s="46" t="s">
        <v>42</v>
      </c>
      <c r="CM59" s="23" t="s">
        <v>3527</v>
      </c>
      <c r="CN59" s="17">
        <v>0.94</v>
      </c>
      <c r="CO59" s="466">
        <f t="shared" si="24"/>
        <v>1.2340006563833279</v>
      </c>
      <c r="CP59" s="17" t="s">
        <v>48</v>
      </c>
      <c r="CQ59" s="73" t="s">
        <v>3528</v>
      </c>
      <c r="CR59" s="37">
        <v>0.71</v>
      </c>
      <c r="CS59" s="191">
        <f t="shared" si="25"/>
        <v>0.93206432556613061</v>
      </c>
      <c r="CT59" s="21" t="s">
        <v>66</v>
      </c>
      <c r="CU59" s="28"/>
      <c r="CV59" s="17">
        <v>0.95</v>
      </c>
      <c r="CW59" s="375">
        <f t="shared" si="26"/>
        <v>1.2471283229405974</v>
      </c>
      <c r="CX59" s="17" t="s">
        <v>70</v>
      </c>
      <c r="CY59" s="73" t="s">
        <v>3529</v>
      </c>
      <c r="CZ59" s="37">
        <v>0.77</v>
      </c>
      <c r="DA59" s="111">
        <f t="shared" si="27"/>
        <v>1.0108303249097474</v>
      </c>
      <c r="DB59" s="21" t="s">
        <v>48</v>
      </c>
      <c r="DC59" s="23" t="s">
        <v>3530</v>
      </c>
      <c r="DD59" s="17">
        <v>0.63</v>
      </c>
      <c r="DE59" s="629">
        <f t="shared" si="28"/>
        <v>0.82704299310797513</v>
      </c>
      <c r="DF59" s="17" t="s">
        <v>48</v>
      </c>
      <c r="DG59" s="5"/>
      <c r="DH59" s="37">
        <v>0.78</v>
      </c>
      <c r="DI59" s="368">
        <f t="shared" si="29"/>
        <v>1.0239579914670169</v>
      </c>
      <c r="DJ59" s="21" t="s">
        <v>70</v>
      </c>
      <c r="DK59" s="28"/>
      <c r="DL59" s="17">
        <v>0.27</v>
      </c>
      <c r="DM59" s="593">
        <f t="shared" si="30"/>
        <v>0.35444699704627508</v>
      </c>
      <c r="DN59" s="17" t="s">
        <v>48</v>
      </c>
      <c r="DO59" s="51" t="s">
        <v>3531</v>
      </c>
      <c r="DP59" s="21">
        <v>0.9</v>
      </c>
      <c r="DQ59" s="667">
        <f t="shared" si="31"/>
        <v>1.1814899901542502</v>
      </c>
      <c r="DR59" s="53" t="s">
        <v>46</v>
      </c>
      <c r="DS59" s="54" t="s">
        <v>3532</v>
      </c>
      <c r="DT59" s="53">
        <v>0.63</v>
      </c>
      <c r="DU59" s="629">
        <f t="shared" si="32"/>
        <v>0.82704299310797513</v>
      </c>
      <c r="DV59" s="56" t="s">
        <v>42</v>
      </c>
      <c r="DW59" s="57" t="s">
        <v>3533</v>
      </c>
      <c r="DX59" s="53">
        <v>0.65</v>
      </c>
      <c r="DY59" s="127">
        <f t="shared" si="33"/>
        <v>0.85329832622251411</v>
      </c>
      <c r="DZ59" s="53" t="s">
        <v>42</v>
      </c>
      <c r="EA59" s="54" t="s">
        <v>3534</v>
      </c>
      <c r="EB59" s="56">
        <v>0.44</v>
      </c>
      <c r="EC59" s="72">
        <f t="shared" si="34"/>
        <v>0.5776173285198557</v>
      </c>
      <c r="ED59" s="56" t="s">
        <v>48</v>
      </c>
      <c r="EE59" s="57" t="s">
        <v>3535</v>
      </c>
      <c r="EF59" s="53">
        <v>0.38</v>
      </c>
      <c r="EG59" s="511">
        <f t="shared" si="35"/>
        <v>0.49885132917623898</v>
      </c>
      <c r="EH59" s="53" t="s">
        <v>48</v>
      </c>
      <c r="EI59" s="57" t="s">
        <v>3536</v>
      </c>
      <c r="EJ59" s="53">
        <v>0.78</v>
      </c>
      <c r="EK59" s="368">
        <f t="shared" si="36"/>
        <v>1.0239579914670169</v>
      </c>
      <c r="EL59" s="56" t="s">
        <v>70</v>
      </c>
      <c r="EM59" s="57" t="s">
        <v>3537</v>
      </c>
      <c r="EN59" s="53">
        <v>0.88</v>
      </c>
      <c r="EO59" s="691">
        <f t="shared" si="37"/>
        <v>1.1552346570397114</v>
      </c>
      <c r="EP59" s="53" t="s">
        <v>42</v>
      </c>
      <c r="EQ59" s="23" t="s">
        <v>3538</v>
      </c>
      <c r="ER59" s="53">
        <v>0.88</v>
      </c>
      <c r="ES59" s="691">
        <f t="shared" si="38"/>
        <v>1.1552346570397114</v>
      </c>
      <c r="ET59" s="53" t="s">
        <v>48</v>
      </c>
      <c r="EU59" s="20" t="s">
        <v>3473</v>
      </c>
      <c r="EV59" s="53">
        <v>1.06</v>
      </c>
      <c r="EW59" s="604">
        <f t="shared" si="39"/>
        <v>1.3915326550705613</v>
      </c>
      <c r="EX59" s="21" t="s">
        <v>48</v>
      </c>
      <c r="EY59" s="57" t="s">
        <v>3539</v>
      </c>
      <c r="EZ59" s="53">
        <v>0.83</v>
      </c>
      <c r="FA59" s="568">
        <f t="shared" si="40"/>
        <v>1.0895963242533639</v>
      </c>
      <c r="FB59" s="40"/>
      <c r="FC59" s="40"/>
      <c r="FD59" s="53">
        <v>0.99</v>
      </c>
      <c r="FE59" s="716">
        <f t="shared" si="41"/>
        <v>1.2996389891696751</v>
      </c>
      <c r="FF59" s="21" t="s">
        <v>42</v>
      </c>
      <c r="FG59" s="64"/>
      <c r="FH59" s="17">
        <v>1.03</v>
      </c>
      <c r="FI59" s="648">
        <f t="shared" si="42"/>
        <v>1.3521496553987531</v>
      </c>
      <c r="FJ59" s="17" t="s">
        <v>42</v>
      </c>
      <c r="FK59" s="51" t="s">
        <v>3540</v>
      </c>
      <c r="FL59" s="17">
        <v>0.67</v>
      </c>
      <c r="FM59" s="510">
        <f t="shared" si="43"/>
        <v>0.87955365933705298</v>
      </c>
      <c r="FN59" s="21" t="s">
        <v>179</v>
      </c>
      <c r="FO59" s="51" t="s">
        <v>3476</v>
      </c>
      <c r="FP59" s="17">
        <v>0.48</v>
      </c>
      <c r="FQ59" s="215">
        <f t="shared" si="44"/>
        <v>0.63012799474893344</v>
      </c>
      <c r="FR59" s="17" t="s">
        <v>42</v>
      </c>
      <c r="FS59" s="51" t="s">
        <v>3541</v>
      </c>
      <c r="FT59" s="17">
        <v>0.73</v>
      </c>
      <c r="FU59" s="446">
        <f t="shared" si="45"/>
        <v>0.95831965868066959</v>
      </c>
      <c r="FV59" s="17" t="s">
        <v>66</v>
      </c>
      <c r="FW59" s="51" t="s">
        <v>3542</v>
      </c>
      <c r="FX59" s="17">
        <v>1.1399999999999999</v>
      </c>
      <c r="FY59" s="759">
        <f t="shared" si="46"/>
        <v>1.4965539875287168</v>
      </c>
      <c r="FZ59" s="17" t="s">
        <v>66</v>
      </c>
      <c r="GA59" s="51" t="s">
        <v>3543</v>
      </c>
      <c r="GB59" s="53">
        <v>0.79</v>
      </c>
      <c r="GC59" s="206">
        <f t="shared" si="47"/>
        <v>1.0370856580242864</v>
      </c>
      <c r="GD59" s="21" t="s">
        <v>179</v>
      </c>
      <c r="GE59" s="63"/>
      <c r="GF59" s="17">
        <v>0.78</v>
      </c>
      <c r="GG59" s="368">
        <f t="shared" si="48"/>
        <v>1.0239579914670169</v>
      </c>
      <c r="GH59" s="17" t="s">
        <v>66</v>
      </c>
      <c r="GI59" s="51" t="s">
        <v>3544</v>
      </c>
      <c r="GJ59" s="17">
        <v>0.87</v>
      </c>
      <c r="GK59" s="381">
        <f t="shared" si="49"/>
        <v>1.1421069904824419</v>
      </c>
      <c r="GL59" s="17" t="s">
        <v>66</v>
      </c>
      <c r="GM59" s="274"/>
      <c r="GN59" s="17">
        <v>0.32</v>
      </c>
      <c r="GO59" s="396">
        <f t="shared" si="50"/>
        <v>0.42008532983262231</v>
      </c>
      <c r="GP59" s="17" t="s">
        <v>42</v>
      </c>
      <c r="GQ59" s="51" t="s">
        <v>3545</v>
      </c>
      <c r="GR59" s="17">
        <v>0.56999999999999995</v>
      </c>
      <c r="GS59" s="541">
        <f t="shared" si="51"/>
        <v>0.74827699376435841</v>
      </c>
      <c r="GT59" s="17" t="s">
        <v>48</v>
      </c>
      <c r="GU59" s="51" t="s">
        <v>3546</v>
      </c>
      <c r="GV59" s="17">
        <v>1.18</v>
      </c>
      <c r="GW59" s="447">
        <f t="shared" si="52"/>
        <v>1.5490646537577946</v>
      </c>
      <c r="GX59" s="17" t="s">
        <v>48</v>
      </c>
      <c r="GY59" s="67" t="s">
        <v>3547</v>
      </c>
      <c r="GZ59" s="17">
        <v>0.64</v>
      </c>
      <c r="HA59" s="78">
        <f t="shared" si="53"/>
        <v>0.84017065966524462</v>
      </c>
      <c r="HB59" s="17" t="s">
        <v>108</v>
      </c>
      <c r="HC59" s="20" t="s">
        <v>3548</v>
      </c>
      <c r="HD59" s="17">
        <v>0.8</v>
      </c>
      <c r="HE59" s="153">
        <f t="shared" si="54"/>
        <v>1.0502133245815557</v>
      </c>
      <c r="HF59" s="17" t="s">
        <v>66</v>
      </c>
      <c r="HG59" s="20" t="s">
        <v>3484</v>
      </c>
      <c r="HH59" s="17">
        <v>0.79</v>
      </c>
      <c r="HI59" s="206">
        <f t="shared" si="55"/>
        <v>1.0370856580242864</v>
      </c>
      <c r="HJ59" s="17" t="s">
        <v>108</v>
      </c>
      <c r="HK59" s="20" t="s">
        <v>3549</v>
      </c>
      <c r="HL59" s="17">
        <v>0.86</v>
      </c>
      <c r="HM59" s="33">
        <f t="shared" si="56"/>
        <v>1.1289793239251724</v>
      </c>
      <c r="HN59" s="17" t="s">
        <v>42</v>
      </c>
      <c r="HO59" s="20" t="s">
        <v>3550</v>
      </c>
      <c r="HP59" s="17">
        <v>0.54</v>
      </c>
      <c r="HQ59" s="353">
        <f t="shared" si="57"/>
        <v>0.70889399409255016</v>
      </c>
      <c r="HR59" s="17" t="s">
        <v>42</v>
      </c>
      <c r="HS59" s="73" t="s">
        <v>3551</v>
      </c>
      <c r="HT59" s="17">
        <v>1.02</v>
      </c>
      <c r="HU59" s="292">
        <f t="shared" si="58"/>
        <v>1.3390219888414836</v>
      </c>
      <c r="HV59" s="21" t="s">
        <v>42</v>
      </c>
      <c r="HW59" s="75" t="s">
        <v>3552</v>
      </c>
      <c r="HX59" s="17">
        <v>0.57999999999999996</v>
      </c>
      <c r="HY59" s="356">
        <f t="shared" si="59"/>
        <v>0.7614046603216279</v>
      </c>
      <c r="HZ59" s="21" t="s">
        <v>48</v>
      </c>
      <c r="IA59" s="75" t="s">
        <v>3553</v>
      </c>
      <c r="IB59" s="17">
        <v>1.02</v>
      </c>
      <c r="IC59" s="292">
        <f t="shared" si="60"/>
        <v>1.3390219888414836</v>
      </c>
      <c r="ID59" s="17" t="s">
        <v>42</v>
      </c>
      <c r="IE59" s="51" t="s">
        <v>3554</v>
      </c>
      <c r="IF59" s="17">
        <v>0.46</v>
      </c>
      <c r="IG59" s="39">
        <f t="shared" si="61"/>
        <v>0.60387266163439457</v>
      </c>
      <c r="IH59" s="17" t="s">
        <v>42</v>
      </c>
      <c r="II59" s="51" t="s">
        <v>3555</v>
      </c>
      <c r="IJ59" s="17">
        <v>0.74</v>
      </c>
      <c r="IK59" s="409">
        <f t="shared" si="62"/>
        <v>0.97144732523793909</v>
      </c>
      <c r="IL59" s="17" t="s">
        <v>108</v>
      </c>
      <c r="IM59" s="51" t="s">
        <v>3556</v>
      </c>
      <c r="IN59" s="17">
        <v>0.46</v>
      </c>
      <c r="IO59" s="39">
        <f t="shared" si="63"/>
        <v>0.60387266163439457</v>
      </c>
      <c r="IP59" s="17" t="s">
        <v>48</v>
      </c>
      <c r="IQ59" s="51" t="s">
        <v>3557</v>
      </c>
      <c r="IR59" s="17">
        <v>0.92</v>
      </c>
      <c r="IS59" s="285">
        <f t="shared" si="64"/>
        <v>1.2077453232687891</v>
      </c>
      <c r="IT59" s="17" t="s">
        <v>48</v>
      </c>
      <c r="IU59" s="75" t="s">
        <v>3558</v>
      </c>
      <c r="IV59" s="17">
        <v>0.41</v>
      </c>
      <c r="IW59" s="189">
        <f t="shared" si="65"/>
        <v>0.53823432884804723</v>
      </c>
      <c r="IX59" s="17" t="s">
        <v>66</v>
      </c>
      <c r="IY59" s="51" t="s">
        <v>3559</v>
      </c>
      <c r="IZ59" s="17">
        <v>0.68</v>
      </c>
      <c r="JA59" s="199">
        <f t="shared" si="66"/>
        <v>0.89268132589432247</v>
      </c>
      <c r="JB59" s="17" t="s">
        <v>42</v>
      </c>
      <c r="JC59" s="51" t="s">
        <v>3560</v>
      </c>
      <c r="JD59" s="17">
        <v>0.74</v>
      </c>
      <c r="JE59" s="409">
        <f t="shared" si="67"/>
        <v>0.97144732523793909</v>
      </c>
      <c r="JF59" s="17" t="s">
        <v>42</v>
      </c>
      <c r="JG59" s="51" t="s">
        <v>3561</v>
      </c>
      <c r="JH59" s="17">
        <v>0.7</v>
      </c>
      <c r="JI59" s="110">
        <f t="shared" si="68"/>
        <v>0.91893665900886123</v>
      </c>
      <c r="JJ59" s="17" t="s">
        <v>48</v>
      </c>
      <c r="JK59" s="51" t="s">
        <v>3562</v>
      </c>
      <c r="JL59" s="21">
        <v>0.46</v>
      </c>
      <c r="JM59" s="39">
        <f t="shared" si="69"/>
        <v>0.60387266163439457</v>
      </c>
      <c r="JN59" s="21" t="s">
        <v>48</v>
      </c>
      <c r="JO59" s="75" t="s">
        <v>3563</v>
      </c>
      <c r="JP59" s="21">
        <v>0.72</v>
      </c>
      <c r="JQ59" s="530">
        <f t="shared" si="70"/>
        <v>0.9451919921234001</v>
      </c>
      <c r="JR59" s="21" t="s">
        <v>42</v>
      </c>
      <c r="JS59" s="51" t="s">
        <v>3564</v>
      </c>
      <c r="JT59" s="21">
        <v>0.78</v>
      </c>
      <c r="JU59" s="368">
        <f t="shared" si="71"/>
        <v>1.0239579914670169</v>
      </c>
      <c r="JV59" s="21" t="s">
        <v>48</v>
      </c>
      <c r="JW59" s="75" t="s">
        <v>3565</v>
      </c>
      <c r="JX59" s="17">
        <v>0.85</v>
      </c>
      <c r="JY59" s="146">
        <f t="shared" si="72"/>
        <v>1.1158516573679029</v>
      </c>
      <c r="JZ59" s="51" t="s">
        <v>48</v>
      </c>
      <c r="KA59" s="51" t="s">
        <v>3566</v>
      </c>
      <c r="KB59" s="21">
        <v>1.06</v>
      </c>
      <c r="KC59" s="604">
        <f t="shared" si="73"/>
        <v>1.3915326550705613</v>
      </c>
      <c r="KD59" s="75" t="s">
        <v>48</v>
      </c>
      <c r="KE59" s="75" t="s">
        <v>3567</v>
      </c>
      <c r="KF59" s="17">
        <v>0.71</v>
      </c>
      <c r="KG59" s="191">
        <f t="shared" si="74"/>
        <v>0.93206432556613061</v>
      </c>
      <c r="KH59" s="51" t="s">
        <v>48</v>
      </c>
      <c r="KI59" s="51" t="s">
        <v>3502</v>
      </c>
      <c r="KJ59" s="21">
        <v>0.55000000000000004</v>
      </c>
      <c r="KK59" s="149">
        <f t="shared" si="75"/>
        <v>0.72202166064981965</v>
      </c>
      <c r="KL59" s="75" t="s">
        <v>46</v>
      </c>
      <c r="KM59" s="75" t="s">
        <v>3568</v>
      </c>
      <c r="KN59" s="17">
        <v>0.82</v>
      </c>
      <c r="KO59" s="176">
        <f t="shared" si="76"/>
        <v>1.0764686576960945</v>
      </c>
      <c r="KP59" s="51" t="s">
        <v>46</v>
      </c>
      <c r="KQ59" s="51" t="s">
        <v>3569</v>
      </c>
      <c r="KR59" s="21">
        <v>0.86</v>
      </c>
      <c r="KS59" s="33">
        <f t="shared" si="77"/>
        <v>1.1289793239251724</v>
      </c>
      <c r="KT59" s="75" t="s">
        <v>42</v>
      </c>
      <c r="KU59" s="75" t="s">
        <v>3570</v>
      </c>
      <c r="KV59" s="82">
        <v>0.81</v>
      </c>
      <c r="KW59" s="334">
        <f t="shared" si="78"/>
        <v>1.0633409911388252</v>
      </c>
      <c r="KX59" s="51" t="s">
        <v>414</v>
      </c>
      <c r="KY59" s="51" t="s">
        <v>3571</v>
      </c>
      <c r="KZ59" s="83">
        <v>0.59</v>
      </c>
      <c r="LA59" s="217">
        <f t="shared" si="79"/>
        <v>0.77453232687889728</v>
      </c>
      <c r="LB59" s="75" t="s">
        <v>285</v>
      </c>
      <c r="LC59" s="75" t="s">
        <v>3506</v>
      </c>
      <c r="LD59" s="82">
        <v>0.87</v>
      </c>
      <c r="LE59" s="381">
        <f t="shared" si="80"/>
        <v>1.1421069904824419</v>
      </c>
      <c r="LF59" s="51" t="s">
        <v>414</v>
      </c>
      <c r="LG59" s="51" t="s">
        <v>3507</v>
      </c>
      <c r="LH59" s="83">
        <v>0.85</v>
      </c>
      <c r="LI59" s="84"/>
      <c r="LJ59" s="85"/>
      <c r="LK59" s="85"/>
      <c r="LL59" s="86">
        <f t="shared" si="81"/>
        <v>0.76075949367088613</v>
      </c>
      <c r="LM59" s="86">
        <f t="shared" si="82"/>
        <v>1.1041597337770381</v>
      </c>
      <c r="LN59" s="86">
        <f t="shared" si="90"/>
        <v>0.96465218316006296</v>
      </c>
      <c r="LO59" s="86">
        <f t="shared" si="94"/>
        <v>0.96743141496952112</v>
      </c>
      <c r="LP59" s="86">
        <f t="shared" si="95"/>
        <v>7.1579127834312528E-2</v>
      </c>
      <c r="LQ59" s="87">
        <f t="shared" si="96"/>
        <v>0</v>
      </c>
      <c r="LR59" s="86">
        <f t="shared" si="97"/>
        <v>0.98511739880010607</v>
      </c>
      <c r="LS59" s="86">
        <v>1</v>
      </c>
      <c r="LT59" s="87">
        <f t="shared" si="100"/>
        <v>1</v>
      </c>
      <c r="LU59" s="87">
        <f t="shared" si="92"/>
        <v>1</v>
      </c>
      <c r="LV59" s="86">
        <f t="shared" si="98"/>
        <v>0.92</v>
      </c>
      <c r="LW59" s="89" t="s">
        <v>3810</v>
      </c>
      <c r="LX59" s="5" t="str">
        <f t="shared" si="87"/>
        <v/>
      </c>
      <c r="LY59" s="5" t="str">
        <f t="shared" si="102"/>
        <v/>
      </c>
      <c r="LZ59" s="5"/>
      <c r="MA59" s="67" t="str">
        <f t="shared" si="99"/>
        <v>MERCHAN</v>
      </c>
      <c r="MB59" s="89" t="s">
        <v>3808</v>
      </c>
    </row>
    <row r="60" spans="1:340" x14ac:dyDescent="0.2">
      <c r="A60" s="16">
        <v>0.7895833333333333</v>
      </c>
      <c r="B60" s="737">
        <f t="shared" si="0"/>
        <v>0.75487499999999996</v>
      </c>
      <c r="C60" s="610">
        <f t="shared" si="1"/>
        <v>-5.9446928299387358E-2</v>
      </c>
      <c r="D60" s="17">
        <v>0.71</v>
      </c>
      <c r="E60" s="155">
        <f t="shared" si="2"/>
        <v>0.94055307170061264</v>
      </c>
      <c r="F60" s="17" t="s">
        <v>42</v>
      </c>
      <c r="G60" s="20" t="s">
        <v>3572</v>
      </c>
      <c r="H60" s="21">
        <v>0.83</v>
      </c>
      <c r="I60" s="183">
        <f t="shared" si="3"/>
        <v>1.0995197880443781</v>
      </c>
      <c r="J60" s="21" t="s">
        <v>42</v>
      </c>
      <c r="K60" s="23" t="s">
        <v>3573</v>
      </c>
      <c r="L60" s="17">
        <v>0.92</v>
      </c>
      <c r="M60" s="472">
        <f t="shared" si="4"/>
        <v>1.2187448253022024</v>
      </c>
      <c r="N60" s="17" t="s">
        <v>42</v>
      </c>
      <c r="O60" s="20" t="s">
        <v>3574</v>
      </c>
      <c r="P60" s="21">
        <v>0.79</v>
      </c>
      <c r="Q60" s="395">
        <f t="shared" si="5"/>
        <v>1.0465308825964565</v>
      </c>
      <c r="R60" s="21" t="s">
        <v>42</v>
      </c>
      <c r="S60" s="23" t="s">
        <v>3575</v>
      </c>
      <c r="T60" s="17">
        <v>0.68</v>
      </c>
      <c r="U60" s="478">
        <f t="shared" si="6"/>
        <v>0.90081139261467136</v>
      </c>
      <c r="V60" s="17" t="s">
        <v>108</v>
      </c>
      <c r="W60" s="5"/>
      <c r="X60" s="21">
        <v>0.82</v>
      </c>
      <c r="Y60" s="414">
        <f t="shared" si="7"/>
        <v>1.0862725616823978</v>
      </c>
      <c r="Z60" s="21" t="s">
        <v>49</v>
      </c>
      <c r="AA60" s="28"/>
      <c r="AB60" s="17">
        <v>0.67</v>
      </c>
      <c r="AC60" s="366">
        <f t="shared" si="8"/>
        <v>0.88756416625269097</v>
      </c>
      <c r="AD60" s="17" t="s">
        <v>42</v>
      </c>
      <c r="AE60" s="20" t="s">
        <v>3576</v>
      </c>
      <c r="AF60" s="21">
        <v>1.01</v>
      </c>
      <c r="AG60" s="292">
        <f t="shared" si="9"/>
        <v>1.3379698625600265</v>
      </c>
      <c r="AH60" s="21" t="s">
        <v>42</v>
      </c>
      <c r="AI60" s="23" t="s">
        <v>3577</v>
      </c>
      <c r="AJ60" s="17">
        <v>1.29</v>
      </c>
      <c r="AK60" s="512">
        <f t="shared" si="10"/>
        <v>1.7088922006954794</v>
      </c>
      <c r="AL60" s="17" t="s">
        <v>66</v>
      </c>
      <c r="AM60" s="20" t="s">
        <v>3578</v>
      </c>
      <c r="AN60" s="21">
        <v>1.21</v>
      </c>
      <c r="AO60" s="553">
        <f t="shared" si="11"/>
        <v>1.6029143897996356</v>
      </c>
      <c r="AP60" s="21" t="s">
        <v>42</v>
      </c>
      <c r="AQ60" s="23" t="s">
        <v>3579</v>
      </c>
      <c r="AR60" s="17">
        <v>0.77</v>
      </c>
      <c r="AS60" s="401">
        <f t="shared" si="12"/>
        <v>1.0200364298724955</v>
      </c>
      <c r="AT60" s="17" t="s">
        <v>48</v>
      </c>
      <c r="AU60" s="20" t="s">
        <v>3580</v>
      </c>
      <c r="AV60" s="21">
        <v>1.07</v>
      </c>
      <c r="AW60" s="52">
        <f t="shared" si="13"/>
        <v>1.4174532207319095</v>
      </c>
      <c r="AX60" s="21" t="s">
        <v>70</v>
      </c>
      <c r="AY60" s="23" t="s">
        <v>3581</v>
      </c>
      <c r="AZ60" s="17">
        <v>0.56000000000000005</v>
      </c>
      <c r="BA60" s="58">
        <f t="shared" si="14"/>
        <v>0.74184467627090589</v>
      </c>
      <c r="BB60" s="17" t="s">
        <v>42</v>
      </c>
      <c r="BC60" s="20" t="s">
        <v>3582</v>
      </c>
      <c r="BD60" s="17">
        <v>0.95</v>
      </c>
      <c r="BE60" s="332">
        <f t="shared" si="15"/>
        <v>1.2584865043881437</v>
      </c>
      <c r="BF60" s="17" t="s">
        <v>42</v>
      </c>
      <c r="BG60" s="20" t="s">
        <v>3583</v>
      </c>
      <c r="BH60" s="37">
        <v>1.21</v>
      </c>
      <c r="BI60" s="553">
        <f t="shared" si="16"/>
        <v>1.6029143897996356</v>
      </c>
      <c r="BJ60" s="37" t="s">
        <v>42</v>
      </c>
      <c r="BK60" s="38" t="s">
        <v>3584</v>
      </c>
      <c r="BL60" s="17">
        <v>0.62</v>
      </c>
      <c r="BM60" s="378">
        <f t="shared" si="17"/>
        <v>0.82132803444278857</v>
      </c>
      <c r="BN60" s="17" t="s">
        <v>48</v>
      </c>
      <c r="BO60" s="40"/>
      <c r="BP60" s="17">
        <v>0.43</v>
      </c>
      <c r="BQ60" s="165">
        <f t="shared" si="18"/>
        <v>0.56963073356515981</v>
      </c>
      <c r="BR60" s="40"/>
      <c r="BS60" s="41"/>
      <c r="BT60" s="37">
        <v>0.77</v>
      </c>
      <c r="BU60" s="401">
        <f t="shared" si="19"/>
        <v>1.0200364298724955</v>
      </c>
      <c r="BV60" s="46" t="s">
        <v>42</v>
      </c>
      <c r="BW60" s="23" t="s">
        <v>3523</v>
      </c>
      <c r="BX60" s="17">
        <v>0.64</v>
      </c>
      <c r="BY60" s="288">
        <f t="shared" si="20"/>
        <v>0.84782248716674957</v>
      </c>
      <c r="BZ60" s="17" t="s">
        <v>48</v>
      </c>
      <c r="CA60" s="20" t="s">
        <v>3585</v>
      </c>
      <c r="CB60" s="37">
        <v>0.59</v>
      </c>
      <c r="CC60" s="109">
        <f t="shared" si="21"/>
        <v>0.78158635535684717</v>
      </c>
      <c r="CD60" s="46" t="s">
        <v>48</v>
      </c>
      <c r="CE60" s="23" t="s">
        <v>3586</v>
      </c>
      <c r="CF60" s="17">
        <v>0.69</v>
      </c>
      <c r="CG60" s="227">
        <f t="shared" si="22"/>
        <v>0.91405861897665175</v>
      </c>
      <c r="CH60" s="17" t="s">
        <v>42</v>
      </c>
      <c r="CI60" s="20" t="s">
        <v>3587</v>
      </c>
      <c r="CJ60" s="37">
        <v>0.13</v>
      </c>
      <c r="CK60" s="569">
        <f t="shared" si="23"/>
        <v>0.172213942705746</v>
      </c>
      <c r="CL60" s="46" t="s">
        <v>42</v>
      </c>
      <c r="CM60" s="23" t="s">
        <v>3588</v>
      </c>
      <c r="CN60" s="17">
        <v>1</v>
      </c>
      <c r="CO60" s="615">
        <f t="shared" si="24"/>
        <v>1.3247226361980462</v>
      </c>
      <c r="CP60" s="17" t="s">
        <v>48</v>
      </c>
      <c r="CQ60" s="73" t="s">
        <v>3589</v>
      </c>
      <c r="CR60" s="37">
        <v>0.64</v>
      </c>
      <c r="CS60" s="288">
        <f t="shared" si="25"/>
        <v>0.84782248716674957</v>
      </c>
      <c r="CT60" s="21" t="s">
        <v>46</v>
      </c>
      <c r="CU60" s="23" t="s">
        <v>3590</v>
      </c>
      <c r="CV60" s="17">
        <v>0.87</v>
      </c>
      <c r="CW60" s="44">
        <f t="shared" si="26"/>
        <v>1.1525086934923001</v>
      </c>
      <c r="CX60" s="17" t="s">
        <v>70</v>
      </c>
      <c r="CY60" s="73" t="s">
        <v>3591</v>
      </c>
      <c r="CZ60" s="37">
        <v>0.83</v>
      </c>
      <c r="DA60" s="183">
        <f t="shared" si="27"/>
        <v>1.0995197880443781</v>
      </c>
      <c r="DB60" s="21" t="s">
        <v>48</v>
      </c>
      <c r="DC60" s="23" t="s">
        <v>3592</v>
      </c>
      <c r="DD60" s="17">
        <v>0.63</v>
      </c>
      <c r="DE60" s="514">
        <f t="shared" si="28"/>
        <v>0.83457526080476907</v>
      </c>
      <c r="DF60" s="17" t="s">
        <v>48</v>
      </c>
      <c r="DG60" s="5"/>
      <c r="DH60" s="37">
        <v>0.71</v>
      </c>
      <c r="DI60" s="155">
        <f t="shared" si="29"/>
        <v>0.94055307170061264</v>
      </c>
      <c r="DJ60" s="21" t="s">
        <v>42</v>
      </c>
      <c r="DK60" s="28"/>
      <c r="DL60" s="17">
        <v>0.33</v>
      </c>
      <c r="DM60" s="99">
        <f t="shared" si="30"/>
        <v>0.43715846994535523</v>
      </c>
      <c r="DN60" s="17" t="s">
        <v>48</v>
      </c>
      <c r="DO60" s="51" t="s">
        <v>3593</v>
      </c>
      <c r="DP60" s="21">
        <v>0.9</v>
      </c>
      <c r="DQ60" s="664">
        <f t="shared" si="31"/>
        <v>1.1922503725782416</v>
      </c>
      <c r="DR60" s="53" t="s">
        <v>46</v>
      </c>
      <c r="DS60" s="54" t="s">
        <v>3594</v>
      </c>
      <c r="DT60" s="53">
        <v>0.63</v>
      </c>
      <c r="DU60" s="514">
        <f t="shared" si="32"/>
        <v>0.83457526080476907</v>
      </c>
      <c r="DV60" s="56" t="s">
        <v>42</v>
      </c>
      <c r="DW60" s="57" t="s">
        <v>3595</v>
      </c>
      <c r="DX60" s="53">
        <v>0.65</v>
      </c>
      <c r="DY60" s="324">
        <f t="shared" si="33"/>
        <v>0.86106971352872996</v>
      </c>
      <c r="DZ60" s="53" t="s">
        <v>42</v>
      </c>
      <c r="EA60" s="54" t="s">
        <v>3534</v>
      </c>
      <c r="EB60" s="56">
        <v>0.49</v>
      </c>
      <c r="EC60" s="240">
        <f t="shared" si="34"/>
        <v>0.6491140917370426</v>
      </c>
      <c r="ED60" s="56" t="s">
        <v>42</v>
      </c>
      <c r="EE60" s="57" t="s">
        <v>3596</v>
      </c>
      <c r="EF60" s="53">
        <v>0.38</v>
      </c>
      <c r="EG60" s="68">
        <f t="shared" si="35"/>
        <v>0.50339460175525752</v>
      </c>
      <c r="EH60" s="53" t="s">
        <v>48</v>
      </c>
      <c r="EI60" s="57" t="s">
        <v>3597</v>
      </c>
      <c r="EJ60" s="53">
        <v>0.78</v>
      </c>
      <c r="EK60" s="94">
        <f t="shared" si="36"/>
        <v>1.033283656234476</v>
      </c>
      <c r="EL60" s="56" t="s">
        <v>70</v>
      </c>
      <c r="EM60" s="57" t="s">
        <v>3598</v>
      </c>
      <c r="EN60" s="53">
        <v>0.93</v>
      </c>
      <c r="EO60" s="458">
        <f t="shared" si="37"/>
        <v>1.2319920516641829</v>
      </c>
      <c r="EP60" s="53" t="s">
        <v>48</v>
      </c>
      <c r="EQ60" s="23" t="s">
        <v>3599</v>
      </c>
      <c r="ER60" s="53">
        <v>0.76</v>
      </c>
      <c r="ES60" s="606">
        <f t="shared" si="38"/>
        <v>1.006789203510515</v>
      </c>
      <c r="ET60" s="53" t="s">
        <v>48</v>
      </c>
      <c r="EU60" s="20" t="s">
        <v>3600</v>
      </c>
      <c r="EV60" s="53">
        <v>1.07</v>
      </c>
      <c r="EW60" s="52">
        <f t="shared" si="39"/>
        <v>1.4174532207319095</v>
      </c>
      <c r="EX60" s="21" t="s">
        <v>48</v>
      </c>
      <c r="EY60" s="57" t="s">
        <v>3601</v>
      </c>
      <c r="EZ60" s="53">
        <v>0.89</v>
      </c>
      <c r="FA60" s="25">
        <f t="shared" si="40"/>
        <v>1.1790031462162611</v>
      </c>
      <c r="FB60" s="40"/>
      <c r="FC60" s="40"/>
      <c r="FD60" s="53">
        <v>0.93</v>
      </c>
      <c r="FE60" s="458">
        <f t="shared" si="41"/>
        <v>1.2319920516641829</v>
      </c>
      <c r="FF60" s="21" t="s">
        <v>42</v>
      </c>
      <c r="FG60" s="64"/>
      <c r="FH60" s="17">
        <v>0.85</v>
      </c>
      <c r="FI60" s="367">
        <f t="shared" si="42"/>
        <v>1.1260142407683391</v>
      </c>
      <c r="FJ60" s="17" t="s">
        <v>48</v>
      </c>
      <c r="FK60" s="51" t="s">
        <v>3602</v>
      </c>
      <c r="FL60" s="17">
        <v>0.73</v>
      </c>
      <c r="FM60" s="433">
        <f t="shared" si="43"/>
        <v>0.96704752442457365</v>
      </c>
      <c r="FN60" s="21" t="s">
        <v>46</v>
      </c>
      <c r="FO60" s="51" t="s">
        <v>3603</v>
      </c>
      <c r="FP60" s="17">
        <v>0.68</v>
      </c>
      <c r="FQ60" s="478">
        <f t="shared" si="44"/>
        <v>0.90081139261467136</v>
      </c>
      <c r="FR60" s="17" t="s">
        <v>42</v>
      </c>
      <c r="FS60" s="51" t="s">
        <v>3541</v>
      </c>
      <c r="FT60" s="17">
        <v>0.73</v>
      </c>
      <c r="FU60" s="433">
        <f t="shared" si="45"/>
        <v>0.96704752442457365</v>
      </c>
      <c r="FV60" s="17" t="s">
        <v>48</v>
      </c>
      <c r="FW60" s="51" t="s">
        <v>3604</v>
      </c>
      <c r="FX60" s="17">
        <v>1.0900000000000001</v>
      </c>
      <c r="FY60" s="144">
        <f t="shared" si="46"/>
        <v>1.4439476734558703</v>
      </c>
      <c r="FZ60" s="17" t="s">
        <v>46</v>
      </c>
      <c r="GA60" s="51" t="s">
        <v>3605</v>
      </c>
      <c r="GB60" s="53">
        <v>0.79</v>
      </c>
      <c r="GC60" s="395">
        <f t="shared" si="47"/>
        <v>1.0465308825964565</v>
      </c>
      <c r="GD60" s="21" t="s">
        <v>66</v>
      </c>
      <c r="GE60" s="63"/>
      <c r="GF60" s="17">
        <v>0.78</v>
      </c>
      <c r="GG60" s="94">
        <f t="shared" si="48"/>
        <v>1.033283656234476</v>
      </c>
      <c r="GH60" s="17" t="s">
        <v>66</v>
      </c>
      <c r="GI60" s="51" t="s">
        <v>3606</v>
      </c>
      <c r="GJ60" s="17">
        <v>0.93</v>
      </c>
      <c r="GK60" s="458">
        <f t="shared" si="49"/>
        <v>1.2319920516641829</v>
      </c>
      <c r="GL60" s="17" t="s">
        <v>66</v>
      </c>
      <c r="GM60" s="274"/>
      <c r="GN60" s="17">
        <v>0.32</v>
      </c>
      <c r="GO60" s="237">
        <f t="shared" si="50"/>
        <v>0.42391124358337479</v>
      </c>
      <c r="GP60" s="17" t="s">
        <v>42</v>
      </c>
      <c r="GQ60" s="51" t="s">
        <v>3607</v>
      </c>
      <c r="GR60" s="17">
        <v>0.56999999999999995</v>
      </c>
      <c r="GS60" s="302">
        <f t="shared" si="51"/>
        <v>0.75509190263288617</v>
      </c>
      <c r="GT60" s="17" t="s">
        <v>48</v>
      </c>
      <c r="GU60" s="51" t="s">
        <v>3608</v>
      </c>
      <c r="GV60" s="17">
        <v>1.1200000000000001</v>
      </c>
      <c r="GW60" s="276">
        <f t="shared" si="52"/>
        <v>1.4836893525418118</v>
      </c>
      <c r="GX60" s="17" t="s">
        <v>48</v>
      </c>
      <c r="GY60" s="67" t="s">
        <v>3609</v>
      </c>
      <c r="GZ60" s="17">
        <v>0.64</v>
      </c>
      <c r="HA60" s="288">
        <f t="shared" si="53"/>
        <v>0.84782248716674957</v>
      </c>
      <c r="HB60" s="17" t="s">
        <v>48</v>
      </c>
      <c r="HC60" s="20" t="s">
        <v>3610</v>
      </c>
      <c r="HD60" s="17">
        <v>0.74</v>
      </c>
      <c r="HE60" s="389">
        <f t="shared" si="54"/>
        <v>0.98029475078655415</v>
      </c>
      <c r="HF60" s="17" t="s">
        <v>66</v>
      </c>
      <c r="HG60" s="20" t="s">
        <v>3611</v>
      </c>
      <c r="HH60" s="17">
        <v>0.79</v>
      </c>
      <c r="HI60" s="395">
        <f t="shared" si="55"/>
        <v>1.0465308825964565</v>
      </c>
      <c r="HJ60" s="17" t="s">
        <v>46</v>
      </c>
      <c r="HK60" s="20" t="s">
        <v>3612</v>
      </c>
      <c r="HL60" s="17">
        <v>0.86</v>
      </c>
      <c r="HM60" s="195">
        <f t="shared" si="56"/>
        <v>1.1392614671303196</v>
      </c>
      <c r="HN60" s="17" t="s">
        <v>42</v>
      </c>
      <c r="HO60" s="20" t="s">
        <v>3613</v>
      </c>
      <c r="HP60" s="17">
        <v>0.61</v>
      </c>
      <c r="HQ60" s="159">
        <f t="shared" si="57"/>
        <v>0.80808080808080807</v>
      </c>
      <c r="HR60" s="17" t="s">
        <v>42</v>
      </c>
      <c r="HS60" s="73" t="s">
        <v>3614</v>
      </c>
      <c r="HT60" s="17">
        <v>1.02</v>
      </c>
      <c r="HU60" s="613">
        <f t="shared" si="58"/>
        <v>1.351217088922007</v>
      </c>
      <c r="HV60" s="21" t="s">
        <v>42</v>
      </c>
      <c r="HW60" s="75" t="s">
        <v>3552</v>
      </c>
      <c r="HX60" s="17">
        <v>0.64</v>
      </c>
      <c r="HY60" s="288">
        <f t="shared" si="59"/>
        <v>0.84782248716674957</v>
      </c>
      <c r="HZ60" s="21" t="s">
        <v>48</v>
      </c>
      <c r="IA60" s="75" t="s">
        <v>3615</v>
      </c>
      <c r="IB60" s="17">
        <v>1.02</v>
      </c>
      <c r="IC60" s="613">
        <f t="shared" si="60"/>
        <v>1.351217088922007</v>
      </c>
      <c r="ID60" s="17" t="s">
        <v>42</v>
      </c>
      <c r="IE60" s="51" t="s">
        <v>3616</v>
      </c>
      <c r="IF60" s="17">
        <v>0.46</v>
      </c>
      <c r="IG60" s="313">
        <f t="shared" si="61"/>
        <v>0.6093724126511012</v>
      </c>
      <c r="IH60" s="17" t="s">
        <v>42</v>
      </c>
      <c r="II60" s="51" t="s">
        <v>3617</v>
      </c>
      <c r="IJ60" s="17">
        <v>0.74</v>
      </c>
      <c r="IK60" s="389">
        <f t="shared" si="62"/>
        <v>0.98029475078655415</v>
      </c>
      <c r="IL60" s="17" t="s">
        <v>48</v>
      </c>
      <c r="IM60" s="51" t="s">
        <v>3618</v>
      </c>
      <c r="IN60" s="17">
        <v>0.54</v>
      </c>
      <c r="IO60" s="291">
        <f t="shared" si="63"/>
        <v>0.71535022354694489</v>
      </c>
      <c r="IP60" s="17" t="s">
        <v>48</v>
      </c>
      <c r="IQ60" s="51" t="s">
        <v>3619</v>
      </c>
      <c r="IR60" s="17">
        <v>0.79</v>
      </c>
      <c r="IS60" s="395">
        <f t="shared" si="64"/>
        <v>1.0465308825964565</v>
      </c>
      <c r="IT60" s="17" t="s">
        <v>48</v>
      </c>
      <c r="IU60" s="75" t="s">
        <v>3620</v>
      </c>
      <c r="IV60" s="17">
        <v>0.41</v>
      </c>
      <c r="IW60" s="449">
        <f t="shared" si="65"/>
        <v>0.54313628084119892</v>
      </c>
      <c r="IX60" s="17" t="s">
        <v>42</v>
      </c>
      <c r="IY60" s="51" t="s">
        <v>3621</v>
      </c>
      <c r="IZ60" s="17">
        <v>0.75</v>
      </c>
      <c r="JA60" s="251">
        <f t="shared" si="66"/>
        <v>0.99354197714853454</v>
      </c>
      <c r="JB60" s="17" t="s">
        <v>42</v>
      </c>
      <c r="JC60" s="51" t="s">
        <v>3622</v>
      </c>
      <c r="JD60" s="17">
        <v>0.82</v>
      </c>
      <c r="JE60" s="414">
        <f t="shared" si="67"/>
        <v>1.0862725616823978</v>
      </c>
      <c r="JF60" s="17" t="s">
        <v>48</v>
      </c>
      <c r="JG60" s="51" t="s">
        <v>3623</v>
      </c>
      <c r="JH60" s="17">
        <v>0.7</v>
      </c>
      <c r="JI60" s="652">
        <f t="shared" si="68"/>
        <v>0.92730584533863225</v>
      </c>
      <c r="JJ60" s="17" t="s">
        <v>42</v>
      </c>
      <c r="JK60" s="51" t="s">
        <v>3624</v>
      </c>
      <c r="JL60" s="21">
        <v>0.46</v>
      </c>
      <c r="JM60" s="313">
        <f t="shared" si="69"/>
        <v>0.6093724126511012</v>
      </c>
      <c r="JN60" s="21" t="s">
        <v>48</v>
      </c>
      <c r="JO60" s="75" t="s">
        <v>3625</v>
      </c>
      <c r="JP60" s="21">
        <v>0.73</v>
      </c>
      <c r="JQ60" s="433">
        <f t="shared" si="70"/>
        <v>0.96704752442457365</v>
      </c>
      <c r="JR60" s="21" t="s">
        <v>48</v>
      </c>
      <c r="JS60" s="51" t="s">
        <v>3626</v>
      </c>
      <c r="JT60" s="21">
        <v>0.71</v>
      </c>
      <c r="JU60" s="155">
        <f t="shared" si="71"/>
        <v>0.94055307170061264</v>
      </c>
      <c r="JV60" s="21" t="s">
        <v>48</v>
      </c>
      <c r="JW60" s="75" t="s">
        <v>3627</v>
      </c>
      <c r="JX60" s="17">
        <v>0.85</v>
      </c>
      <c r="JY60" s="367">
        <f t="shared" si="72"/>
        <v>1.1260142407683391</v>
      </c>
      <c r="JZ60" s="51" t="s">
        <v>46</v>
      </c>
      <c r="KA60" s="51" t="s">
        <v>3628</v>
      </c>
      <c r="KB60" s="21">
        <v>0.86</v>
      </c>
      <c r="KC60" s="195">
        <f t="shared" si="73"/>
        <v>1.1392614671303196</v>
      </c>
      <c r="KD60" s="75" t="s">
        <v>48</v>
      </c>
      <c r="KE60" s="75" t="s">
        <v>3629</v>
      </c>
      <c r="KF60" s="17">
        <v>0.78</v>
      </c>
      <c r="KG60" s="94">
        <f t="shared" si="74"/>
        <v>1.033283656234476</v>
      </c>
      <c r="KH60" s="51" t="s">
        <v>48</v>
      </c>
      <c r="KI60" s="51" t="s">
        <v>3630</v>
      </c>
      <c r="KJ60" s="21">
        <v>0.55000000000000004</v>
      </c>
      <c r="KK60" s="203">
        <f t="shared" si="75"/>
        <v>0.72859744990892539</v>
      </c>
      <c r="KL60" s="75" t="s">
        <v>46</v>
      </c>
      <c r="KM60" s="75" t="s">
        <v>3568</v>
      </c>
      <c r="KN60" s="17">
        <v>0.82</v>
      </c>
      <c r="KO60" s="414">
        <f t="shared" si="76"/>
        <v>1.0862725616823978</v>
      </c>
      <c r="KP60" s="51" t="s">
        <v>46</v>
      </c>
      <c r="KQ60" s="51" t="s">
        <v>3631</v>
      </c>
      <c r="KR60" s="21">
        <v>0.79</v>
      </c>
      <c r="KS60" s="395">
        <f t="shared" si="77"/>
        <v>1.0465308825964565</v>
      </c>
      <c r="KT60" s="75" t="s">
        <v>42</v>
      </c>
      <c r="KU60" s="75" t="s">
        <v>3632</v>
      </c>
      <c r="KV60" s="82">
        <v>0.81</v>
      </c>
      <c r="KW60" s="265">
        <f t="shared" si="78"/>
        <v>1.0730253353204173</v>
      </c>
      <c r="KX60" s="51" t="s">
        <v>42</v>
      </c>
      <c r="KY60" s="51" t="s">
        <v>3633</v>
      </c>
      <c r="KZ60" s="83">
        <v>0.47</v>
      </c>
      <c r="LA60" s="125">
        <f t="shared" si="79"/>
        <v>0.62261963901308159</v>
      </c>
      <c r="LB60" s="75" t="s">
        <v>42</v>
      </c>
      <c r="LC60" s="75" t="s">
        <v>3634</v>
      </c>
      <c r="LD60" s="82">
        <v>0.81</v>
      </c>
      <c r="LE60" s="265">
        <f t="shared" si="80"/>
        <v>1.0730253353204173</v>
      </c>
      <c r="LF60" s="51" t="s">
        <v>179</v>
      </c>
      <c r="LG60" s="51" t="s">
        <v>3635</v>
      </c>
      <c r="LH60" s="83">
        <v>0.85</v>
      </c>
      <c r="LI60" s="84"/>
      <c r="LJ60" s="85"/>
      <c r="LK60" s="85"/>
      <c r="LL60" s="86">
        <f t="shared" si="81"/>
        <v>0.7554430379746836</v>
      </c>
      <c r="LM60" s="86">
        <f t="shared" si="82"/>
        <v>0.93984584450402131</v>
      </c>
      <c r="LN60" s="86">
        <f t="shared" si="90"/>
        <v>0.96709968404808</v>
      </c>
      <c r="LO60" s="86">
        <f t="shared" si="94"/>
        <v>1.0390853239034132</v>
      </c>
      <c r="LP60" s="86">
        <f t="shared" si="95"/>
        <v>0.17656677878682292</v>
      </c>
      <c r="LQ60" s="87">
        <f t="shared" si="96"/>
        <v>0</v>
      </c>
      <c r="LR60" s="86">
        <f t="shared" si="97"/>
        <v>1.064188094725095</v>
      </c>
      <c r="LS60" s="84">
        <v>1</v>
      </c>
      <c r="LT60" s="87">
        <f t="shared" si="100"/>
        <v>1</v>
      </c>
      <c r="LU60" s="87">
        <f t="shared" si="92"/>
        <v>1</v>
      </c>
      <c r="LV60" s="86">
        <f t="shared" si="98"/>
        <v>0.92</v>
      </c>
      <c r="LW60" s="89" t="s">
        <v>3810</v>
      </c>
      <c r="LX60" s="5" t="str">
        <f t="shared" si="87"/>
        <v/>
      </c>
      <c r="LY60" s="5" t="str">
        <f t="shared" si="102"/>
        <v/>
      </c>
      <c r="LZ60" s="5"/>
      <c r="MA60" s="67" t="str">
        <f t="shared" si="99"/>
        <v>CORINTHIANS</v>
      </c>
      <c r="MB60" s="89" t="s">
        <v>3808</v>
      </c>
    </row>
    <row r="61" spans="1:340" x14ac:dyDescent="0.2">
      <c r="A61" s="16">
        <v>0.79027777777777775</v>
      </c>
      <c r="B61" s="739">
        <f t="shared" si="0"/>
        <v>0.75875000000000004</v>
      </c>
      <c r="C61" s="761">
        <f t="shared" si="1"/>
        <v>2.8006589785831926E-2</v>
      </c>
      <c r="D61" s="17">
        <v>0.78</v>
      </c>
      <c r="E61" s="141">
        <f t="shared" si="2"/>
        <v>1.0280065897858319</v>
      </c>
      <c r="F61" s="17" t="s">
        <v>42</v>
      </c>
      <c r="G61" s="20" t="s">
        <v>3636</v>
      </c>
      <c r="H61" s="21">
        <v>0.9</v>
      </c>
      <c r="I61" s="403">
        <f t="shared" si="3"/>
        <v>1.186161449752883</v>
      </c>
      <c r="J61" s="21" t="s">
        <v>46</v>
      </c>
      <c r="K61" s="23" t="s">
        <v>3637</v>
      </c>
      <c r="L61" s="17">
        <v>0.92</v>
      </c>
      <c r="M61" s="361">
        <f t="shared" si="4"/>
        <v>1.2125205930807248</v>
      </c>
      <c r="N61" s="17" t="s">
        <v>42</v>
      </c>
      <c r="O61" s="20" t="s">
        <v>3638</v>
      </c>
      <c r="P61" s="21">
        <v>0.86</v>
      </c>
      <c r="Q61" s="338">
        <f t="shared" si="5"/>
        <v>1.1334431630971993</v>
      </c>
      <c r="R61" s="21" t="s">
        <v>42</v>
      </c>
      <c r="S61" s="23" t="s">
        <v>3639</v>
      </c>
      <c r="T61" s="17">
        <v>0.68</v>
      </c>
      <c r="U61" s="108">
        <f t="shared" si="6"/>
        <v>0.89621087314662273</v>
      </c>
      <c r="V61" s="17" t="s">
        <v>42</v>
      </c>
      <c r="W61" s="5"/>
      <c r="X61" s="21">
        <v>0.82</v>
      </c>
      <c r="Y61" s="27">
        <f t="shared" si="7"/>
        <v>1.0807248764415156</v>
      </c>
      <c r="Z61" s="21" t="s">
        <v>49</v>
      </c>
      <c r="AA61" s="28"/>
      <c r="AB61" s="17">
        <v>0.67</v>
      </c>
      <c r="AC61" s="436">
        <f t="shared" si="8"/>
        <v>0.88303130148270181</v>
      </c>
      <c r="AD61" s="17" t="s">
        <v>42</v>
      </c>
      <c r="AE61" s="20" t="s">
        <v>3640</v>
      </c>
      <c r="AF61" s="21">
        <v>1.01</v>
      </c>
      <c r="AG61" s="488">
        <f t="shared" si="9"/>
        <v>1.3311367380560131</v>
      </c>
      <c r="AH61" s="21" t="s">
        <v>42</v>
      </c>
      <c r="AI61" s="23" t="s">
        <v>3641</v>
      </c>
      <c r="AJ61" s="17">
        <v>1.3</v>
      </c>
      <c r="AK61" s="762">
        <f t="shared" si="10"/>
        <v>1.71334431630972</v>
      </c>
      <c r="AL61" s="17" t="s">
        <v>48</v>
      </c>
      <c r="AM61" s="20" t="s">
        <v>3642</v>
      </c>
      <c r="AN61" s="21">
        <v>1.0900000000000001</v>
      </c>
      <c r="AO61" s="335">
        <f t="shared" si="11"/>
        <v>1.4365733113673806</v>
      </c>
      <c r="AP61" s="21" t="s">
        <v>48</v>
      </c>
      <c r="AQ61" s="23" t="s">
        <v>3643</v>
      </c>
      <c r="AR61" s="17">
        <v>0.77</v>
      </c>
      <c r="AS61" s="250">
        <f t="shared" si="12"/>
        <v>1.014827018121911</v>
      </c>
      <c r="AT61" s="17" t="s">
        <v>42</v>
      </c>
      <c r="AU61" s="20" t="s">
        <v>3644</v>
      </c>
      <c r="AV61" s="21">
        <v>1.08</v>
      </c>
      <c r="AW61" s="257">
        <f t="shared" si="13"/>
        <v>1.4233937397034597</v>
      </c>
      <c r="AX61" s="21" t="s">
        <v>48</v>
      </c>
      <c r="AY61" s="23" t="s">
        <v>3645</v>
      </c>
      <c r="AZ61" s="17">
        <v>0.56000000000000005</v>
      </c>
      <c r="BA61" s="425">
        <f t="shared" si="14"/>
        <v>0.7380560131795717</v>
      </c>
      <c r="BB61" s="17" t="s">
        <v>42</v>
      </c>
      <c r="BC61" s="20" t="s">
        <v>3646</v>
      </c>
      <c r="BD61" s="17">
        <v>1.02</v>
      </c>
      <c r="BE61" s="430">
        <f t="shared" si="15"/>
        <v>1.344316309719934</v>
      </c>
      <c r="BF61" s="17" t="s">
        <v>42</v>
      </c>
      <c r="BG61" s="20" t="s">
        <v>3647</v>
      </c>
      <c r="BH61" s="37">
        <v>1.21</v>
      </c>
      <c r="BI61" s="168">
        <f t="shared" si="16"/>
        <v>1.5947281713344315</v>
      </c>
      <c r="BJ61" s="37" t="s">
        <v>42</v>
      </c>
      <c r="BK61" s="763"/>
      <c r="BL61" s="17">
        <v>0.62</v>
      </c>
      <c r="BM61" s="62">
        <f t="shared" si="17"/>
        <v>0.81713344316309711</v>
      </c>
      <c r="BN61" s="17" t="s">
        <v>42</v>
      </c>
      <c r="BO61" s="40"/>
      <c r="BP61" s="17">
        <v>0.5</v>
      </c>
      <c r="BQ61" s="639">
        <f t="shared" si="18"/>
        <v>0.65897858319604607</v>
      </c>
      <c r="BR61" s="40"/>
      <c r="BS61" s="41"/>
      <c r="BT61" s="37">
        <v>0.77</v>
      </c>
      <c r="BU61" s="250">
        <f t="shared" si="19"/>
        <v>1.014827018121911</v>
      </c>
      <c r="BV61" s="46" t="s">
        <v>66</v>
      </c>
      <c r="BW61" s="23" t="s">
        <v>3648</v>
      </c>
      <c r="BX61" s="17">
        <v>0.64</v>
      </c>
      <c r="BY61" s="497">
        <f t="shared" si="20"/>
        <v>0.84349258649093906</v>
      </c>
      <c r="BZ61" s="17" t="s">
        <v>66</v>
      </c>
      <c r="CA61" s="20" t="s">
        <v>3649</v>
      </c>
      <c r="CB61" s="37">
        <v>0.65</v>
      </c>
      <c r="CC61" s="272">
        <f t="shared" si="21"/>
        <v>0.85667215815485998</v>
      </c>
      <c r="CD61" s="46" t="s">
        <v>42</v>
      </c>
      <c r="CE61" s="23" t="s">
        <v>3650</v>
      </c>
      <c r="CF61" s="17">
        <v>0.69</v>
      </c>
      <c r="CG61" s="492">
        <f t="shared" si="22"/>
        <v>0.90939044481054354</v>
      </c>
      <c r="CH61" s="17" t="s">
        <v>42</v>
      </c>
      <c r="CI61" s="20" t="s">
        <v>3651</v>
      </c>
      <c r="CJ61" s="37">
        <v>0.13</v>
      </c>
      <c r="CK61" s="569">
        <f t="shared" si="23"/>
        <v>0.17133443163097198</v>
      </c>
      <c r="CL61" s="46" t="s">
        <v>42</v>
      </c>
      <c r="CM61" s="23" t="s">
        <v>3652</v>
      </c>
      <c r="CN61" s="17">
        <v>0.87</v>
      </c>
      <c r="CO61" s="131">
        <f t="shared" si="24"/>
        <v>1.1466227347611202</v>
      </c>
      <c r="CP61" s="17" t="s">
        <v>42</v>
      </c>
      <c r="CQ61" s="20" t="s">
        <v>3653</v>
      </c>
      <c r="CR61" s="37">
        <v>0.7</v>
      </c>
      <c r="CS61" s="297">
        <f t="shared" si="25"/>
        <v>0.92257001647446446</v>
      </c>
      <c r="CT61" s="21" t="s">
        <v>46</v>
      </c>
      <c r="CU61" s="23" t="s">
        <v>3653</v>
      </c>
      <c r="CV61" s="17">
        <v>0.93</v>
      </c>
      <c r="CW61" s="718">
        <f t="shared" si="26"/>
        <v>1.2257001647446457</v>
      </c>
      <c r="CX61" s="17" t="s">
        <v>42</v>
      </c>
      <c r="CY61" s="20" t="s">
        <v>3654</v>
      </c>
      <c r="CZ61" s="37">
        <v>0.83</v>
      </c>
      <c r="DA61" s="270">
        <f t="shared" si="27"/>
        <v>1.0939044481054365</v>
      </c>
      <c r="DB61" s="21" t="s">
        <v>46</v>
      </c>
      <c r="DC61" s="23" t="s">
        <v>3655</v>
      </c>
      <c r="DD61" s="17">
        <v>0.7</v>
      </c>
      <c r="DE61" s="297">
        <f t="shared" si="28"/>
        <v>0.92257001647446446</v>
      </c>
      <c r="DF61" s="17" t="s">
        <v>42</v>
      </c>
      <c r="DG61" s="41"/>
      <c r="DH61" s="37">
        <v>0.72</v>
      </c>
      <c r="DI61" s="530">
        <f t="shared" si="29"/>
        <v>0.9489291598023063</v>
      </c>
      <c r="DJ61" s="21" t="s">
        <v>42</v>
      </c>
      <c r="DK61" s="28"/>
      <c r="DL61" s="17">
        <v>0.39</v>
      </c>
      <c r="DM61" s="509">
        <f t="shared" si="30"/>
        <v>0.51400329489291596</v>
      </c>
      <c r="DN61" s="17" t="s">
        <v>48</v>
      </c>
      <c r="DO61" s="51" t="s">
        <v>3593</v>
      </c>
      <c r="DP61" s="21">
        <v>0.9</v>
      </c>
      <c r="DQ61" s="403">
        <f t="shared" si="31"/>
        <v>1.186161449752883</v>
      </c>
      <c r="DR61" s="53" t="s">
        <v>42</v>
      </c>
      <c r="DS61" s="54" t="s">
        <v>3656</v>
      </c>
      <c r="DT61" s="53">
        <v>0.63</v>
      </c>
      <c r="DU61" s="137">
        <f t="shared" si="32"/>
        <v>0.83031301482701814</v>
      </c>
      <c r="DV61" s="56" t="s">
        <v>42</v>
      </c>
      <c r="DW61" s="57" t="s">
        <v>3595</v>
      </c>
      <c r="DX61" s="53">
        <v>0.65</v>
      </c>
      <c r="DY61" s="272">
        <f t="shared" si="33"/>
        <v>0.85667215815485998</v>
      </c>
      <c r="DZ61" s="53" t="s">
        <v>46</v>
      </c>
      <c r="EA61" s="54" t="s">
        <v>3534</v>
      </c>
      <c r="EB61" s="56">
        <v>0.49</v>
      </c>
      <c r="EC61" s="256">
        <f t="shared" si="34"/>
        <v>0.64579901153212516</v>
      </c>
      <c r="ED61" s="56" t="s">
        <v>42</v>
      </c>
      <c r="EE61" s="57" t="s">
        <v>3596</v>
      </c>
      <c r="EF61" s="53">
        <v>0.5</v>
      </c>
      <c r="EG61" s="639">
        <f t="shared" si="35"/>
        <v>0.65897858319604607</v>
      </c>
      <c r="EH61" s="53" t="s">
        <v>48</v>
      </c>
      <c r="EI61" s="57" t="s">
        <v>3657</v>
      </c>
      <c r="EJ61" s="53">
        <v>0.73</v>
      </c>
      <c r="EK61" s="55">
        <f t="shared" si="36"/>
        <v>0.96210873146622733</v>
      </c>
      <c r="EL61" s="56" t="s">
        <v>42</v>
      </c>
      <c r="EM61" s="57" t="s">
        <v>3658</v>
      </c>
      <c r="EN61" s="53">
        <v>0.86</v>
      </c>
      <c r="EO61" s="338">
        <f t="shared" si="37"/>
        <v>1.1334431630971993</v>
      </c>
      <c r="EP61" s="53" t="s">
        <v>48</v>
      </c>
      <c r="EQ61" s="23" t="s">
        <v>3659</v>
      </c>
      <c r="ER61" s="53">
        <v>0.76</v>
      </c>
      <c r="ES61" s="17">
        <f t="shared" si="38"/>
        <v>1.0016474464579901</v>
      </c>
      <c r="ET61" s="53" t="s">
        <v>48</v>
      </c>
      <c r="EU61" s="20" t="s">
        <v>3660</v>
      </c>
      <c r="EV61" s="53">
        <v>1</v>
      </c>
      <c r="EW61" s="531">
        <f t="shared" si="39"/>
        <v>1.3179571663920921</v>
      </c>
      <c r="EX61" s="21" t="s">
        <v>48</v>
      </c>
      <c r="EY61" s="57" t="s">
        <v>3661</v>
      </c>
      <c r="EZ61" s="53">
        <v>0.83</v>
      </c>
      <c r="FA61" s="270">
        <f t="shared" si="40"/>
        <v>1.0939044481054365</v>
      </c>
      <c r="FB61" s="40"/>
      <c r="FC61" s="40"/>
      <c r="FD61" s="53">
        <v>0.93</v>
      </c>
      <c r="FE61" s="718">
        <f t="shared" si="41"/>
        <v>1.2257001647446457</v>
      </c>
      <c r="FF61" s="21" t="s">
        <v>42</v>
      </c>
      <c r="FG61" s="64"/>
      <c r="FH61" s="17">
        <v>0.86</v>
      </c>
      <c r="FI61" s="338">
        <f t="shared" si="42"/>
        <v>1.1334431630971993</v>
      </c>
      <c r="FJ61" s="17" t="s">
        <v>48</v>
      </c>
      <c r="FK61" s="51" t="s">
        <v>3662</v>
      </c>
      <c r="FL61" s="17">
        <v>0.73</v>
      </c>
      <c r="FM61" s="55">
        <f t="shared" si="43"/>
        <v>0.96210873146622733</v>
      </c>
      <c r="FN61" s="21" t="s">
        <v>46</v>
      </c>
      <c r="FO61" s="51" t="s">
        <v>3663</v>
      </c>
      <c r="FP61" s="17">
        <v>0.68</v>
      </c>
      <c r="FQ61" s="108">
        <f t="shared" si="44"/>
        <v>0.89621087314662273</v>
      </c>
      <c r="FR61" s="17" t="s">
        <v>42</v>
      </c>
      <c r="FS61" s="51" t="s">
        <v>3664</v>
      </c>
      <c r="FT61" s="17">
        <v>0.73</v>
      </c>
      <c r="FU61" s="55">
        <f t="shared" si="45"/>
        <v>0.96210873146622733</v>
      </c>
      <c r="FV61" s="17" t="s">
        <v>48</v>
      </c>
      <c r="FW61" s="51" t="s">
        <v>3665</v>
      </c>
      <c r="FX61" s="17">
        <v>1.0900000000000001</v>
      </c>
      <c r="FY61" s="335">
        <f t="shared" si="46"/>
        <v>1.4365733113673806</v>
      </c>
      <c r="FZ61" s="17" t="s">
        <v>46</v>
      </c>
      <c r="GA61" s="51" t="s">
        <v>3666</v>
      </c>
      <c r="GB61" s="53">
        <v>0.71</v>
      </c>
      <c r="GC61" s="24">
        <f t="shared" si="47"/>
        <v>0.93574958813838538</v>
      </c>
      <c r="GD61" s="21" t="s">
        <v>66</v>
      </c>
      <c r="GE61" s="63"/>
      <c r="GF61" s="17">
        <v>0.78</v>
      </c>
      <c r="GG61" s="141">
        <f t="shared" si="48"/>
        <v>1.0280065897858319</v>
      </c>
      <c r="GH61" s="17" t="s">
        <v>42</v>
      </c>
      <c r="GI61" s="51" t="s">
        <v>3606</v>
      </c>
      <c r="GJ61" s="17">
        <v>0.93</v>
      </c>
      <c r="GK61" s="718">
        <f t="shared" si="49"/>
        <v>1.2257001647446457</v>
      </c>
      <c r="GL61" s="17" t="s">
        <v>66</v>
      </c>
      <c r="GM61" s="274"/>
      <c r="GN61" s="17">
        <v>0.38</v>
      </c>
      <c r="GO61" s="511">
        <f t="shared" si="50"/>
        <v>0.50082372322899504</v>
      </c>
      <c r="GP61" s="17" t="s">
        <v>46</v>
      </c>
      <c r="GQ61" s="51" t="s">
        <v>3667</v>
      </c>
      <c r="GR61" s="17">
        <v>0.65</v>
      </c>
      <c r="GS61" s="272">
        <f t="shared" si="51"/>
        <v>0.85667215815485998</v>
      </c>
      <c r="GT61" s="17" t="s">
        <v>42</v>
      </c>
      <c r="GU61" s="51" t="s">
        <v>3668</v>
      </c>
      <c r="GV61" s="17">
        <v>1.1200000000000001</v>
      </c>
      <c r="GW61" s="607">
        <f t="shared" si="52"/>
        <v>1.4761120263591434</v>
      </c>
      <c r="GX61" s="17" t="s">
        <v>48</v>
      </c>
      <c r="GY61" s="67" t="s">
        <v>3669</v>
      </c>
      <c r="GZ61" s="17">
        <v>0.56999999999999995</v>
      </c>
      <c r="HA61" s="242">
        <f t="shared" si="53"/>
        <v>0.75123558484349251</v>
      </c>
      <c r="HB61" s="17" t="s">
        <v>48</v>
      </c>
      <c r="HC61" s="20" t="s">
        <v>3670</v>
      </c>
      <c r="HD61" s="17">
        <v>0.8</v>
      </c>
      <c r="HE61" s="557">
        <f t="shared" si="54"/>
        <v>1.0543657331136738</v>
      </c>
      <c r="HF61" s="17" t="s">
        <v>46</v>
      </c>
      <c r="HG61" s="20" t="s">
        <v>3671</v>
      </c>
      <c r="HH61" s="17">
        <v>0.65</v>
      </c>
      <c r="HI61" s="272">
        <f t="shared" si="55"/>
        <v>0.85667215815485998</v>
      </c>
      <c r="HJ61" s="17" t="s">
        <v>46</v>
      </c>
      <c r="HK61" s="20" t="s">
        <v>3672</v>
      </c>
      <c r="HL61" s="17">
        <v>0.79</v>
      </c>
      <c r="HM61" s="364">
        <f t="shared" si="56"/>
        <v>1.0411861614497528</v>
      </c>
      <c r="HN61" s="17" t="s">
        <v>42</v>
      </c>
      <c r="HO61" s="20" t="s">
        <v>3613</v>
      </c>
      <c r="HP61" s="17">
        <v>0.61</v>
      </c>
      <c r="HQ61" s="471">
        <f t="shared" si="57"/>
        <v>0.80395387149917619</v>
      </c>
      <c r="HR61" s="17" t="s">
        <v>42</v>
      </c>
      <c r="HS61" s="73" t="s">
        <v>3673</v>
      </c>
      <c r="HT61" s="17">
        <v>1.02</v>
      </c>
      <c r="HU61" s="430">
        <f t="shared" si="58"/>
        <v>1.344316309719934</v>
      </c>
      <c r="HV61" s="21" t="s">
        <v>42</v>
      </c>
      <c r="HW61" s="75" t="s">
        <v>3674</v>
      </c>
      <c r="HX61" s="17">
        <v>0.64</v>
      </c>
      <c r="HY61" s="497">
        <f t="shared" si="59"/>
        <v>0.84349258649093906</v>
      </c>
      <c r="HZ61" s="21" t="s">
        <v>48</v>
      </c>
      <c r="IA61" s="75" t="s">
        <v>3675</v>
      </c>
      <c r="IB61" s="17">
        <v>1.1299999999999999</v>
      </c>
      <c r="IC61" s="50">
        <f t="shared" si="60"/>
        <v>1.4892915980230641</v>
      </c>
      <c r="ID61" s="17" t="s">
        <v>42</v>
      </c>
      <c r="IE61" s="51" t="s">
        <v>3676</v>
      </c>
      <c r="IF61" s="17">
        <v>0.53</v>
      </c>
      <c r="IG61" s="154">
        <f t="shared" si="61"/>
        <v>0.69851729818780894</v>
      </c>
      <c r="IH61" s="17" t="s">
        <v>42</v>
      </c>
      <c r="II61" s="51" t="s">
        <v>3677</v>
      </c>
      <c r="IJ61" s="17">
        <v>0.74</v>
      </c>
      <c r="IK61" s="186">
        <f t="shared" si="62"/>
        <v>0.97528830313014825</v>
      </c>
      <c r="IL61" s="17" t="s">
        <v>48</v>
      </c>
      <c r="IM61" s="51" t="s">
        <v>3678</v>
      </c>
      <c r="IN61" s="17">
        <v>0.45</v>
      </c>
      <c r="IO61" s="494">
        <f t="shared" si="63"/>
        <v>0.59308072487644148</v>
      </c>
      <c r="IP61" s="17" t="s">
        <v>48</v>
      </c>
      <c r="IQ61" s="51" t="s">
        <v>3679</v>
      </c>
      <c r="IR61" s="17">
        <v>0.85</v>
      </c>
      <c r="IS61" s="192">
        <f t="shared" si="64"/>
        <v>1.1202635914332784</v>
      </c>
      <c r="IT61" s="17" t="s">
        <v>42</v>
      </c>
      <c r="IU61" s="75" t="s">
        <v>3620</v>
      </c>
      <c r="IV61" s="17">
        <v>0.35</v>
      </c>
      <c r="IW61" s="113">
        <f t="shared" si="65"/>
        <v>0.46128500823723223</v>
      </c>
      <c r="IX61" s="17" t="s">
        <v>42</v>
      </c>
      <c r="IY61" s="51" t="s">
        <v>3680</v>
      </c>
      <c r="IZ61" s="17">
        <v>0.75</v>
      </c>
      <c r="JA61" s="122">
        <f t="shared" si="66"/>
        <v>0.98846787479406917</v>
      </c>
      <c r="JB61" s="17" t="s">
        <v>42</v>
      </c>
      <c r="JC61" s="51" t="s">
        <v>3681</v>
      </c>
      <c r="JD61" s="17">
        <v>0.81</v>
      </c>
      <c r="JE61" s="404">
        <f t="shared" si="67"/>
        <v>1.0675453047775947</v>
      </c>
      <c r="JF61" s="17" t="s">
        <v>48</v>
      </c>
      <c r="JG61" s="51" t="s">
        <v>3682</v>
      </c>
      <c r="JH61" s="17">
        <v>0.7</v>
      </c>
      <c r="JI61" s="297">
        <f t="shared" si="68"/>
        <v>0.92257001647446446</v>
      </c>
      <c r="JJ61" s="17" t="s">
        <v>42</v>
      </c>
      <c r="JK61" s="51" t="s">
        <v>3683</v>
      </c>
      <c r="JL61" s="21">
        <v>0.46</v>
      </c>
      <c r="JM61" s="247">
        <f t="shared" si="69"/>
        <v>0.6062602965403624</v>
      </c>
      <c r="JN61" s="21" t="s">
        <v>48</v>
      </c>
      <c r="JO61" s="75" t="s">
        <v>3684</v>
      </c>
      <c r="JP61" s="21">
        <v>0.74</v>
      </c>
      <c r="JQ61" s="186">
        <f t="shared" si="70"/>
        <v>0.97528830313014825</v>
      </c>
      <c r="JR61" s="21" t="s">
        <v>48</v>
      </c>
      <c r="JS61" s="51" t="s">
        <v>3685</v>
      </c>
      <c r="JT61" s="21">
        <v>0.71</v>
      </c>
      <c r="JU61" s="24">
        <f t="shared" si="71"/>
        <v>0.93574958813838538</v>
      </c>
      <c r="JV61" s="21" t="s">
        <v>48</v>
      </c>
      <c r="JW61" s="75" t="s">
        <v>3686</v>
      </c>
      <c r="JX61" s="17">
        <v>0.85</v>
      </c>
      <c r="JY61" s="192">
        <f t="shared" si="72"/>
        <v>1.1202635914332784</v>
      </c>
      <c r="JZ61" s="51" t="s">
        <v>42</v>
      </c>
      <c r="KA61" s="51" t="s">
        <v>3687</v>
      </c>
      <c r="KB61" s="21">
        <v>0.86</v>
      </c>
      <c r="KC61" s="338">
        <f t="shared" si="73"/>
        <v>1.1334431630971993</v>
      </c>
      <c r="KD61" s="75" t="s">
        <v>48</v>
      </c>
      <c r="KE61" s="75" t="s">
        <v>3688</v>
      </c>
      <c r="KF61" s="17">
        <v>0.84</v>
      </c>
      <c r="KG61" s="474">
        <f t="shared" si="74"/>
        <v>1.1070840197693574</v>
      </c>
      <c r="KH61" s="51" t="s">
        <v>48</v>
      </c>
      <c r="KI61" s="51" t="s">
        <v>3689</v>
      </c>
      <c r="KJ61" s="21">
        <v>0.55000000000000004</v>
      </c>
      <c r="KK61" s="149">
        <f t="shared" si="75"/>
        <v>0.72487644151565078</v>
      </c>
      <c r="KL61" s="75" t="s">
        <v>42</v>
      </c>
      <c r="KM61" s="75" t="s">
        <v>3690</v>
      </c>
      <c r="KN61" s="17">
        <v>0.82</v>
      </c>
      <c r="KO61" s="27">
        <f t="shared" si="76"/>
        <v>1.0807248764415156</v>
      </c>
      <c r="KP61" s="51" t="s">
        <v>46</v>
      </c>
      <c r="KQ61" s="51" t="s">
        <v>3631</v>
      </c>
      <c r="KR61" s="21">
        <v>0.73</v>
      </c>
      <c r="KS61" s="55">
        <f t="shared" si="77"/>
        <v>0.96210873146622733</v>
      </c>
      <c r="KT61" s="75" t="s">
        <v>179</v>
      </c>
      <c r="KU61" s="75" t="s">
        <v>3691</v>
      </c>
      <c r="KV61" s="82">
        <v>0.81</v>
      </c>
      <c r="KW61" s="404">
        <f t="shared" si="78"/>
        <v>1.0675453047775947</v>
      </c>
      <c r="KX61" s="51" t="s">
        <v>42</v>
      </c>
      <c r="KY61" s="51" t="s">
        <v>3692</v>
      </c>
      <c r="KZ61" s="83">
        <v>0.47</v>
      </c>
      <c r="LA61" s="480">
        <f t="shared" si="79"/>
        <v>0.61943986820428332</v>
      </c>
      <c r="LB61" s="75" t="s">
        <v>42</v>
      </c>
      <c r="LC61" s="75" t="s">
        <v>3693</v>
      </c>
      <c r="LD61" s="82">
        <v>0.81</v>
      </c>
      <c r="LE61" s="404">
        <f t="shared" si="80"/>
        <v>1.0675453047775947</v>
      </c>
      <c r="LF61" s="51" t="s">
        <v>46</v>
      </c>
      <c r="LG61" s="51" t="s">
        <v>3694</v>
      </c>
      <c r="LH61" s="83">
        <v>0.91</v>
      </c>
      <c r="LI61" s="84"/>
      <c r="LJ61" s="85"/>
      <c r="LK61" s="85"/>
      <c r="LL61" s="86">
        <f t="shared" si="81"/>
        <v>0.75848101265822798</v>
      </c>
      <c r="LM61" s="86">
        <f t="shared" si="82"/>
        <v>1.0283711615487314</v>
      </c>
      <c r="LN61" s="86">
        <f t="shared" si="90"/>
        <v>0.96662979026283768</v>
      </c>
      <c r="LO61" s="86">
        <f t="shared" si="94"/>
        <v>1.0021620863963561</v>
      </c>
      <c r="LP61" s="86">
        <f t="shared" si="95"/>
        <v>-6.5110375552148825E-2</v>
      </c>
      <c r="LQ61" s="87">
        <f t="shared" si="96"/>
        <v>0</v>
      </c>
      <c r="LR61" s="86">
        <f t="shared" si="97"/>
        <v>0.97282582245836313</v>
      </c>
      <c r="LS61" s="84">
        <v>1</v>
      </c>
      <c r="LT61" s="87">
        <f t="shared" si="100"/>
        <v>0</v>
      </c>
      <c r="LU61" s="87">
        <f t="shared" si="92"/>
        <v>2</v>
      </c>
      <c r="LV61" s="86">
        <f t="shared" si="98"/>
        <v>0.96</v>
      </c>
      <c r="LW61" s="89" t="s">
        <v>3811</v>
      </c>
      <c r="LX61" s="5" t="str">
        <f t="shared" si="87"/>
        <v/>
      </c>
      <c r="LY61" s="5" t="str">
        <f t="shared" si="102"/>
        <v/>
      </c>
      <c r="LZ61" s="5"/>
      <c r="MA61" s="67" t="str">
        <f t="shared" si="99"/>
        <v>CORINTHIANS</v>
      </c>
      <c r="MB61" s="89" t="s">
        <v>3808</v>
      </c>
    </row>
    <row r="62" spans="1:340" x14ac:dyDescent="0.2">
      <c r="A62" s="16">
        <v>0.79097222222222219</v>
      </c>
      <c r="B62" s="753">
        <f t="shared" si="0"/>
        <v>0.76671694226226461</v>
      </c>
      <c r="C62" s="764">
        <f t="shared" si="1"/>
        <v>1.7324591391632227E-2</v>
      </c>
      <c r="D62" s="17">
        <v>0.78</v>
      </c>
      <c r="E62" s="200">
        <f t="shared" si="2"/>
        <v>1.0173245913916322</v>
      </c>
      <c r="F62" s="17" t="s">
        <v>42</v>
      </c>
      <c r="G62" s="20" t="s">
        <v>3695</v>
      </c>
      <c r="H62" s="21">
        <v>0.88</v>
      </c>
      <c r="I62" s="131">
        <f t="shared" si="3"/>
        <v>1.147750821057226</v>
      </c>
      <c r="J62" s="21" t="s">
        <v>46</v>
      </c>
      <c r="K62" s="23" t="s">
        <v>3696</v>
      </c>
      <c r="L62" s="17">
        <v>1.05</v>
      </c>
      <c r="M62" s="34">
        <f t="shared" si="4"/>
        <v>1.3694754114887357</v>
      </c>
      <c r="N62" s="17" t="s">
        <v>42</v>
      </c>
      <c r="O62" s="20" t="s">
        <v>3697</v>
      </c>
      <c r="P62" s="21">
        <v>0.92</v>
      </c>
      <c r="Q62" s="218">
        <f t="shared" si="5"/>
        <v>1.1999213129234636</v>
      </c>
      <c r="R62" s="21" t="s">
        <v>42</v>
      </c>
      <c r="S62" s="23" t="s">
        <v>3698</v>
      </c>
      <c r="T62" s="17">
        <v>0.62</v>
      </c>
      <c r="U62" s="159">
        <f t="shared" si="6"/>
        <v>0.80864262392668196</v>
      </c>
      <c r="V62" s="17" t="s">
        <v>42</v>
      </c>
      <c r="W62" s="5"/>
      <c r="X62" s="21">
        <v>0.82</v>
      </c>
      <c r="Y62" s="404">
        <f t="shared" si="7"/>
        <v>1.0694950832578696</v>
      </c>
      <c r="Z62" s="21" t="s">
        <v>49</v>
      </c>
      <c r="AA62" s="28"/>
      <c r="AB62" s="17">
        <v>0.67</v>
      </c>
      <c r="AC62" s="115">
        <f t="shared" si="8"/>
        <v>0.87385573875947897</v>
      </c>
      <c r="AD62" s="17" t="s">
        <v>42</v>
      </c>
      <c r="AE62" s="20" t="s">
        <v>3699</v>
      </c>
      <c r="AF62" s="21">
        <v>1.07</v>
      </c>
      <c r="AG62" s="670">
        <f t="shared" si="9"/>
        <v>1.3955606574218544</v>
      </c>
      <c r="AH62" s="21" t="s">
        <v>42</v>
      </c>
      <c r="AI62" s="23" t="s">
        <v>3700</v>
      </c>
      <c r="AJ62" s="17">
        <v>1.31</v>
      </c>
      <c r="AK62" s="512">
        <f t="shared" si="10"/>
        <v>1.7085836086192798</v>
      </c>
      <c r="AL62" s="17" t="s">
        <v>48</v>
      </c>
      <c r="AM62" s="20" t="s">
        <v>3701</v>
      </c>
      <c r="AN62" s="21">
        <v>1.02</v>
      </c>
      <c r="AO62" s="488">
        <f t="shared" si="11"/>
        <v>1.3303475425890574</v>
      </c>
      <c r="AP62" s="21" t="s">
        <v>48</v>
      </c>
      <c r="AQ62" s="23" t="s">
        <v>3702</v>
      </c>
      <c r="AR62" s="17">
        <v>0.78</v>
      </c>
      <c r="AS62" s="200">
        <f t="shared" si="12"/>
        <v>1.0173245913916322</v>
      </c>
      <c r="AT62" s="17" t="s">
        <v>42</v>
      </c>
      <c r="AU62" s="20" t="s">
        <v>3703</v>
      </c>
      <c r="AV62" s="21">
        <v>0.95</v>
      </c>
      <c r="AW62" s="243">
        <f t="shared" si="13"/>
        <v>1.2390491818231417</v>
      </c>
      <c r="AX62" s="21" t="s">
        <v>48</v>
      </c>
      <c r="AY62" s="23" t="s">
        <v>3704</v>
      </c>
      <c r="AZ62" s="17">
        <v>0.56000000000000005</v>
      </c>
      <c r="BA62" s="540">
        <f t="shared" si="14"/>
        <v>0.73038688612732572</v>
      </c>
      <c r="BB62" s="17" t="s">
        <v>42</v>
      </c>
      <c r="BC62" s="20" t="s">
        <v>3705</v>
      </c>
      <c r="BD62" s="17">
        <v>1.02</v>
      </c>
      <c r="BE62" s="488">
        <f t="shared" si="15"/>
        <v>1.3303475425890574</v>
      </c>
      <c r="BF62" s="17" t="s">
        <v>42</v>
      </c>
      <c r="BG62" s="20" t="s">
        <v>3706</v>
      </c>
      <c r="BH62" s="37">
        <v>1.27</v>
      </c>
      <c r="BI62" s="565">
        <f t="shared" si="16"/>
        <v>1.6564131167530423</v>
      </c>
      <c r="BJ62" s="37" t="s">
        <v>42</v>
      </c>
      <c r="BK62" s="763"/>
      <c r="BL62" s="17">
        <v>0.69</v>
      </c>
      <c r="BM62" s="478">
        <f t="shared" si="17"/>
        <v>0.89994098469259765</v>
      </c>
      <c r="BN62" s="17" t="s">
        <v>42</v>
      </c>
      <c r="BO62" s="40"/>
      <c r="BP62" s="17">
        <v>0.5</v>
      </c>
      <c r="BQ62" s="515">
        <f t="shared" si="18"/>
        <v>0.65213114832796937</v>
      </c>
      <c r="BR62" s="40"/>
      <c r="BS62" s="41"/>
      <c r="BT62" s="37">
        <v>0.84</v>
      </c>
      <c r="BU62" s="385">
        <f t="shared" si="19"/>
        <v>1.0955803291909885</v>
      </c>
      <c r="BV62" s="46" t="s">
        <v>46</v>
      </c>
      <c r="BW62" s="23" t="s">
        <v>3707</v>
      </c>
      <c r="BX62" s="17">
        <v>0.64</v>
      </c>
      <c r="BY62" s="514">
        <f t="shared" si="20"/>
        <v>0.83472786985980074</v>
      </c>
      <c r="BZ62" s="17" t="s">
        <v>66</v>
      </c>
      <c r="CA62" s="20" t="s">
        <v>3708</v>
      </c>
      <c r="CB62" s="37">
        <v>0.65</v>
      </c>
      <c r="CC62" s="288">
        <f t="shared" si="21"/>
        <v>0.84777049282636019</v>
      </c>
      <c r="CD62" s="46" t="s">
        <v>42</v>
      </c>
      <c r="CE62" s="23" t="s">
        <v>3709</v>
      </c>
      <c r="CF62" s="17">
        <v>0.69</v>
      </c>
      <c r="CG62" s="478">
        <f t="shared" si="22"/>
        <v>0.89994098469259765</v>
      </c>
      <c r="CH62" s="17" t="s">
        <v>42</v>
      </c>
      <c r="CI62" s="20" t="s">
        <v>3710</v>
      </c>
      <c r="CJ62" s="37">
        <v>0.13</v>
      </c>
      <c r="CK62" s="569">
        <f t="shared" si="23"/>
        <v>0.16955409856527204</v>
      </c>
      <c r="CL62" s="46" t="s">
        <v>42</v>
      </c>
      <c r="CM62" s="23" t="s">
        <v>3711</v>
      </c>
      <c r="CN62" s="17">
        <v>0.87</v>
      </c>
      <c r="CO62" s="338">
        <f t="shared" si="24"/>
        <v>1.1347081980906666</v>
      </c>
      <c r="CP62" s="17" t="s">
        <v>42</v>
      </c>
      <c r="CQ62" s="20" t="s">
        <v>3712</v>
      </c>
      <c r="CR62" s="37">
        <v>0.7</v>
      </c>
      <c r="CS62" s="80">
        <f t="shared" si="25"/>
        <v>0.91298360765915709</v>
      </c>
      <c r="CT62" s="21" t="s">
        <v>46</v>
      </c>
      <c r="CU62" s="23" t="s">
        <v>3712</v>
      </c>
      <c r="CV62" s="17">
        <v>0.87</v>
      </c>
      <c r="CW62" s="338">
        <f t="shared" si="26"/>
        <v>1.1347081980906666</v>
      </c>
      <c r="CX62" s="17" t="s">
        <v>42</v>
      </c>
      <c r="CY62" s="20" t="s">
        <v>3713</v>
      </c>
      <c r="CZ62" s="37">
        <v>0.77</v>
      </c>
      <c r="DA62" s="17">
        <f t="shared" si="27"/>
        <v>1.0042819684250728</v>
      </c>
      <c r="DB62" s="21" t="s">
        <v>46</v>
      </c>
      <c r="DC62" s="23" t="s">
        <v>3714</v>
      </c>
      <c r="DD62" s="17">
        <v>0.7</v>
      </c>
      <c r="DE62" s="80">
        <f t="shared" si="28"/>
        <v>0.91298360765915709</v>
      </c>
      <c r="DF62" s="17" t="s">
        <v>42</v>
      </c>
      <c r="DG62" s="41"/>
      <c r="DH62" s="37">
        <v>0.72</v>
      </c>
      <c r="DI62" s="155">
        <f t="shared" si="29"/>
        <v>0.93906885359227588</v>
      </c>
      <c r="DJ62" s="21" t="s">
        <v>42</v>
      </c>
      <c r="DK62" s="28"/>
      <c r="DL62" s="17">
        <v>0.39</v>
      </c>
      <c r="DM62" s="239">
        <f t="shared" si="30"/>
        <v>0.50866229569581611</v>
      </c>
      <c r="DN62" s="17" t="s">
        <v>48</v>
      </c>
      <c r="DO62" s="51" t="s">
        <v>3715</v>
      </c>
      <c r="DP62" s="21">
        <v>0.96</v>
      </c>
      <c r="DQ62" s="702">
        <f t="shared" si="31"/>
        <v>1.2520918047897012</v>
      </c>
      <c r="DR62" s="53" t="s">
        <v>42</v>
      </c>
      <c r="DS62" s="54" t="s">
        <v>3716</v>
      </c>
      <c r="DT62" s="53">
        <v>0.63</v>
      </c>
      <c r="DU62" s="378">
        <f t="shared" si="32"/>
        <v>0.82168524689324141</v>
      </c>
      <c r="DV62" s="56" t="s">
        <v>42</v>
      </c>
      <c r="DW62" s="57" t="s">
        <v>3534</v>
      </c>
      <c r="DX62" s="53">
        <v>0.72</v>
      </c>
      <c r="DY62" s="155">
        <f t="shared" si="33"/>
        <v>0.93906885359227588</v>
      </c>
      <c r="DZ62" s="53" t="s">
        <v>46</v>
      </c>
      <c r="EA62" s="54" t="s">
        <v>3534</v>
      </c>
      <c r="EB62" s="56">
        <v>0.49</v>
      </c>
      <c r="EC62" s="349">
        <f t="shared" si="34"/>
        <v>0.63908852536140992</v>
      </c>
      <c r="ED62" s="56" t="s">
        <v>42</v>
      </c>
      <c r="EE62" s="57" t="s">
        <v>3717</v>
      </c>
      <c r="EF62" s="53">
        <v>0.5</v>
      </c>
      <c r="EG62" s="515">
        <f t="shared" si="35"/>
        <v>0.65213114832796937</v>
      </c>
      <c r="EH62" s="53" t="s">
        <v>48</v>
      </c>
      <c r="EI62" s="57" t="s">
        <v>3718</v>
      </c>
      <c r="EJ62" s="53">
        <v>0.86</v>
      </c>
      <c r="EK62" s="475">
        <f t="shared" si="36"/>
        <v>1.1216655751241074</v>
      </c>
      <c r="EL62" s="56" t="s">
        <v>42</v>
      </c>
      <c r="EM62" s="57" t="s">
        <v>3657</v>
      </c>
      <c r="EN62" s="53">
        <v>0.86</v>
      </c>
      <c r="EO62" s="475">
        <f t="shared" si="37"/>
        <v>1.1216655751241074</v>
      </c>
      <c r="EP62" s="53" t="s">
        <v>48</v>
      </c>
      <c r="EQ62" s="23" t="s">
        <v>3719</v>
      </c>
      <c r="ER62" s="53">
        <v>0.82</v>
      </c>
      <c r="ES62" s="404">
        <f t="shared" si="38"/>
        <v>1.0694950832578696</v>
      </c>
      <c r="ET62" s="53" t="s">
        <v>48</v>
      </c>
      <c r="EU62" s="20" t="s">
        <v>3720</v>
      </c>
      <c r="EV62" s="53">
        <v>1</v>
      </c>
      <c r="EW62" s="529">
        <f t="shared" si="39"/>
        <v>1.3042622966559387</v>
      </c>
      <c r="EX62" s="21" t="s">
        <v>48</v>
      </c>
      <c r="EY62" s="57" t="s">
        <v>3721</v>
      </c>
      <c r="EZ62" s="53">
        <v>0.83</v>
      </c>
      <c r="FA62" s="27">
        <f t="shared" si="40"/>
        <v>1.082537706224429</v>
      </c>
      <c r="FB62" s="40"/>
      <c r="FC62" s="40"/>
      <c r="FD62" s="53">
        <v>0.93</v>
      </c>
      <c r="FE62" s="361">
        <f t="shared" si="41"/>
        <v>1.212963935890023</v>
      </c>
      <c r="FF62" s="21" t="s">
        <v>42</v>
      </c>
      <c r="FG62" s="64"/>
      <c r="FH62" s="17">
        <v>0.86</v>
      </c>
      <c r="FI62" s="475">
        <f t="shared" si="42"/>
        <v>1.1216655751241074</v>
      </c>
      <c r="FJ62" s="17" t="s">
        <v>48</v>
      </c>
      <c r="FK62" s="51" t="s">
        <v>3722</v>
      </c>
      <c r="FL62" s="17">
        <v>0.66</v>
      </c>
      <c r="FM62" s="324">
        <f t="shared" si="43"/>
        <v>0.86081311579291964</v>
      </c>
      <c r="FN62" s="21" t="s">
        <v>46</v>
      </c>
      <c r="FO62" s="51" t="s">
        <v>3723</v>
      </c>
      <c r="FP62" s="17">
        <v>0.76</v>
      </c>
      <c r="FQ62" s="122">
        <f t="shared" si="44"/>
        <v>0.99123934545851344</v>
      </c>
      <c r="FR62" s="17" t="s">
        <v>42</v>
      </c>
      <c r="FS62" s="51" t="s">
        <v>3724</v>
      </c>
      <c r="FT62" s="17">
        <v>0.72</v>
      </c>
      <c r="FU62" s="155">
        <f t="shared" si="45"/>
        <v>0.93906885359227588</v>
      </c>
      <c r="FV62" s="17" t="s">
        <v>48</v>
      </c>
      <c r="FW62" s="51" t="s">
        <v>3725</v>
      </c>
      <c r="FX62" s="17">
        <v>1.1499999999999999</v>
      </c>
      <c r="FY62" s="694">
        <f t="shared" si="46"/>
        <v>1.4999016411543293</v>
      </c>
      <c r="FZ62" s="17" t="s">
        <v>46</v>
      </c>
      <c r="GA62" s="51" t="s">
        <v>3726</v>
      </c>
      <c r="GB62" s="53">
        <v>0.65</v>
      </c>
      <c r="GC62" s="288">
        <f t="shared" si="47"/>
        <v>0.84777049282636019</v>
      </c>
      <c r="GD62" s="21" t="s">
        <v>66</v>
      </c>
      <c r="GE62" s="63"/>
      <c r="GF62" s="17">
        <v>0.78</v>
      </c>
      <c r="GG62" s="200">
        <f t="shared" si="48"/>
        <v>1.0173245913916322</v>
      </c>
      <c r="GH62" s="17" t="s">
        <v>42</v>
      </c>
      <c r="GI62" s="51" t="s">
        <v>3727</v>
      </c>
      <c r="GJ62" s="17">
        <f>((GN62+GR62+GV62+GZ62+HD62+HH62+HL62+HP62+HT62+HX62+IB62+IF62+IJ62+IN62+IR62+IV62+IZ62+JD62+JH62+JL62+JP62+JT62+JX62+KB62+KF62+KJ62+KN62+KR62+KV62+KZ62+LD62+LH62)/32)*(AVERAGE(GJ59:GJ61)/AVERAGE(B59:B61))</f>
        <v>0.87735538098115684</v>
      </c>
      <c r="GK62" s="381">
        <f t="shared" si="49"/>
        <v>1.1443015441819298</v>
      </c>
      <c r="GL62" s="17" t="s">
        <v>66</v>
      </c>
      <c r="GM62" s="274"/>
      <c r="GN62" s="17">
        <v>0.38</v>
      </c>
      <c r="GO62" s="210">
        <f t="shared" si="50"/>
        <v>0.49561967272925672</v>
      </c>
      <c r="GP62" s="17" t="s">
        <v>46</v>
      </c>
      <c r="GQ62" s="51" t="s">
        <v>3728</v>
      </c>
      <c r="GR62" s="17">
        <v>0.65</v>
      </c>
      <c r="GS62" s="288">
        <f t="shared" si="51"/>
        <v>0.84777049282636019</v>
      </c>
      <c r="GT62" s="17" t="s">
        <v>42</v>
      </c>
      <c r="GU62" s="51" t="s">
        <v>3729</v>
      </c>
      <c r="GV62" s="17">
        <v>1.05</v>
      </c>
      <c r="GW62" s="34">
        <f t="shared" si="52"/>
        <v>1.3694754114887357</v>
      </c>
      <c r="GX62" s="17" t="s">
        <v>48</v>
      </c>
      <c r="GY62" s="67" t="s">
        <v>3730</v>
      </c>
      <c r="GZ62" s="17">
        <v>0.64</v>
      </c>
      <c r="HA62" s="514">
        <f t="shared" si="53"/>
        <v>0.83472786985980074</v>
      </c>
      <c r="HB62" s="17" t="s">
        <v>48</v>
      </c>
      <c r="HC62" s="20" t="s">
        <v>3731</v>
      </c>
      <c r="HD62" s="17">
        <v>0.8</v>
      </c>
      <c r="HE62" s="364">
        <f t="shared" si="54"/>
        <v>1.0434098373247511</v>
      </c>
      <c r="HF62" s="17" t="s">
        <v>46</v>
      </c>
      <c r="HG62" s="20" t="s">
        <v>3732</v>
      </c>
      <c r="HH62" s="17">
        <v>0.65</v>
      </c>
      <c r="HI62" s="288">
        <f t="shared" si="55"/>
        <v>0.84777049282636019</v>
      </c>
      <c r="HJ62" s="17" t="s">
        <v>46</v>
      </c>
      <c r="HK62" s="20" t="s">
        <v>3733</v>
      </c>
      <c r="HL62" s="17">
        <v>0.86</v>
      </c>
      <c r="HM62" s="475">
        <f t="shared" si="56"/>
        <v>1.1216655751241074</v>
      </c>
      <c r="HN62" s="17" t="s">
        <v>42</v>
      </c>
      <c r="HO62" s="20" t="s">
        <v>3734</v>
      </c>
      <c r="HP62" s="17">
        <v>0.68</v>
      </c>
      <c r="HQ62" s="366">
        <f t="shared" si="57"/>
        <v>0.88689836172603842</v>
      </c>
      <c r="HR62" s="17" t="s">
        <v>42</v>
      </c>
      <c r="HS62" s="73" t="s">
        <v>3735</v>
      </c>
      <c r="HT62" s="17">
        <v>0.95</v>
      </c>
      <c r="HU62" s="243">
        <f t="shared" si="58"/>
        <v>1.2390491818231417</v>
      </c>
      <c r="HV62" s="21" t="s">
        <v>42</v>
      </c>
      <c r="HW62" s="75" t="s">
        <v>3736</v>
      </c>
      <c r="HX62" s="17">
        <v>0.77</v>
      </c>
      <c r="HY62" s="17">
        <f t="shared" si="59"/>
        <v>1.0042819684250728</v>
      </c>
      <c r="HZ62" s="21" t="s">
        <v>48</v>
      </c>
      <c r="IA62" s="75" t="s">
        <v>3737</v>
      </c>
      <c r="IB62" s="17">
        <v>1.17</v>
      </c>
      <c r="IC62" s="653">
        <f t="shared" si="60"/>
        <v>1.5259868870874482</v>
      </c>
      <c r="ID62" s="17" t="s">
        <v>42</v>
      </c>
      <c r="IE62" s="51" t="s">
        <v>3738</v>
      </c>
      <c r="IF62" s="17">
        <v>0.53</v>
      </c>
      <c r="IG62" s="354">
        <f t="shared" si="61"/>
        <v>0.6912590172276476</v>
      </c>
      <c r="IH62" s="17" t="s">
        <v>42</v>
      </c>
      <c r="II62" s="51" t="s">
        <v>3739</v>
      </c>
      <c r="IJ62" s="17">
        <v>0.8</v>
      </c>
      <c r="IK62" s="364">
        <f t="shared" si="62"/>
        <v>1.0434098373247511</v>
      </c>
      <c r="IL62" s="17" t="s">
        <v>48</v>
      </c>
      <c r="IM62" s="51" t="s">
        <v>3678</v>
      </c>
      <c r="IN62" s="17">
        <v>0.45</v>
      </c>
      <c r="IO62" s="277">
        <f t="shared" si="63"/>
        <v>0.58691803349517246</v>
      </c>
      <c r="IP62" s="17" t="s">
        <v>42</v>
      </c>
      <c r="IQ62" s="51" t="s">
        <v>3740</v>
      </c>
      <c r="IR62" s="17">
        <v>0.92</v>
      </c>
      <c r="IS62" s="218">
        <f t="shared" si="64"/>
        <v>1.1999213129234636</v>
      </c>
      <c r="IT62" s="17" t="s">
        <v>42</v>
      </c>
      <c r="IU62" s="75" t="s">
        <v>3741</v>
      </c>
      <c r="IV62" s="17">
        <v>0.35</v>
      </c>
      <c r="IW62" s="76">
        <f t="shared" si="65"/>
        <v>0.45649180382957855</v>
      </c>
      <c r="IX62" s="17" t="s">
        <v>42</v>
      </c>
      <c r="IY62" s="51" t="s">
        <v>3742</v>
      </c>
      <c r="IZ62" s="17">
        <v>0.75</v>
      </c>
      <c r="JA62" s="389">
        <f t="shared" si="66"/>
        <v>0.978196722491954</v>
      </c>
      <c r="JB62" s="17" t="s">
        <v>42</v>
      </c>
      <c r="JC62" s="51" t="s">
        <v>3743</v>
      </c>
      <c r="JD62" s="17">
        <v>0.81</v>
      </c>
      <c r="JE62" s="71">
        <f t="shared" si="67"/>
        <v>1.0564524602913103</v>
      </c>
      <c r="JF62" s="17" t="s">
        <v>48</v>
      </c>
      <c r="JG62" s="51" t="s">
        <v>3744</v>
      </c>
      <c r="JH62" s="17">
        <v>0.7</v>
      </c>
      <c r="JI62" s="80">
        <f t="shared" si="68"/>
        <v>0.91298360765915709</v>
      </c>
      <c r="JJ62" s="17" t="s">
        <v>42</v>
      </c>
      <c r="JK62" s="51" t="s">
        <v>3745</v>
      </c>
      <c r="JL62" s="21">
        <v>0.59</v>
      </c>
      <c r="JM62" s="19">
        <f t="shared" si="69"/>
        <v>0.76951475502700384</v>
      </c>
      <c r="JN62" s="21" t="s">
        <v>48</v>
      </c>
      <c r="JO62" s="75" t="s">
        <v>3746</v>
      </c>
      <c r="JP62" s="21">
        <v>0.74</v>
      </c>
      <c r="JQ62" s="433">
        <f t="shared" si="70"/>
        <v>0.96515409952539466</v>
      </c>
      <c r="JR62" s="21" t="s">
        <v>48</v>
      </c>
      <c r="JS62" s="51" t="s">
        <v>3747</v>
      </c>
      <c r="JT62" s="21">
        <v>0.71</v>
      </c>
      <c r="JU62" s="652">
        <f t="shared" si="71"/>
        <v>0.92602623062571643</v>
      </c>
      <c r="JV62" s="21" t="s">
        <v>48</v>
      </c>
      <c r="JW62" s="75" t="s">
        <v>3748</v>
      </c>
      <c r="JX62" s="17">
        <v>0.79</v>
      </c>
      <c r="JY62" s="682">
        <f t="shared" si="72"/>
        <v>1.0303672143581917</v>
      </c>
      <c r="JZ62" s="51" t="s">
        <v>42</v>
      </c>
      <c r="KA62" s="51" t="s">
        <v>3749</v>
      </c>
      <c r="KB62" s="21">
        <v>1</v>
      </c>
      <c r="KC62" s="529">
        <f t="shared" si="73"/>
        <v>1.3042622966559387</v>
      </c>
      <c r="KD62" s="75" t="s">
        <v>48</v>
      </c>
      <c r="KE62" s="75" t="s">
        <v>3750</v>
      </c>
      <c r="KF62" s="17">
        <v>0.84</v>
      </c>
      <c r="KG62" s="385">
        <f t="shared" si="74"/>
        <v>1.0955803291909885</v>
      </c>
      <c r="KH62" s="51" t="s">
        <v>48</v>
      </c>
      <c r="KI62" s="51" t="s">
        <v>3751</v>
      </c>
      <c r="KJ62" s="21">
        <v>0.5</v>
      </c>
      <c r="KK62" s="515">
        <f t="shared" si="75"/>
        <v>0.65213114832796937</v>
      </c>
      <c r="KL62" s="75" t="s">
        <v>42</v>
      </c>
      <c r="KM62" s="75" t="s">
        <v>3752</v>
      </c>
      <c r="KN62" s="17">
        <v>0.82</v>
      </c>
      <c r="KO62" s="404">
        <f t="shared" si="76"/>
        <v>1.0694950832578696</v>
      </c>
      <c r="KP62" s="51" t="s">
        <v>46</v>
      </c>
      <c r="KQ62" s="51" t="s">
        <v>3753</v>
      </c>
      <c r="KR62" s="21">
        <v>0.6</v>
      </c>
      <c r="KS62" s="109">
        <f t="shared" si="77"/>
        <v>0.78255737799356317</v>
      </c>
      <c r="KT62" s="75" t="s">
        <v>179</v>
      </c>
      <c r="KU62" s="75" t="s">
        <v>3754</v>
      </c>
      <c r="KV62" s="82">
        <v>0.81</v>
      </c>
      <c r="KW62" s="71">
        <f t="shared" si="78"/>
        <v>1.0564524602913103</v>
      </c>
      <c r="KX62" s="51" t="s">
        <v>42</v>
      </c>
      <c r="KY62" s="51" t="s">
        <v>3755</v>
      </c>
      <c r="KZ62" s="83">
        <v>0.47</v>
      </c>
      <c r="LA62" s="157">
        <f t="shared" si="79"/>
        <v>0.61300327942829114</v>
      </c>
      <c r="LB62" s="75" t="s">
        <v>42</v>
      </c>
      <c r="LC62" s="75" t="s">
        <v>3756</v>
      </c>
      <c r="LD62" s="82">
        <v>0.77</v>
      </c>
      <c r="LE62" s="17">
        <f t="shared" si="80"/>
        <v>1.0042819684250728</v>
      </c>
      <c r="LF62" s="51" t="s">
        <v>46</v>
      </c>
      <c r="LG62" s="51" t="s">
        <v>3757</v>
      </c>
      <c r="LH62" s="83">
        <v>0.85</v>
      </c>
      <c r="LI62" s="84"/>
      <c r="LJ62" s="85"/>
      <c r="LK62" s="85"/>
      <c r="LL62" s="86">
        <f t="shared" si="81"/>
        <v>0.76654880229090094</v>
      </c>
      <c r="LM62" s="86">
        <f t="shared" si="82"/>
        <v>1.017547738211708</v>
      </c>
      <c r="LN62" s="86">
        <f t="shared" si="90"/>
        <v>0.96767625418293757</v>
      </c>
      <c r="LO62" s="86">
        <f t="shared" si="94"/>
        <v>1.0169712808809797</v>
      </c>
      <c r="LP62" s="86">
        <f t="shared" si="95"/>
        <v>-7.5788572228306705E-2</v>
      </c>
      <c r="LQ62" s="87">
        <f t="shared" si="96"/>
        <v>0</v>
      </c>
      <c r="LR62" s="86">
        <f t="shared" si="97"/>
        <v>0.99802396584067554</v>
      </c>
      <c r="LS62" s="84">
        <v>1</v>
      </c>
      <c r="LT62" s="87">
        <f t="shared" si="100"/>
        <v>0</v>
      </c>
      <c r="LU62" s="87">
        <f t="shared" si="92"/>
        <v>3</v>
      </c>
      <c r="LV62" s="86">
        <f t="shared" si="98"/>
        <v>0.96</v>
      </c>
      <c r="LW62" s="89" t="s">
        <v>3812</v>
      </c>
      <c r="LX62" s="5" t="str">
        <f t="shared" si="87"/>
        <v/>
      </c>
      <c r="LY62" s="5" t="str">
        <f t="shared" si="102"/>
        <v/>
      </c>
      <c r="LZ62" s="5"/>
      <c r="MA62" s="67" t="str">
        <f t="shared" si="99"/>
        <v>CORINTHIANS</v>
      </c>
      <c r="MB62" s="89" t="s">
        <v>3808</v>
      </c>
    </row>
    <row r="63" spans="1:340" x14ac:dyDescent="0.2">
      <c r="A63" s="765" t="s">
        <v>19</v>
      </c>
      <c r="B63" s="766">
        <f t="shared" ref="B63:D63" si="103">AVERAGE(B3:B62)</f>
        <v>0.7084779200832787</v>
      </c>
      <c r="C63" s="767">
        <f t="shared" si="103"/>
        <v>-3.1451336663633769E-2</v>
      </c>
      <c r="D63" s="766">
        <f t="shared" si="103"/>
        <v>0.67916666666666703</v>
      </c>
      <c r="E63" s="768">
        <f ca="1">MEDIAN(OFFSET(X63,0,0,1,1),OFFSET(X63,0,20),OFFSET(X63,0,40),OFFSET(X63,0,60),OFFSET(X63,0,80),OFFSET(X63,0,100),OFFSET(X63,0,120),OFFSET(X63,0,140),OFFSET(X63,0,160),OFFSET(X63,0,180),OFFSET(X63,0,200),OFFSET(X63,0,220),OFFSET(X63,0,240),OFFSET(X63,0,260))</f>
        <v>0.70425000000000004</v>
      </c>
      <c r="F63" s="769">
        <f ca="1">(D63/E63)-1</f>
        <v>-3.5617086735297177E-2</v>
      </c>
      <c r="G63" s="40"/>
      <c r="H63" s="766">
        <f>AVERAGE(H3:H62)</f>
        <v>0.84533333333333305</v>
      </c>
      <c r="I63" s="768">
        <f ca="1">MEDIAN(OFFSET(AB63,0,0,1,1),OFFSET(AB63,0,20),OFFSET(AB63,0,40),OFFSET(AB63,0,60),OFFSET(AB63,0,80),OFFSET(AB63,0,100),OFFSET(AB63,0,120),OFFSET(AB63,0,140),OFFSET(AB63,0,160),OFFSET(AB63,0,180),OFFSET(AB63,0,200),OFFSET(AB63,0,220),OFFSET(AB63,0,240),OFFSET(AB63,0,260))</f>
        <v>0.67300000000000026</v>
      </c>
      <c r="J63" s="769">
        <f ca="1">(H63/I63)-1</f>
        <v>0.25606736007924624</v>
      </c>
      <c r="K63" s="40"/>
      <c r="L63" s="766">
        <f>AVERAGE(L3:L62)</f>
        <v>0.89566666666666661</v>
      </c>
      <c r="M63" s="768">
        <f ca="1">MEDIAN(OFFSET(AF63,0,0,1,1),OFFSET(AF63,0,20),OFFSET(AF63,0,40),OFFSET(AF63,0,60),OFFSET(AF63,0,80),OFFSET(AF63,0,100),OFFSET(AF63,0,120),OFFSET(AF63,0,140),OFFSET(AF63,0,160),OFFSET(AF63,0,180),OFFSET(AF63,0,200),OFFSET(AF63,0,220),OFFSET(AF63,0,240),OFFSET(AF63,0,260))</f>
        <v>0.75875000000000004</v>
      </c>
      <c r="N63" s="769">
        <f ca="1">(L63/M63)-1</f>
        <v>0.18045030203185042</v>
      </c>
      <c r="O63" s="40"/>
      <c r="P63" s="766">
        <f>AVERAGE(P3:P62)</f>
        <v>0.8214999999999999</v>
      </c>
      <c r="Q63" s="768">
        <f ca="1">MEDIAN(OFFSET(AJ63,0,0,1,1),OFFSET(AJ63,0,20),OFFSET(AJ63,0,40),OFFSET(AJ63,0,60),OFFSET(AJ63,0,80),OFFSET(AJ63,0,100),OFFSET(AJ63,0,120),OFFSET(AJ63,0,140),OFFSET(AJ63,0,160),OFFSET(AJ63,0,180),OFFSET(AJ63,0,200),OFFSET(AJ63,0,220),OFFSET(AJ63,0,240),OFFSET(AJ63,0,260))</f>
        <v>0.57791666666666663</v>
      </c>
      <c r="R63" s="769">
        <f ca="1">(P63/Q63)-1</f>
        <v>0.42148521989906262</v>
      </c>
      <c r="S63" s="40"/>
      <c r="T63" s="766">
        <f>AVERAGE(T3:T62)</f>
        <v>0.58633333333333326</v>
      </c>
      <c r="U63" s="768">
        <f ca="1">MEDIAN(OFFSET(AN63,0,0,1,1),OFFSET(AN63,0,20),OFFSET(AN63,0,40),OFFSET(AN63,0,60),OFFSET(AN63,0,80),OFFSET(AN63,0,100),OFFSET(AN63,0,120),OFFSET(AN63,0,140),OFFSET(AN63,0,160),OFFSET(AN63,0,180),OFFSET(AN63,0,200),OFFSET(AN63,0,220),OFFSET(AN63,0,240),OFFSET(AN63,0,260))</f>
        <v>0.72050000000000003</v>
      </c>
      <c r="V63" s="769">
        <f ca="1">(T63/U63)-1</f>
        <v>-0.18621327781633135</v>
      </c>
      <c r="W63" s="40"/>
      <c r="X63" s="766">
        <f>AVERAGE(X3:X62)</f>
        <v>0.85883333333333356</v>
      </c>
      <c r="Y63" s="768">
        <f ca="1">MEDIAN(OFFSET(AR63,0,0,1,1),OFFSET(AR63,0,20),OFFSET(AR63,0,40),OFFSET(AR63,0,60),OFFSET(AR63,0,80),OFFSET(AR63,0,100),OFFSET(AR63,0,120),OFFSET(AR63,0,140),OFFSET(AR63,0,160),OFFSET(AR63,0,180),OFFSET(AR63,0,200),OFFSET(AR63,0,220),OFFSET(AR63,0,240),OFFSET(AR63,0,260))</f>
        <v>0.69983333333333331</v>
      </c>
      <c r="Z63" s="769">
        <f ca="1">(X63/Y63)-1</f>
        <v>0.22719695165515641</v>
      </c>
      <c r="AA63" s="40"/>
      <c r="AB63" s="766">
        <f>AVERAGE(AB3:AB62)</f>
        <v>0.77999999999999969</v>
      </c>
      <c r="AC63" s="768">
        <f ca="1">MEDIAN(OFFSET(AV63,0,0,1,1),OFFSET(AV63,0,20),OFFSET(AV63,0,40),OFFSET(AV63,0,60),OFFSET(AV63,0,80),OFFSET(AV63,0,100),OFFSET(AV63,0,120),OFFSET(AV63,0,140),OFFSET(AV63,0,160),OFFSET(AV63,0,180),OFFSET(AV63,0,200),OFFSET(AV63,0,220),OFFSET(AV63,0,240),OFFSET(AV63,0,260))</f>
        <v>0.67300000000000026</v>
      </c>
      <c r="AD63" s="769">
        <f ca="1">(AB63/AC63)-1</f>
        <v>0.15898959881129171</v>
      </c>
      <c r="AE63" s="40"/>
      <c r="AF63" s="766">
        <f>AVERAGE(AF3:AF62)</f>
        <v>0.80850000000000011</v>
      </c>
      <c r="AG63" s="768">
        <f ca="1">MEDIAN(OFFSET(AZ63,0,0,1,1),OFFSET(AZ63,0,20),OFFSET(AZ63,0,40),OFFSET(AZ63,0,60),OFFSET(AZ63,0,80),OFFSET(AZ63,0,100),OFFSET(AZ63,0,120),OFFSET(AZ63,0,140),OFFSET(AZ63,0,160),OFFSET(AZ63,0,180),OFFSET(AZ63,0,200),OFFSET(AZ63,0,220),OFFSET(AZ63,0,240),OFFSET(AZ63,0,260))</f>
        <v>0.71733333333333316</v>
      </c>
      <c r="AH63" s="769">
        <f ca="1">(AF63/AG63)-1</f>
        <v>0.127091078066915</v>
      </c>
      <c r="AI63" s="40"/>
      <c r="AJ63" s="766">
        <f>AVERAGE(AJ3:AJ62)</f>
        <v>0.98816666666666642</v>
      </c>
      <c r="AK63" s="768">
        <f ca="1">MEDIAN(OFFSET(BD63,0,0,1,1),OFFSET(BD63,0,20),OFFSET(BD63,0,40),OFFSET(BD63,0,60),OFFSET(BD63,0,80),OFFSET(BD63,0,100),OFFSET(BD63,0,120),OFFSET(BD63,0,140),OFFSET(BD63,0,160),OFFSET(BD63,0,180),OFFSET(BD63,0,200),OFFSET(BD63,0,220),OFFSET(BD63,0,240),OFFSET(BD63,0,260))</f>
        <v>0.57791666666666663</v>
      </c>
      <c r="AL63" s="769">
        <f ca="1">(AJ63/AK63)-1</f>
        <v>0.70987743330930031</v>
      </c>
      <c r="AM63" s="40"/>
      <c r="AN63" s="766">
        <f>AVERAGE(AN3:AN62)</f>
        <v>1.0918333333333332</v>
      </c>
      <c r="AO63" s="768">
        <f ca="1">MEDIAN(OFFSET(BH63,0,0,1,1),OFFSET(BH63,0,20),OFFSET(BH63,0,40),OFFSET(BH63,0,60),OFFSET(BH63,0,80),OFFSET(BH63,0,100),OFFSET(BH63,0,120),OFFSET(BH63,0,140),OFFSET(BH63,0,160),OFFSET(BH63,0,180),OFFSET(BH63,0,200),OFFSET(BH63,0,220),OFFSET(BH63,0,240),OFFSET(BH63,0,260))</f>
        <v>0.71225000000000005</v>
      </c>
      <c r="AP63" s="769">
        <f ca="1">(AN63/AO63)-1</f>
        <v>0.53293553293553275</v>
      </c>
      <c r="AQ63" s="40"/>
      <c r="AR63" s="766">
        <f>AVERAGE(AR3:AR62)</f>
        <v>0.74916666666666709</v>
      </c>
      <c r="AS63" s="768">
        <f ca="1">MEDIAN(OFFSET(BL63,0,0,1,1),OFFSET(BL63,0,20),OFFSET(BL63,0,40),OFFSET(BL63,0,60),OFFSET(BL63,0,80),OFFSET(BL63,0,100),OFFSET(BL63,0,120),OFFSET(BL63,0,140),OFFSET(BL63,0,160),OFFSET(BL63,0,180),OFFSET(BL63,0,200),OFFSET(BL63,0,220),OFFSET(BL63,0,240),OFFSET(BL63,0,260))</f>
        <v>0.69716666666666671</v>
      </c>
      <c r="AT63" s="769">
        <f ca="1">(AR63/AS63)-1</f>
        <v>7.458761654315138E-2</v>
      </c>
      <c r="AU63" s="40"/>
      <c r="AV63" s="766">
        <f>AVERAGE(AV3:AV62)</f>
        <v>0.98483333333333323</v>
      </c>
      <c r="AW63" s="768">
        <f ca="1">MEDIAN(OFFSET(BP63,0,0,1,1),OFFSET(BP63,0,20),OFFSET(BP63,0,40),OFFSET(BP63,0,60),OFFSET(BP63,0,80),OFFSET(BP63,0,100),OFFSET(BP63,0,120),OFFSET(BP63,0,140),OFFSET(BP63,0,160),OFFSET(BP63,0,180),OFFSET(BP63,0,200),OFFSET(BP63,0,220),OFFSET(BP63,0,240),OFFSET(BP63,0,260))</f>
        <v>0.63716666666666699</v>
      </c>
      <c r="AX63" s="769">
        <f ca="1">(AV63/AW63)-1</f>
        <v>0.54564478158514151</v>
      </c>
      <c r="AY63" s="40"/>
      <c r="AZ63" s="766">
        <f>AVERAGE(AZ3:AZ62)</f>
        <v>0.87850000000000061</v>
      </c>
      <c r="BA63" s="768">
        <f ca="1">MEDIAN(OFFSET(BT63,0,0,1,1),OFFSET(BT63,0,20),OFFSET(BT63,0,40),OFFSET(BT63,0,60),OFFSET(BT63,0,80),OFFSET(BT63,0,100),OFFSET(BT63,0,120),OFFSET(BT63,0,140),OFFSET(BT63,0,160),OFFSET(BT63,0,180),OFFSET(BT63,0,200),OFFSET(BT63,0,220),OFFSET(BT63,0,240),OFFSET(BT63,0,260))</f>
        <v>0.69949999999999968</v>
      </c>
      <c r="BB63" s="769">
        <f ca="1">(AZ63/BA63)-1</f>
        <v>0.25589706933524092</v>
      </c>
      <c r="BC63" s="40"/>
      <c r="BD63" s="766">
        <f>AVERAGE(BD3:BD62)</f>
        <v>0.92666666666666719</v>
      </c>
      <c r="BE63" s="768">
        <f ca="1">MEDIAN(OFFSET(BX63,0,0,1,1),OFFSET(BX63,0,20),OFFSET(BX63,0,40),OFFSET(BX63,0,60),OFFSET(BX63,0,80),OFFSET(BX63,0,100),OFFSET(BX63,0,120),OFFSET(BX63,0,140),OFFSET(BX63,0,160),OFFSET(BX63,0,180),OFFSET(BX63,0,200),OFFSET(BX63,0,220),OFFSET(BX63,0,240),OFFSET(BX63,0,260))</f>
        <v>0.56966666666666688</v>
      </c>
      <c r="BF63" s="769">
        <f ca="1">(BD63/BE63)-1</f>
        <v>0.62668227033352863</v>
      </c>
      <c r="BG63" s="40"/>
      <c r="BH63" s="766">
        <f>AVERAGE(BH3:BH62)</f>
        <v>1.2008333333333328</v>
      </c>
      <c r="BI63" s="768">
        <f ca="1">MEDIAN(OFFSET(CB63,0,0,1,1),OFFSET(CB63,0,20),OFFSET(CB63,0,40),OFFSET(CB63,0,60),OFFSET(CB63,0,80),OFFSET(CB63,0,100),OFFSET(CB63,0,120),OFFSET(CB63,0,140),OFFSET(CB63,0,160),OFFSET(CB63,0,180),OFFSET(CB63,0,200),OFFSET(CB63,0,220),OFFSET(CB63,0,240),OFFSET(CB63,0,260))</f>
        <v>0.71049999999999991</v>
      </c>
      <c r="BJ63" s="769">
        <f ca="1">(BH63/BI63)-1</f>
        <v>0.6901243255923053</v>
      </c>
      <c r="BK63" s="40"/>
      <c r="BL63" s="766">
        <f>AVERAGE(BL3:BL62)</f>
        <v>0.66416666666666635</v>
      </c>
      <c r="BM63" s="768">
        <f ca="1">MEDIAN(OFFSET(CF63,0,0,1,1),OFFSET(CF63,0,20),OFFSET(CF63,0,40),OFFSET(CF63,0,60),OFFSET(CF63,0,80),OFFSET(CF63,0,100),OFFSET(CF63,0,120),OFFSET(CF63,0,140),OFFSET(CF63,0,160),OFFSET(CF63,0,180),OFFSET(CF63,0,200),OFFSET(CF63,0,220),OFFSET(CF63,0,240),OFFSET(CF63,0,260))</f>
        <v>0.69983333333333331</v>
      </c>
      <c r="BN63" s="769">
        <f ca="1">(BL63/BM63)-1</f>
        <v>-5.09645153608006E-2</v>
      </c>
      <c r="BO63" s="40"/>
      <c r="BP63" s="766">
        <f>AVERAGE(BP3:BP62)</f>
        <v>0.60500000000000043</v>
      </c>
      <c r="BQ63" s="768">
        <f ca="1">MEDIAN(OFFSET(CJ63,0,0,1,1),OFFSET(CJ63,0,20),OFFSET(CJ63,0,40),OFFSET(CJ63,0,60),OFFSET(CJ63,0,80),OFFSET(CJ63,0,100),OFFSET(CJ63,0,120),OFFSET(CJ63,0,140),OFFSET(CJ63,0,160),OFFSET(CJ63,0,180),OFFSET(CJ63,0,200),OFFSET(CJ63,0,220),OFFSET(CJ63,0,240),OFFSET(CJ63,0,260))</f>
        <v>0.67300000000000026</v>
      </c>
      <c r="BR63" s="769">
        <f ca="1">(BP63/BQ63)-1</f>
        <v>-0.10104011887072784</v>
      </c>
      <c r="BS63" s="40"/>
      <c r="BT63" s="766">
        <f>AVERAGE(BT3:BT62)</f>
        <v>0.73516666666666675</v>
      </c>
      <c r="BU63" s="768">
        <f ca="1">MEDIAN(OFFSET(CN63,0,0,1,1),OFFSET(CN63,0,20),OFFSET(CN63,0,40),OFFSET(CN63,0,60),OFFSET(CN63,0,80),OFFSET(CN63,0,100),OFFSET(CN63,0,120),OFFSET(CN63,0,140),OFFSET(CN63,0,160),OFFSET(CN63,0,180),OFFSET(CN63,0,200),OFFSET(CN63,0,220),OFFSET(CN63,0,240),OFFSET(CN63,0,260))</f>
        <v>0.68149999999999999</v>
      </c>
      <c r="BV63" s="769">
        <f ca="1">(BT63/BU63)-1</f>
        <v>7.8747860112497126E-2</v>
      </c>
      <c r="BW63" s="40"/>
      <c r="BX63" s="766">
        <f>AVERAGE(BX3:BX62)</f>
        <v>0.54449999999999965</v>
      </c>
      <c r="BY63" s="768">
        <f ca="1">MEDIAN(OFFSET(CR63,0,0,1,1),OFFSET(CR63,0,20),OFFSET(CR63,0,40),OFFSET(CR63,0,60),OFFSET(CR63,0,80),OFFSET(CR63,0,100),OFFSET(CR63,0,120),OFFSET(CR63,0,140),OFFSET(CR63,0,160),OFFSET(CR63,0,180),OFFSET(CR63,0,200),OFFSET(CR63,0,220),OFFSET(CR63,0,240),OFFSET(CR63,0,260))</f>
        <v>0.57791666666666663</v>
      </c>
      <c r="BZ63" s="769">
        <f ca="1">(BX63/BY63)-1</f>
        <v>-5.7822638788753267E-2</v>
      </c>
      <c r="CA63" s="40"/>
      <c r="CB63" s="766">
        <f>AVERAGE(CB3:CB62)</f>
        <v>0.67633333333333367</v>
      </c>
      <c r="CC63" s="768">
        <f ca="1">MEDIAN(OFFSET(CV63,0,0,1,1),OFFSET(CV63,0,20),OFFSET(CV63,0,40),OFFSET(CV63,0,60),OFFSET(CV63,0,80),OFFSET(CV63,0,100),OFFSET(CV63,0,120),OFFSET(CV63,0,140),OFFSET(CV63,0,160),OFFSET(CV63,0,180),OFFSET(CV63,0,200),OFFSET(CV63,0,220),OFFSET(CV63,0,240),OFFSET(CV63,0,260))</f>
        <v>0.71225000000000005</v>
      </c>
      <c r="CD63" s="769">
        <f ca="1">(CB63/CC63)-1</f>
        <v>-5.042705042704998E-2</v>
      </c>
      <c r="CE63" s="40"/>
      <c r="CF63" s="766">
        <f>AVERAGE(CF3:CF62)</f>
        <v>0.46833333333333321</v>
      </c>
      <c r="CG63" s="768">
        <f ca="1">MEDIAN(OFFSET(CZ63,0,0,1,1),OFFSET(CZ63,0,20),OFFSET(CZ63,0,40),OFFSET(CZ63,0,60),OFFSET(CZ63,0,80),OFFSET(CZ63,0,100),OFFSET(CZ63,0,120),OFFSET(CZ63,0,140),OFFSET(CZ63,0,160),OFFSET(CZ63,0,180),OFFSET(CZ63,0,200),OFFSET(CZ63,0,220),OFFSET(CZ63,0,240),OFFSET(CZ63,0,260))</f>
        <v>0.70250000000000001</v>
      </c>
      <c r="CH63" s="769">
        <f ca="1">(CF63/CG63)-1</f>
        <v>-0.33333333333333348</v>
      </c>
      <c r="CI63" s="40"/>
      <c r="CJ63" s="766">
        <f>AVERAGE(CJ3:CJ62)</f>
        <v>0.16899999999999993</v>
      </c>
      <c r="CK63" s="768">
        <f ca="1">MEDIAN(OFFSET(DD63,0,0,1,1),OFFSET(DD63,0,20),OFFSET(DD63,0,40),OFFSET(DD63,0,60),OFFSET(DD63,0,80),OFFSET(DD63,0,100),OFFSET(DD63,0,120),OFFSET(DD63,0,140),OFFSET(DD63,0,160),OFFSET(DD63,0,180),OFFSET(DD63,0,200),OFFSET(DD63,0,220),OFFSET(DD63,0,240),OFFSET(DD63,0,260))</f>
        <v>0.70883333333333343</v>
      </c>
      <c r="CL63" s="769">
        <f ca="1">(CJ63/CK63)-1</f>
        <v>-0.76158006113331778</v>
      </c>
      <c r="CM63" s="40"/>
      <c r="CN63" s="766">
        <f>AVERAGE(CN3:CN62)</f>
        <v>0.78233333333333333</v>
      </c>
      <c r="CO63" s="768">
        <f ca="1">MEDIAN(OFFSET(DH63,0,0,1,1),OFFSET(DH63,0,20),OFFSET(DH63,0,40),OFFSET(DH63,0,60),OFFSET(DH63,0,80),OFFSET(DH63,0,100),OFFSET(DH63,0,120),OFFSET(DH63,0,140),OFFSET(DH63,0,160),OFFSET(DH63,0,180),OFFSET(DH63,0,200),OFFSET(DH63,0,220),OFFSET(DH63,0,240),OFFSET(DH63,0,260))</f>
        <v>0.66350000000000031</v>
      </c>
      <c r="CP63" s="769">
        <f ca="1">(CN63/CO63)-1</f>
        <v>0.17910072846018532</v>
      </c>
      <c r="CQ63" s="40"/>
      <c r="CR63" s="766">
        <f>AVERAGE(CR3:CR62)</f>
        <v>0.56966666666666688</v>
      </c>
      <c r="CS63" s="768">
        <f ca="1">MEDIAN(OFFSET(DL63,0,0,1,1),OFFSET(DL63,0,20),OFFSET(DL63,0,40),OFFSET(DL63,0,60),OFFSET(DL63,0,80),OFFSET(DL63,0,100),OFFSET(DL63,0,120),OFFSET(DL63,0,140),OFFSET(DL63,0,160),OFFSET(DL63,0,180),OFFSET(DL63,0,200),OFFSET(DL63,0,220),OFFSET(DL63,0,240),OFFSET(DL63,0,260))</f>
        <v>0.5861666666666665</v>
      </c>
      <c r="CT63" s="769">
        <f ca="1">(CR63/CS63)-1</f>
        <v>-2.814899061700249E-2</v>
      </c>
      <c r="CU63" s="40"/>
      <c r="CV63" s="766">
        <f>AVERAGE(CV3:CV62)</f>
        <v>0.71400000000000008</v>
      </c>
      <c r="CW63" s="768">
        <f ca="1">MEDIAN(OFFSET(DP63,0,0,1,1),OFFSET(DP63,0,20),OFFSET(DP63,0,40),OFFSET(DP63,0,60),OFFSET(DP63,0,80),OFFSET(DP63,0,100),OFFSET(DP63,0,120),OFFSET(DP63,0,140),OFFSET(DP63,0,160),OFFSET(DP63,0,180),OFFSET(DP63,0,200),OFFSET(DP63,0,220),OFFSET(DP63,0,240),OFFSET(DP63,0,260))</f>
        <v>0.71049999999999991</v>
      </c>
      <c r="CX63" s="769">
        <f ca="1">(CV63/CW63)-1</f>
        <v>4.9261083743845635E-3</v>
      </c>
      <c r="CY63" s="40"/>
      <c r="CZ63" s="766">
        <f>AVERAGE(CZ3:CZ62)</f>
        <v>0.53616666666666668</v>
      </c>
      <c r="DA63" s="768">
        <f ca="1">MEDIAN(OFFSET(DT63,0,0,1,1),OFFSET(DT63,0,20),OFFSET(DT63,0,40),OFFSET(DT63,0,60),OFFSET(DT63,0,80),OFFSET(DT63,0,100),OFFSET(DT63,0,120),OFFSET(DT63,0,140),OFFSET(DT63,0,160),OFFSET(DT63,0,180),OFFSET(DT63,0,200),OFFSET(DT63,0,220),OFFSET(DT63,0,240),OFFSET(DT63,0,260))</f>
        <v>0.70691666666666675</v>
      </c>
      <c r="DB63" s="769">
        <f ca="1">(CZ63/DA63)-1</f>
        <v>-0.24154190734410008</v>
      </c>
      <c r="DC63" s="40"/>
      <c r="DD63" s="766">
        <f>AVERAGE(DD3:DD62)</f>
        <v>0.70883333333333343</v>
      </c>
      <c r="DE63" s="768">
        <f ca="1">MEDIAN(OFFSET(DX63,0,0,1,1),OFFSET(DX63,0,20),OFFSET(DX63,0,40),OFFSET(DX63,0,60),OFFSET(DX63,0,80),OFFSET(DX63,0,100),OFFSET(DX63,0,120),OFFSET(DX63,0,140),OFFSET(DX63,0,160),OFFSET(DX63,0,180),OFFSET(DX63,0,200),OFFSET(DX63,0,220),OFFSET(DX63,0,240),OFFSET(DX63,0,260))</f>
        <v>0.68716666666666693</v>
      </c>
      <c r="DF63" s="769">
        <f ca="1">(DD63/DE63)-1</f>
        <v>3.1530439000727384E-2</v>
      </c>
      <c r="DG63" s="40"/>
      <c r="DH63" s="766">
        <f>AVERAGE(DH3:DH62)</f>
        <v>0.80299999999999983</v>
      </c>
      <c r="DI63" s="768">
        <f ca="1">MEDIAN(OFFSET(EB63,0,0,1,1),OFFSET(EB63,0,20),OFFSET(EB63,0,40),OFFSET(EB63,0,60),OFFSET(EB63,0,80),OFFSET(EB63,0,100),OFFSET(EB63,0,120),OFFSET(EB63,0,140),OFFSET(EB63,0,160),OFFSET(EB63,0,180),OFFSET(EB63,0,200),OFFSET(EB63,0,220),OFFSET(EB63,0,240),OFFSET(EB63,0,260))</f>
        <v>0.63975000000000037</v>
      </c>
      <c r="DJ63" s="769">
        <f ca="1">(DH63/DI63)-1</f>
        <v>0.25517780382961996</v>
      </c>
      <c r="DK63" s="40"/>
      <c r="DL63" s="766">
        <f>AVERAGE(DL3:DL62)</f>
        <v>0.22500000000000009</v>
      </c>
      <c r="DM63" s="768">
        <f ca="1">MEDIAN(OFFSET(EF63,0,0,1,1),OFFSET(EF63,0,20),OFFSET(EF63,0,40),OFFSET(EF63,0,60),OFFSET(EF63,0,80),OFFSET(EF63,0,100),OFFSET(EF63,0,120),OFFSET(EF63,0,140),OFFSET(EF63,0,160),OFFSET(EF63,0,180),OFFSET(EF63,0,200),OFFSET(EF63,0,220),OFFSET(EF63,0,240),OFFSET(EF63,0,260))</f>
        <v>0.60466666666666657</v>
      </c>
      <c r="DN63" s="769">
        <f ca="1">(DL63/DM63)-1</f>
        <v>-0.62789415656008796</v>
      </c>
      <c r="DO63" s="40"/>
      <c r="DP63" s="766">
        <f>AVERAGE(DP3:DP62)</f>
        <v>0.86916666666666709</v>
      </c>
      <c r="DQ63" s="768">
        <f ca="1">MEDIAN(OFFSET(EJ63,0,0,1,1),OFFSET(EJ63,0,20),OFFSET(EJ63,0,40),OFFSET(EJ63,0,60),OFFSET(EJ63,0,80),OFFSET(EJ63,0,100),OFFSET(EJ63,0,120),OFFSET(EJ63,0,140),OFFSET(EJ63,0,160),OFFSET(EJ63,0,180),OFFSET(EJ63,0,200),OFFSET(EJ63,0,220),OFFSET(EJ63,0,240),OFFSET(EJ63,0,260))</f>
        <v>0.70291666666666663</v>
      </c>
      <c r="DR63" s="769">
        <f ca="1">(DP63/DQ63)-1</f>
        <v>0.23651452282157748</v>
      </c>
      <c r="DS63" s="40"/>
      <c r="DT63" s="766">
        <f>AVERAGE(DT3:DT62)</f>
        <v>0.55516666666666681</v>
      </c>
      <c r="DU63" s="768">
        <f ca="1">MEDIAN(OFFSET(EN63,0,0,1,1),OFFSET(EN63,0,20),OFFSET(EN63,0,40),OFFSET(EN63,0,60),OFFSET(EN63,0,80),OFFSET(EN63,0,100),OFFSET(EN63,0,120),OFFSET(EN63,0,140),OFFSET(EN63,0,160),OFFSET(EN63,0,180),OFFSET(EN63,0,200),OFFSET(EN63,0,220),OFFSET(EN63,0,240),OFFSET(EN63,0,260))</f>
        <v>0.71133333333333348</v>
      </c>
      <c r="DV63" s="769">
        <f ca="1">(DT63/DU63)-1</f>
        <v>-0.21954076850984061</v>
      </c>
      <c r="DW63" s="40"/>
      <c r="DX63" s="766">
        <f>AVERAGE(DX3:DX62)</f>
        <v>0.51449999999999985</v>
      </c>
      <c r="DY63" s="768">
        <f ca="1">MEDIAN(OFFSET(ER63,0,0,1,1),OFFSET(ER63,0,20),OFFSET(ER63,0,40),OFFSET(ER63,0,60),OFFSET(ER63,0,80),OFFSET(ER63,0,100),OFFSET(ER63,0,120),OFFSET(ER63,0,140),OFFSET(ER63,0,160),OFFSET(ER63,0,180),OFFSET(ER63,0,200),OFFSET(ER63,0,220),OFFSET(ER63,0,240),OFFSET(ER63,0,260))</f>
        <v>0.73716666666666675</v>
      </c>
      <c r="DZ63" s="769">
        <f ca="1">(DX63/DY63)-1</f>
        <v>-0.30205742708568872</v>
      </c>
      <c r="EA63" s="40"/>
      <c r="EB63" s="766">
        <f>AVERAGE(EB3:EB62)</f>
        <v>0.52650000000000019</v>
      </c>
      <c r="EC63" s="768">
        <f ca="1">MEDIAN(OFFSET(EV63,0,0,1,1),OFFSET(EV63,0,20),OFFSET(EV63,0,40),OFFSET(EV63,0,60),OFFSET(EV63,0,80),OFFSET(EV63,0,100),OFFSET(EV63,0,120),OFFSET(EV63,0,140),OFFSET(EV63,0,160),OFFSET(EV63,0,180),OFFSET(EV63,0,200),OFFSET(EV63,0,220),OFFSET(EV63,0,240),OFFSET(EV63,0,260))</f>
        <v>0.66350000000000031</v>
      </c>
      <c r="ED63" s="769">
        <f ca="1">(EB63/EC63)-1</f>
        <v>-0.20648078372268286</v>
      </c>
      <c r="EE63" s="40"/>
      <c r="EF63" s="766">
        <f>AVERAGE(EF3:EF62)</f>
        <v>0.48083333333333339</v>
      </c>
      <c r="EG63" s="768">
        <f ca="1">MEDIAN(OFFSET(EZ63,0,0,1,1),OFFSET(EZ63,0,20),OFFSET(EZ63,0,40),OFFSET(EZ63,0,60),OFFSET(EZ63,0,80),OFFSET(EZ63,0,100),OFFSET(EZ63,0,120),OFFSET(EZ63,0,140),OFFSET(EZ63,0,160),OFFSET(EZ63,0,180),OFFSET(EZ63,0,200),OFFSET(EZ63,0,220),OFFSET(EZ63,0,240),OFFSET(EZ63,0,260))</f>
        <v>0.62316666666666665</v>
      </c>
      <c r="EH63" s="769">
        <f ca="1">(EF63/EG63)-1</f>
        <v>-0.22840331639475786</v>
      </c>
      <c r="EI63" s="40"/>
      <c r="EJ63" s="766">
        <f>AVERAGE(EJ3:EJ62)</f>
        <v>0.93233333333333412</v>
      </c>
      <c r="EK63" s="768">
        <f ca="1">MEDIAN(OFFSET(FD63,0,0,1,1),OFFSET(FD63,0,20),OFFSET(FD63,0,40),OFFSET(FD63,0,60),OFFSET(FD63,0,80),OFFSET(FD63,0,100),OFFSET(FD63,0,120),OFFSET(FD63,0,140),OFFSET(FD63,0,160),OFFSET(FD63,0,180),OFFSET(FD63,0,200),OFFSET(FD63,0,220),OFFSET(FD63,0,240),OFFSET(FD63,0,260))</f>
        <v>0.69533333333333347</v>
      </c>
      <c r="EL63" s="769">
        <f ca="1">(EJ63/EK63)-1</f>
        <v>0.34084372003835184</v>
      </c>
      <c r="EM63" s="40"/>
      <c r="EN63" s="766">
        <f>AVERAGE(EN3:EN62)</f>
        <v>0.8879999999999999</v>
      </c>
      <c r="EO63" s="768">
        <f ca="1">MEDIAN(OFFSET(FH63,0,0,1,1),OFFSET(FH63,0,20),OFFSET(FH63,0,40),OFFSET(FH63,0,60),OFFSET(FH63,0,80),OFFSET(FH63,0,100),OFFSET(FH63,0,120),OFFSET(FH63,0,140),OFFSET(FH63,0,160),OFFSET(FH63,0,180),OFFSET(FH63,0,200),OFFSET(FH63,0,220),OFFSET(FH63,0,240),OFFSET(FH63,0,260))</f>
        <v>0.70691666666666675</v>
      </c>
      <c r="EP63" s="769">
        <f ca="1">(EN63/EO63)-1</f>
        <v>0.25615937757868656</v>
      </c>
      <c r="EQ63" s="40"/>
      <c r="ER63" s="766">
        <f>AVERAGE(ER3:ER62)</f>
        <v>0.63483333333333314</v>
      </c>
      <c r="ES63" s="768">
        <f ca="1">MEDIAN(OFFSET(FL63,0,0,1,1),OFFSET(FL63,0,20),OFFSET(FL63,0,40),OFFSET(FL63,0,60),OFFSET(FL63,0,80),OFFSET(FL63,0,100),OFFSET(FL63,0,120),OFFSET(FL63,0,140),OFFSET(FL63,0,160),OFFSET(FL63,0,180),OFFSET(FL63,0,200),OFFSET(FL63,0,220),OFFSET(FL63,0,240),OFFSET(FL63,0,260))</f>
        <v>0.75741666666666674</v>
      </c>
      <c r="ET63" s="769">
        <f ca="1">(ER63/ES63)-1</f>
        <v>-0.16184398723732019</v>
      </c>
      <c r="EU63" s="40"/>
      <c r="EV63" s="766">
        <f>AVERAGE(EV3:EV62)</f>
        <v>0.93200000000000005</v>
      </c>
      <c r="EW63" s="768">
        <f ca="1">MEDIAN(OFFSET(FP63,0,0,1,1),OFFSET(FP63,0,20),OFFSET(FP63,0,40),OFFSET(FP63,0,60),OFFSET(FP63,0,80),OFFSET(FP63,0,100),OFFSET(FP63,0,120),OFFSET(FP63,0,140),OFFSET(FP63,0,160),OFFSET(FP63,0,180),OFFSET(FP63,0,200),OFFSET(FP63,0,220),OFFSET(FP63,0,240),OFFSET(FP63,0,260))</f>
        <v>0.63975000000000037</v>
      </c>
      <c r="EX63" s="769">
        <f ca="1">(EV63/EW63)-1</f>
        <v>0.45681906994919808</v>
      </c>
      <c r="EY63" s="40"/>
      <c r="EZ63" s="766">
        <f>AVERAGE(EZ3:EZ62)</f>
        <v>0.71549999999999991</v>
      </c>
      <c r="FA63" s="768">
        <f ca="1">MEDIAN(OFFSET(FT63,0,0,1,1),OFFSET(FT63,0,20),OFFSET(FT63,0,40),OFFSET(FT63,0,60),OFFSET(FT63,0,80),OFFSET(FT63,0,100),OFFSET(FT63,0,120),OFFSET(FT63,0,140),OFFSET(FT63,0,160),OFFSET(FT63,0,180),OFFSET(FT63,0,200),OFFSET(FT63,0,220),OFFSET(FT63,0,240),OFFSET(FT63,0,260))</f>
        <v>0.60466666666666657</v>
      </c>
      <c r="FB63" s="769">
        <f ca="1">(EZ63/FA63)-1</f>
        <v>0.18329658213891964</v>
      </c>
      <c r="FC63" s="40"/>
      <c r="FD63" s="766">
        <f>AVERAGE(FD3:FD62)</f>
        <v>0.93577768364595948</v>
      </c>
      <c r="FE63" s="768">
        <f ca="1">MEDIAN(OFFSET(FX63,0,0,1,1),OFFSET(FX63,0,20),OFFSET(FX63,0,40),OFFSET(FX63,0,60),OFFSET(FX63,0,80),OFFSET(FX63,0,100),OFFSET(FX63,0,120),OFFSET(FX63,0,140),OFFSET(FX63,0,160),OFFSET(FX63,0,180),OFFSET(FX63,0,200),OFFSET(FX63,0,220),OFFSET(FX63,0,240),OFFSET(FX63,0,260))</f>
        <v>0.63866666666666672</v>
      </c>
      <c r="FF63" s="769">
        <f ca="1">(FD63/FE63)-1</f>
        <v>0.46520514140807845</v>
      </c>
      <c r="FG63" s="40"/>
      <c r="FH63" s="766">
        <f>AVERAGE(FH3:FH62)</f>
        <v>0.975833333333333</v>
      </c>
      <c r="FI63" s="768">
        <f ca="1">MEDIAN(OFFSET(GB63,0,0,1,1),OFFSET(GB63,0,20),OFFSET(GB63,0,40),OFFSET(GB63,0,60),OFFSET(GB63,0,80),OFFSET(GB63,0,100),OFFSET(GB63,0,120),OFFSET(GB63,0,140),OFFSET(GB63,0,160),OFFSET(GB63,0,180),OFFSET(GB63,0,200),OFFSET(GB63,0,220),OFFSET(GB63,0,240),OFFSET(GB63,0,260))</f>
        <v>0.70250000000000001</v>
      </c>
      <c r="FJ63" s="769">
        <f ca="1">(FH63/FI63)-1</f>
        <v>0.38908659549228886</v>
      </c>
      <c r="FK63" s="40"/>
      <c r="FL63" s="766">
        <f>AVERAGE(FL3:FL62)</f>
        <v>0.78383333333333316</v>
      </c>
      <c r="FM63" s="768">
        <f ca="1">MEDIAN(OFFSET(GF63,0,0,1,1),OFFSET(GF63,0,20),OFFSET(GF63,0,40),OFFSET(GF63,0,60),OFFSET(GF63,0,80),OFFSET(GF63,0,100),OFFSET(GF63,0,120),OFFSET(GF63,0,140),OFFSET(GF63,0,160),OFFSET(GF63,0,180),OFFSET(GF63,0,200),OFFSET(GF63,0,220),OFFSET(GF63,0,240),OFFSET(GF63,0,260))</f>
        <v>0.73716666666666675</v>
      </c>
      <c r="FN63" s="769">
        <f ca="1">(FL63/FM63)-1</f>
        <v>6.3305448790413443E-2</v>
      </c>
      <c r="FO63" s="40"/>
      <c r="FP63" s="766">
        <f>AVERAGE(FP3:FP62)</f>
        <v>0.52616666666666678</v>
      </c>
      <c r="FQ63" s="768">
        <f ca="1">MEDIAN(OFFSET(GJ63,0,0,1,1),OFFSET(GJ63,0,20),OFFSET(GJ63,0,40),OFFSET(GJ63,0,60),OFFSET(GJ63,0,80),OFFSET(GJ63,0,100),OFFSET(GJ63,0,120),OFFSET(GJ63,0,140),OFFSET(GJ63,0,160),OFFSET(GJ63,0,180),OFFSET(GJ63,0,200),OFFSET(GJ63,0,220),OFFSET(GJ63,0,240),OFFSET(GJ63,0,260))</f>
        <v>0.66350000000000031</v>
      </c>
      <c r="FR63" s="769">
        <f ca="1">(FP63/FQ63)-1</f>
        <v>-0.20698317005777467</v>
      </c>
      <c r="FS63" s="40"/>
      <c r="FT63" s="766">
        <f>AVERAGE(FT3:FT62)</f>
        <v>0.80933333333333302</v>
      </c>
      <c r="FU63" s="768">
        <f ca="1">MEDIAN(OFFSET(GN63,0,0,1,1),OFFSET(GN63,0,20),OFFSET(GN63,0,40),OFFSET(GN63,0,60),OFFSET(GN63,0,80),OFFSET(GN63,0,100),OFFSET(GN63,0,120),OFFSET(GN63,0,140),OFFSET(GN63,0,160),OFFSET(GN63,0,180),OFFSET(GN63,0,200),OFFSET(GN63,0,220),OFFSET(GN63,0,240),OFFSET(GN63,0,260))</f>
        <v>0.5861666666666665</v>
      </c>
      <c r="FV63" s="769">
        <f ca="1">(FT63/FU63)-1</f>
        <v>0.38072220642593102</v>
      </c>
      <c r="FW63" s="40"/>
      <c r="FX63" s="766">
        <f>AVERAGE(FX3:FX62)</f>
        <v>1.1703333333333334</v>
      </c>
      <c r="FY63" s="768">
        <f ca="1">MEDIAN(OFFSET(GR63,0,0,1,1),OFFSET(GR63,0,20),OFFSET(GR63,0,40),OFFSET(GR63,0,60),OFFSET(GR63,0,80),OFFSET(GR63,0,100),OFFSET(GR63,0,120),OFFSET(GR63,0,140),OFFSET(GR63,0,160),OFFSET(GR63,0,180),OFFSET(GR63,0,200),OFFSET(GR63,0,220),OFFSET(GR63,0,240),OFFSET(GR63,0,260))</f>
        <v>0.58199999999999996</v>
      </c>
      <c r="FZ63" s="769">
        <f ca="1">(FX63/FY63)-1</f>
        <v>1.0108820160366556</v>
      </c>
      <c r="GA63" s="40"/>
      <c r="GB63" s="766">
        <f>AVERAGE(GB3:GB62)</f>
        <v>0.61383333333333334</v>
      </c>
      <c r="GC63" s="768">
        <f ca="1">MEDIAN(OFFSET(GV63,0,0,1,1),OFFSET(GV63,0,20),OFFSET(GV63,0,40),OFFSET(GV63,0,60),OFFSET(GV63,0,80),OFFSET(GV63,0,100),OFFSET(GV63,0,120),OFFSET(GV63,0,140),OFFSET(GV63,0,160),OFFSET(GV63,0,180),OFFSET(GV63,0,200),OFFSET(GV63,0,220),OFFSET(GV63,0,240),OFFSET(GV63,0,260))</f>
        <v>0.70691666666666675</v>
      </c>
      <c r="GD63" s="769">
        <f ca="1">(GB63/GC63)-1</f>
        <v>-0.1316751149357539</v>
      </c>
      <c r="GE63" s="40"/>
      <c r="GF63" s="766">
        <f>AVERAGE(GF3:GF62)</f>
        <v>0.73716666666666675</v>
      </c>
      <c r="GG63" s="768">
        <f ca="1">MEDIAN(OFFSET(GZ63,0,0,1,1),OFFSET(GZ63,0,20),OFFSET(GZ63,0,40),OFFSET(GZ63,0,60),OFFSET(GZ63,0,80),OFFSET(GZ63,0,100),OFFSET(GZ63,0,120),OFFSET(GZ63,0,140),OFFSET(GZ63,0,160),OFFSET(GZ63,0,180),OFFSET(GZ63,0,200),OFFSET(GZ63,0,220),OFFSET(GZ63,0,240),OFFSET(GZ63,0,260))</f>
        <v>0.7074166666666668</v>
      </c>
      <c r="GH63" s="769">
        <f ca="1">(GF63/GG63)-1</f>
        <v>4.2054423371421734E-2</v>
      </c>
      <c r="GI63" s="40"/>
      <c r="GJ63" s="766">
        <f>AVERAGE(GJ3:GJ62)</f>
        <v>0.92312258968301963</v>
      </c>
      <c r="GK63" s="768">
        <f ca="1">MEDIAN(OFFSET(HD63,0,0,1,1),OFFSET(HD63,0,20),OFFSET(HD63,0,40),OFFSET(HD63,0,60),OFFSET(HD63,0,80),OFFSET(HD63,0,100),OFFSET(HD63,0,120),OFFSET(HD63,0,140),OFFSET(HD63,0,160),OFFSET(HD63,0,180),OFFSET(HD63,0,200),OFFSET(HD63,0,220),OFFSET(HD63,0,240),OFFSET(HD63,0,260))</f>
        <v>0.63975000000000037</v>
      </c>
      <c r="GL63" s="769">
        <f ca="1">(GJ63/GK63)-1</f>
        <v>0.44294269587029156</v>
      </c>
      <c r="GM63" s="40"/>
      <c r="GN63" s="766">
        <f>AVERAGE(GN3:GN62)</f>
        <v>0.3993333333333331</v>
      </c>
      <c r="GO63" s="768">
        <f ca="1">MEDIAN(OFFSET(HH63,0,0,1,1),OFFSET(HH63,0,20),OFFSET(HH63,0,40),OFFSET(HH63,0,60),OFFSET(HH63,0,80),OFFSET(HH63,0,100),OFFSET(HH63,0,120),OFFSET(HH63,0,140),OFFSET(HH63,0,160),OFFSET(HH63,0,180),OFFSET(HH63,0,200),OFFSET(HH63,0,220),OFFSET(HH63,0,240),OFFSET(HH63,0,260))</f>
        <v>0.60466666666666657</v>
      </c>
      <c r="GP63" s="769">
        <f ca="1">(GN63/GO63)-1</f>
        <v>-0.33958103638368276</v>
      </c>
      <c r="GQ63" s="40"/>
      <c r="GR63" s="766">
        <f>AVERAGE(GR3:GR62)</f>
        <v>0.58199999999999996</v>
      </c>
      <c r="GS63" s="768">
        <f ca="1">MEDIAN(OFFSET(HL63,0,0,1,1),OFFSET(HL63,0,20),OFFSET(HL63,0,40),OFFSET(HL63,0,60),OFFSET(HL63,0,80),OFFSET(HL63,0,100),OFFSET(HL63,0,120),OFFSET(HL63,0,140),OFFSET(HL63,0,160),OFFSET(HL63,0,180),OFFSET(HL63,0,200),OFFSET(HL63,0,220),OFFSET(HL63,0,240),OFFSET(HL63,0,260))</f>
        <v>0.62775000000000003</v>
      </c>
      <c r="GT63" s="769">
        <f ca="1">(GR63/GS63)-1</f>
        <v>-7.2879330943847132E-2</v>
      </c>
      <c r="GU63" s="40"/>
      <c r="GV63" s="766">
        <f>AVERAGE(GV3:GV62)</f>
        <v>0.94366666666666654</v>
      </c>
      <c r="GW63" s="768">
        <f ca="1">MEDIAN(OFFSET(HP63,0,0,1,1),OFFSET(HP63,0,20),OFFSET(HP63,0,40),OFFSET(HP63,0,60),OFFSET(HP63,0,80),OFFSET(HP63,0,100),OFFSET(HP63,0,120),OFFSET(HP63,0,140),OFFSET(HP63,0,160),OFFSET(HP63,0,180),OFFSET(HP63,0,200),OFFSET(HP63,0,220),OFFSET(HP63,0,240),OFFSET(HP63,0,260))</f>
        <v>0.70250000000000001</v>
      </c>
      <c r="GX63" s="769">
        <f ca="1">(GV63/GW63)-1</f>
        <v>0.34329774614472108</v>
      </c>
      <c r="GY63" s="40"/>
      <c r="GZ63" s="766">
        <f>AVERAGE(GZ3:GZ62)</f>
        <v>0.5824999999999998</v>
      </c>
      <c r="HA63" s="768">
        <f ca="1">MEDIAN(OFFSET(HT63,0,0,1,1),OFFSET(HT63,0,20),OFFSET(HT63,0,40),OFFSET(HT63,0,60),OFFSET(HT63,0,80),OFFSET(HT63,0,100),OFFSET(HT63,0,120),OFFSET(HT63,0,140),OFFSET(HT63,0,160),OFFSET(HT63,0,180),OFFSET(HT63,0,200),OFFSET(HT63,0,220),OFFSET(HT63,0,240),OFFSET(HT63,0,260))</f>
        <v>0.77766666666666673</v>
      </c>
      <c r="HB63" s="769">
        <f ca="1">(GZ63/HA63)-1</f>
        <v>-0.25096442348907022</v>
      </c>
      <c r="HC63" s="40"/>
      <c r="HD63" s="766">
        <f>AVERAGE(HD3:HD62)</f>
        <v>0.69949999999999968</v>
      </c>
      <c r="HE63" s="768">
        <f ca="1">MEDIAN(OFFSET(HX63,0,0,1,1),OFFSET(HX63,0,20),OFFSET(HX63,0,40),OFFSET(HX63,0,60),OFFSET(HX63,0,80),OFFSET(HX63,0,100),OFFSET(HX63,0,120),OFFSET(HX63,0,140),OFFSET(HX63,0,160),OFFSET(HX63,0,180),OFFSET(HX63,0,200),OFFSET(HX63,0,220),OFFSET(HX63,0,240),OFFSET(HX63,0,260))</f>
        <v>0.61600000000000044</v>
      </c>
      <c r="HF63" s="769">
        <f ca="1">(HD63/HE63)-1</f>
        <v>0.1355519480519467</v>
      </c>
      <c r="HG63" s="40"/>
      <c r="HH63" s="766">
        <f>AVERAGE(HH3:HH62)</f>
        <v>0.76633333333333331</v>
      </c>
      <c r="HI63" s="768">
        <f ca="1">MEDIAN(OFFSET(IB63,0,0,1,1),OFFSET(IB63,0,20),OFFSET(IB63,0,40),OFFSET(IB63,0,60),OFFSET(IB63,0,80),OFFSET(IB63,0,100),OFFSET(IB63,0,120),OFFSET(IB63,0,140),OFFSET(IB63,0,160),OFFSET(IB63,0,180),OFFSET(IB63,0,200),OFFSET(IB63,0,220),OFFSET(IB63,0,240),OFFSET(IB63,0,260))</f>
        <v>0.5861666666666665</v>
      </c>
      <c r="HJ63" s="769">
        <f ca="1">(HH63/HI63)-1</f>
        <v>0.30736423087858999</v>
      </c>
      <c r="HK63" s="40"/>
      <c r="HL63" s="766">
        <f>AVERAGE(HL3:HL62)</f>
        <v>0.72699999999999998</v>
      </c>
      <c r="HM63" s="768">
        <f ca="1">MEDIAN(OFFSET(IF63,0,0,1,1),OFFSET(IF63,0,20),OFFSET(IF63,0,40),OFFSET(IF63,0,60),OFFSET(IF63,0,80),OFFSET(IF63,0,100),OFFSET(IF63,0,120),OFFSET(IF63,0,140),OFFSET(IF63,0,160),OFFSET(IF63,0,180),OFFSET(IF63,0,200),OFFSET(IF63,0,220),OFFSET(IF63,0,240),OFFSET(IF63,0,260))</f>
        <v>0.56016666666666659</v>
      </c>
      <c r="HN63" s="769">
        <f ca="1">(HL63/HM63)-1</f>
        <v>0.29782802737280578</v>
      </c>
      <c r="HO63" s="40"/>
      <c r="HP63" s="766">
        <f>AVERAGE(HP3:HP62)</f>
        <v>0.54116666666666668</v>
      </c>
      <c r="HQ63" s="768">
        <f ca="1">MEDIAN(OFFSET(IJ63,0,0,1,1),OFFSET(IJ63,0,20),OFFSET(IJ63,0,40),OFFSET(IJ63,0,60),OFFSET(IJ63,0,80),OFFSET(IJ63,0,100),OFFSET(IJ63,0,120),OFFSET(IJ63,0,140),OFFSET(IJ63,0,160),OFFSET(IJ63,0,180),OFFSET(IJ63,0,200),OFFSET(IJ63,0,220),OFFSET(IJ63,0,240),OFFSET(IJ63,0,260))</f>
        <v>0.70691666666666675</v>
      </c>
      <c r="HR63" s="769">
        <f ca="1">(HP63/HQ63)-1</f>
        <v>-0.23446893787575152</v>
      </c>
      <c r="HS63" s="40"/>
      <c r="HT63" s="766">
        <f>AVERAGE(HT3:HT62)</f>
        <v>0.96683333333333377</v>
      </c>
      <c r="HU63" s="768">
        <f ca="1">MEDIAN(OFFSET(IN63,0,0,1,1),OFFSET(IN63,0,20),OFFSET(IN63,0,40),OFFSET(IN63,0,60),OFFSET(IN63,0,80),OFFSET(IN63,0,100),OFFSET(IN63,0,120),OFFSET(IN63,0,140),OFFSET(IN63,0,160),OFFSET(IN63,0,180),OFFSET(IN63,0,200),OFFSET(IN63,0,220),OFFSET(IN63,0,240),OFFSET(IN63,0,260))</f>
        <v>0.7074166666666668</v>
      </c>
      <c r="HV63" s="769">
        <f ca="1">(HT63/HU63)-1</f>
        <v>0.36670985981858917</v>
      </c>
      <c r="HW63" s="40"/>
      <c r="HX63" s="766">
        <f>AVERAGE(HX3:HX62)</f>
        <v>0.66350000000000031</v>
      </c>
      <c r="HY63" s="768">
        <f ca="1">MEDIAN(OFFSET(IR63,0,0,1,1),OFFSET(IR63,0,20),OFFSET(IR63,0,40),OFFSET(IR63,0,60),OFFSET(IR63,0,80),OFFSET(IR63,0,100),OFFSET(IR63,0,120),OFFSET(IR63,0,140),OFFSET(IR63,0,160),OFFSET(IR63,0,180),OFFSET(IR63,0,200),OFFSET(IR63,0,220),OFFSET(IR63,0,240),OFFSET(IR63,0,260))</f>
        <v>0.52300000000000035</v>
      </c>
      <c r="HZ63" s="769">
        <f ca="1">(HX63/HY63)-1</f>
        <v>0.26864244741873788</v>
      </c>
      <c r="IA63" s="40"/>
      <c r="IB63" s="766">
        <f>AVERAGE(IB3:IB62)</f>
        <v>0.76033333333333353</v>
      </c>
      <c r="IC63" s="768">
        <f ca="1">MEDIAN(OFFSET(IV63,0,0,1,1),OFFSET(IV63,0,20),OFFSET(IV63,0,40),OFFSET(IV63,0,60),OFFSET(IV63,0,80),OFFSET(IV63,0,100),OFFSET(IV63,0,120),OFFSET(IV63,0,140),OFFSET(IV63,0,160),OFFSET(IV63,0,180),OFFSET(IV63,0,200),OFFSET(IV63,0,220),OFFSET(IV63,0,240),OFFSET(IV63,0,260))</f>
        <v>0.56216666666666648</v>
      </c>
      <c r="ID63" s="769">
        <f ca="1">(IB63/IC63)-1</f>
        <v>0.35250518825971033</v>
      </c>
      <c r="IE63" s="40"/>
      <c r="IF63" s="766">
        <f>AVERAGE(IF3:IF62)</f>
        <v>0.53149999999999997</v>
      </c>
      <c r="IG63" s="768">
        <f ca="1">MEDIAN(OFFSET(IZ63,0,0,1,1),OFFSET(IZ63,0,20),OFFSET(IZ63,0,40),OFFSET(IZ63,0,60),OFFSET(IZ63,0,80),OFFSET(IZ63,0,100),OFFSET(IZ63,0,120),OFFSET(IZ63,0,140),OFFSET(IZ63,0,160),OFFSET(IZ63,0,180),OFFSET(IZ63,0,200),OFFSET(IZ63,0,220),OFFSET(IZ63,0,240),OFFSET(IZ63,0,260))</f>
        <v>0.62775000000000003</v>
      </c>
      <c r="IH63" s="769">
        <f ca="1">(IF63/IG63)-1</f>
        <v>-0.15332536837913191</v>
      </c>
      <c r="II63" s="40"/>
      <c r="IJ63" s="766">
        <f>AVERAGE(IJ3:IJ62)</f>
        <v>0.69716666666666671</v>
      </c>
      <c r="IK63" s="768">
        <f ca="1">MEDIAN(OFFSET(JD63,0,0,1,1),OFFSET(JD63,0,20),OFFSET(JD63,0,40),OFFSET(JD63,0,60),OFFSET(JD63,0,80),OFFSET(JD63,0,100),OFFSET(JD63,0,120),OFFSET(JD63,0,140),OFFSET(JD63,0,160),OFFSET(JD63,0,180),OFFSET(JD63,0,200),OFFSET(JD63,0,220),OFFSET(JD63,0,240),OFFSET(JD63,0,260))</f>
        <v>0.71133333333333348</v>
      </c>
      <c r="IL63" s="769">
        <f ca="1">(IJ63/IK63)-1</f>
        <v>-1.9915651358950459E-2</v>
      </c>
      <c r="IM63" s="40"/>
      <c r="IN63" s="766">
        <f>AVERAGE(IN3:IN62)</f>
        <v>0.59583333333333344</v>
      </c>
      <c r="IO63" s="768">
        <f ca="1">MEDIAN(OFFSET(JH63,0,0,1,1),OFFSET(JH63,0,20),OFFSET(JH63,0,40),OFFSET(JH63,0,60),OFFSET(JH63,0,80),OFFSET(JH63,0,100),OFFSET(JH63,0,120),OFFSET(JH63,0,140),OFFSET(JH63,0,160),OFFSET(JH63,0,180),OFFSET(JH63,0,200),OFFSET(JH63,0,220),OFFSET(JH63,0,240),OFFSET(JH63,0,260))</f>
        <v>0.77766666666666673</v>
      </c>
      <c r="IP63" s="769">
        <f ca="1">(IN63/IO63)-1</f>
        <v>-0.23381911701671665</v>
      </c>
      <c r="IQ63" s="40"/>
      <c r="IR63" s="766">
        <f>AVERAGE(IR3:IR62)</f>
        <v>0.79983333333333329</v>
      </c>
      <c r="IS63" s="768">
        <f ca="1">MEDIAN(OFFSET(JL63,0,0,1,1),OFFSET(JL63,0,20),OFFSET(JL63,0,40),OFFSET(JL63,0,60),OFFSET(JL63,0,80),OFFSET(JL63,0,100),OFFSET(JL63,0,120),OFFSET(JL63,0,140),OFFSET(JL63,0,160),OFFSET(JL63,0,180),OFFSET(JL63,0,200),OFFSET(JL63,0,220),OFFSET(JL63,0,240),OFFSET(JL63,0,260))</f>
        <v>0.43000000000000022</v>
      </c>
      <c r="IT63" s="769">
        <f ca="1">(IR63/IS63)-1</f>
        <v>0.860077519379844</v>
      </c>
      <c r="IU63" s="40"/>
      <c r="IV63" s="766">
        <f>AVERAGE(IV3:IV62)</f>
        <v>0.29533333333333334</v>
      </c>
      <c r="IW63" s="768">
        <f ca="1">MEDIAN(OFFSET(JP63,0,0,1,1),OFFSET(JP63,0,20),OFFSET(JP63,0,40),OFFSET(JP63,0,60),OFFSET(JP63,0,80),OFFSET(JP63,0,100),OFFSET(JP63,0,120),OFFSET(JP63,0,140),OFFSET(JP63,0,160),OFFSET(JP63,0,180),OFFSET(JP63,0,200),OFFSET(JP63,0,220),OFFSET(JP63,0,240),OFFSET(JP63,0,260))</f>
        <v>0.5861666666666665</v>
      </c>
      <c r="IX63" s="769">
        <f ca="1">(IV63/IW63)-1</f>
        <v>-0.49616150127949943</v>
      </c>
      <c r="IY63" s="40"/>
      <c r="IZ63" s="766">
        <f>AVERAGE(IZ3:IZ62)</f>
        <v>0.69533333333333347</v>
      </c>
      <c r="JA63" s="768">
        <f ca="1">MEDIAN(OFFSET(JT63,0,0,1,1),OFFSET(JT63,0,20),OFFSET(JT63,0,40),OFFSET(JT63,0,60),OFFSET(JT63,0,80),OFFSET(JT63,0,100),OFFSET(JT63,0,120),OFFSET(JT63,0,140),OFFSET(JT63,0,160),OFFSET(JT63,0,180),OFFSET(JT63,0,200),OFFSET(JT63,0,220),OFFSET(JT63,0,240),OFFSET(JT63,0,260))</f>
        <v>0.56016666666666659</v>
      </c>
      <c r="JB63" s="769">
        <f ca="1">(IZ63/JA63)-1</f>
        <v>0.24129723296637939</v>
      </c>
      <c r="JC63" s="40"/>
      <c r="JD63" s="766">
        <f>AVERAGE(JD3:JD62)</f>
        <v>0.71133333333333348</v>
      </c>
      <c r="JE63" s="768">
        <f ca="1">MEDIAN(OFFSET(JX63,0,0,1,1),OFFSET(JX63,0,20),OFFSET(JX63,0,40),OFFSET(JX63,0,60),OFFSET(JX63,0,80),OFFSET(JX63,0,100),OFFSET(JX63,0,120),OFFSET(JX63,0,140),OFFSET(JX63,0,160),OFFSET(JX63,0,180),OFFSET(JX63,0,200),OFFSET(JX63,0,220),OFFSET(JX63,0,240),OFFSET(JX63,0,260))</f>
        <v>0.72808333333333319</v>
      </c>
      <c r="JF63" s="769">
        <f ca="1">(JD63/JE63)-1</f>
        <v>-2.300560833237919E-2</v>
      </c>
      <c r="JG63" s="40"/>
      <c r="JH63" s="766">
        <f>AVERAGE(JH3:JH62)</f>
        <v>0.63716666666666699</v>
      </c>
      <c r="JI63" s="768">
        <f ca="1">MEDIAN(OFFSET(KB63,0,0,1,1),OFFSET(KB63,0,20),OFFSET(KB63,0,40),OFFSET(KB63,0,60),OFFSET(KB63,0,80),OFFSET(KB63,0,100),OFFSET(KB63,0,120),OFFSET(KB63,0,140),OFFSET(KB63,0,160),OFFSET(KB63,0,180),OFFSET(KB63,0,200),OFFSET(KB63,0,220),OFFSET(KB63,0,240),OFFSET(KB63,0,260))</f>
        <v>0.91775000000000029</v>
      </c>
      <c r="JJ63" s="769">
        <f ca="1">(JH63/JI63)-1</f>
        <v>-0.30572959230000896</v>
      </c>
      <c r="JK63" s="40"/>
      <c r="JL63" s="766">
        <f>AVERAGE(JL3:JL62)</f>
        <v>0.43000000000000022</v>
      </c>
      <c r="JM63" s="768">
        <f ca="1">MEDIAN(OFFSET(KF63,0,0,1,1),OFFSET(KF63,0,20),OFFSET(KF63,0,40),OFFSET(KF63,0,60),OFFSET(KF63,0,80),OFFSET(KF63,0,100),OFFSET(KF63,0,120),OFFSET(KF63,0,140),OFFSET(KF63,0,160),OFFSET(KF63,0,180),OFFSET(KF63,0,200),OFFSET(KF63,0,220),OFFSET(KF63,0,240),OFFSET(KF63,0,260))</f>
        <v>0.49400000000000022</v>
      </c>
      <c r="JN63" s="769">
        <f ca="1">(JL63/JM63)-1</f>
        <v>-0.12955465587044523</v>
      </c>
      <c r="JO63" s="40"/>
      <c r="JP63" s="766">
        <f>AVERAGE(JP3:JP62)</f>
        <v>0.53816666666666635</v>
      </c>
      <c r="JQ63" s="768">
        <f ca="1">MEDIAN(OFFSET(KJ63,0,0,1,1),OFFSET(KJ63,0,20),OFFSET(KJ63,0,40),OFFSET(KJ63,0,60),OFFSET(KJ63,0,80),OFFSET(KJ63,0,100),OFFSET(KJ63,0,120),OFFSET(KJ63,0,140),OFFSET(KJ63,0,160),OFFSET(KJ63,0,180),OFFSET(KJ63,0,200),OFFSET(KJ63,0,220),OFFSET(KJ63,0,240),OFFSET(KJ63,0,260))</f>
        <v>0.60466666666666657</v>
      </c>
      <c r="JR63" s="769">
        <f ca="1">(JP63/JQ63)-1</f>
        <v>-0.10997794928335214</v>
      </c>
      <c r="JS63" s="40"/>
      <c r="JT63" s="766">
        <f>AVERAGE(JT3:JT62)</f>
        <v>0.56016666666666659</v>
      </c>
      <c r="JU63" s="768">
        <f ca="1">MEDIAN(OFFSET(KN63,0,0,1,1),OFFSET(KN63,0,20),OFFSET(KN63,0,40),OFFSET(KN63,0,60),OFFSET(KN63,0,80),OFFSET(KN63,0,100),OFFSET(KN63,0,120),OFFSET(KN63,0,140),OFFSET(KN63,0,160),OFFSET(KN63,0,180),OFFSET(KN63,0,200),OFFSET(KN63,0,220),OFFSET(KN63,0,240),OFFSET(KN63,0,260))</f>
        <v>0.62208333333333332</v>
      </c>
      <c r="JV63" s="769">
        <f ca="1">(JT63/JU63)-1</f>
        <v>-9.9531145344943228E-2</v>
      </c>
      <c r="JW63" s="40"/>
      <c r="JX63" s="766">
        <f>AVERAGE(JX3:JX62)</f>
        <v>0.75366666666666648</v>
      </c>
      <c r="JY63" s="768">
        <f ca="1">MEDIAN(OFFSET(KR63,0,0,1,1),OFFSET(KR63,0,20),OFFSET(KR63,0,40),OFFSET(KR63,0,60),OFFSET(KR63,0,80),OFFSET(KR63,0,100),OFFSET(KR63,0,120),OFFSET(KR63,0,140),OFFSET(KR63,0,160),OFFSET(KR63,0,180),OFFSET(KR63,0,200),OFFSET(KR63,0,220),OFFSET(KR63,0,240),OFFSET(KR63,0,260))</f>
        <v>0.70250000000000001</v>
      </c>
      <c r="JZ63" s="769">
        <f ca="1">(JX63/JY63)-1</f>
        <v>7.2835112692763548E-2</v>
      </c>
      <c r="KA63" s="40"/>
      <c r="KB63" s="766">
        <f>AVERAGE(KB3:KB62)</f>
        <v>1.0578333333333338</v>
      </c>
      <c r="KC63" s="768">
        <f ca="1">MEDIAN(OFFSET(KV63,0,0,1,1),OFFSET(KV63,0,20),OFFSET(KV63,0,40),OFFSET(KV63,0,60),OFFSET(KV63,0,80),OFFSET(KV63,0,100),OFFSET(KV63,0,120),OFFSET(KV63,0,140),OFFSET(KV63,0,160),OFFSET(KV63,0,180),OFFSET(KV63,0,200),OFFSET(KV63,0,220),OFFSET(KV63,0,240),OFFSET(KV63,0,260))</f>
        <v>0.77766666666666673</v>
      </c>
      <c r="KD63" s="769">
        <f ca="1">(KB63/KC63)-1</f>
        <v>0.36026575225032209</v>
      </c>
      <c r="KE63" s="40"/>
      <c r="KF63" s="766">
        <f>AVERAGE(KF3:KF62)</f>
        <v>0.61600000000000044</v>
      </c>
      <c r="KG63" s="768">
        <f ca="1">MEDIAN(OFFSET(KZ63,0,0,1,1),OFFSET(KZ63,0,20),OFFSET(KZ63,0,40),OFFSET(KZ63,0,60),OFFSET(KZ63,0,80),OFFSET(KZ63,0,100),OFFSET(KZ63,0,120),OFFSET(KZ63,0,140),OFFSET(KZ63,0,160),OFFSET(KZ63,0,180),OFFSET(KZ63,0,200),OFFSET(KZ63,0,220),OFFSET(KZ63,0,240),OFFSET(KZ63,0,260))</f>
        <v>0.372</v>
      </c>
      <c r="KH63" s="769">
        <f ca="1">(KF63/KG63)-1</f>
        <v>0.65591397849462485</v>
      </c>
      <c r="KI63" s="40"/>
      <c r="KJ63" s="766">
        <f>AVERAGE(KJ3:KJ62)</f>
        <v>0.5861666666666665</v>
      </c>
      <c r="KK63" s="768">
        <f ca="1">MEDIAN(OFFSET(LD63,0,0,1,1),OFFSET(LD63,0,20),OFFSET(LD63,0,40),OFFSET(LD63,0,60),OFFSET(LD63,0,80),OFFSET(LD63,0,100),OFFSET(LD63,0,120),OFFSET(LD63,0,140),OFFSET(LD63,0,160),OFFSET(LD63,0,180),OFFSET(LD63,0,200),OFFSET(LD63,0,220),OFFSET(LD63,0,240),OFFSET(LD63,0,260))</f>
        <v>0.62316666666666665</v>
      </c>
      <c r="KL63" s="769">
        <f ca="1">(KJ63/KK63)-1</f>
        <v>-5.9374164215030945E-2</v>
      </c>
      <c r="KM63" s="40"/>
      <c r="KN63" s="766">
        <f>AVERAGE(KN3:KN62)</f>
        <v>0.71049999999999991</v>
      </c>
      <c r="KO63" s="768">
        <f ca="1">MEDIAN(OFFSET(LH63,0,0,1,1),OFFSET(LH63,0,20),OFFSET(LH63,0,40),OFFSET(LH63,0,60),OFFSET(LH63,0,80),OFFSET(LH63,0,100),OFFSET(LH63,0,120),OFFSET(LH63,0,140),OFFSET(LH63,0,160),OFFSET(LH63,0,180),OFFSET(LH63,0,200),OFFSET(LH63,0,220),OFFSET(LH63,0,240),OFFSET(LH63,0,260))</f>
        <v>0.53366666666666684</v>
      </c>
      <c r="KP63" s="769">
        <f ca="1">(KN63/KO63)-1</f>
        <v>0.33135540287320353</v>
      </c>
      <c r="KQ63" s="40"/>
      <c r="KR63" s="766">
        <f>AVERAGE(KR3:KR62)</f>
        <v>0.70250000000000001</v>
      </c>
      <c r="KS63" s="768" t="e">
        <f ca="1">MEDIAN(OFFSET(LL63,0,0,1,1),OFFSET(LL63,0,20),OFFSET(LL63,0,40),OFFSET(LL63,0,60),OFFSET(LL63,0,80),OFFSET(LL63,0,100),OFFSET(LL63,0,120),OFFSET(LL63,0,140),OFFSET(LL63,0,160),OFFSET(LL63,0,180),OFFSET(LL63,0,200),OFFSET(LL63,0,220),OFFSET(LL63,0,240),OFFSET(LL63,0,260))</f>
        <v>#NUM!</v>
      </c>
      <c r="KT63" s="769" t="e">
        <f ca="1">(KR63/KS63)-1</f>
        <v>#NUM!</v>
      </c>
      <c r="KU63" s="40"/>
      <c r="KV63" s="766">
        <f>AVERAGE(KV3:KV62)</f>
        <v>0.77766666666666673</v>
      </c>
      <c r="KW63" s="768" t="e">
        <f ca="1">MEDIAN(OFFSET(LP63,0,0,1,1),OFFSET(LP63,0,20),OFFSET(LP63,0,40),OFFSET(LP63,0,60),OFFSET(LP63,0,80),OFFSET(LP63,0,100),OFFSET(LP63,0,120),OFFSET(LP63,0,140),OFFSET(LP63,0,160),OFFSET(LP63,0,180),OFFSET(LP63,0,200),OFFSET(LP63,0,220),OFFSET(LP63,0,240),OFFSET(LP63,0,260))</f>
        <v>#NUM!</v>
      </c>
      <c r="KX63" s="769" t="e">
        <f ca="1">(KV63/KW63)-1</f>
        <v>#NUM!</v>
      </c>
      <c r="KY63" s="40"/>
      <c r="KZ63" s="766">
        <f>AVERAGE(KZ3:KZ62)</f>
        <v>0.372</v>
      </c>
      <c r="LA63" s="768" t="e">
        <f ca="1">MEDIAN(OFFSET(LT63,0,0,1,1),OFFSET(LT63,0,20),OFFSET(LT63,0,40),OFFSET(LT63,0,60),OFFSET(LT63,0,80),OFFSET(LT63,0,100),OFFSET(LT63,0,120),OFFSET(LT63,0,140),OFFSET(LT63,0,160),OFFSET(LT63,0,180),OFFSET(LT63,0,200),OFFSET(LT63,0,220),OFFSET(LT63,0,240),OFFSET(LT63,0,260))</f>
        <v>#NUM!</v>
      </c>
      <c r="LB63" s="769" t="e">
        <f ca="1">(KZ63/LA63)-1</f>
        <v>#NUM!</v>
      </c>
      <c r="LC63" s="40"/>
      <c r="LD63" s="766">
        <f>AVERAGE(LD3:LD62)</f>
        <v>0.62316666666666665</v>
      </c>
      <c r="LE63" s="768" t="e">
        <f ca="1">MEDIAN(OFFSET(LX63,0,0,1,1),OFFSET(LX63,0,20),OFFSET(LX63,0,40),OFFSET(LX63,0,60),OFFSET(LX63,0,80),OFFSET(LX63,0,100),OFFSET(LX63,0,120),OFFSET(LX63,0,140),OFFSET(LX63,0,160),OFFSET(LX63,0,180),OFFSET(LX63,0,200),OFFSET(LX63,0,220),OFFSET(LX63,0,240),OFFSET(LX63,0,260))</f>
        <v>#NUM!</v>
      </c>
      <c r="LF63" s="769" t="e">
        <f ca="1">(LD63/LE63)-1</f>
        <v>#NUM!</v>
      </c>
      <c r="LG63" s="40"/>
      <c r="LH63" s="766">
        <f>AVERAGE(LH3:LH62)</f>
        <v>0.53366666666666684</v>
      </c>
      <c r="LI63" s="41"/>
      <c r="LJ63" s="770"/>
      <c r="LK63" s="40"/>
      <c r="LL63" s="771"/>
      <c r="LM63" s="41"/>
      <c r="LN63" s="770"/>
      <c r="LO63" s="40"/>
      <c r="LP63" s="771"/>
      <c r="LQ63" s="41"/>
      <c r="LR63" s="770"/>
      <c r="LS63" s="40"/>
      <c r="LT63" s="771"/>
      <c r="LU63" s="41"/>
      <c r="LV63" s="274"/>
      <c r="LW63" s="274"/>
      <c r="LX63" s="772"/>
      <c r="LY63" s="5"/>
      <c r="LZ63" s="5"/>
      <c r="MA63" s="5"/>
      <c r="MB63" s="5"/>
    </row>
    <row r="64" spans="1:340" x14ac:dyDescent="0.2">
      <c r="A64" s="765" t="s">
        <v>3758</v>
      </c>
      <c r="B64" s="5"/>
      <c r="C64" s="772"/>
      <c r="D64" s="89" t="s">
        <v>3759</v>
      </c>
      <c r="E64" s="773" t="s">
        <v>3760</v>
      </c>
      <c r="F64" s="773" t="s">
        <v>3761</v>
      </c>
      <c r="G64" s="5"/>
      <c r="H64" s="89" t="s">
        <v>3762</v>
      </c>
      <c r="I64" s="773" t="s">
        <v>3763</v>
      </c>
      <c r="J64" s="773" t="s">
        <v>3761</v>
      </c>
      <c r="K64" s="5"/>
      <c r="L64" s="89" t="s">
        <v>3764</v>
      </c>
      <c r="M64" s="773" t="s">
        <v>3765</v>
      </c>
      <c r="N64" s="773" t="s">
        <v>3761</v>
      </c>
      <c r="O64" s="5"/>
      <c r="P64" s="89" t="s">
        <v>3762</v>
      </c>
      <c r="Q64" s="773" t="s">
        <v>3766</v>
      </c>
      <c r="R64" s="773" t="s">
        <v>3761</v>
      </c>
      <c r="S64" s="5"/>
      <c r="T64" s="89" t="s">
        <v>3762</v>
      </c>
      <c r="U64" s="773" t="s">
        <v>3767</v>
      </c>
      <c r="V64" s="773" t="s">
        <v>3761</v>
      </c>
      <c r="W64" s="5"/>
      <c r="X64" s="89" t="s">
        <v>3762</v>
      </c>
      <c r="Y64" s="773" t="s">
        <v>3760</v>
      </c>
      <c r="Z64" s="773" t="s">
        <v>3761</v>
      </c>
      <c r="AA64" s="5"/>
      <c r="AB64" s="89" t="s">
        <v>3762</v>
      </c>
      <c r="AC64" s="773" t="s">
        <v>3763</v>
      </c>
      <c r="AD64" s="773" t="s">
        <v>3761</v>
      </c>
      <c r="AE64" s="5"/>
      <c r="AF64" s="89" t="s">
        <v>3768</v>
      </c>
      <c r="AG64" s="773" t="s">
        <v>3765</v>
      </c>
      <c r="AH64" s="773" t="s">
        <v>3761</v>
      </c>
      <c r="AI64" s="5"/>
      <c r="AJ64" s="89" t="s">
        <v>3769</v>
      </c>
      <c r="AK64" s="773" t="s">
        <v>3770</v>
      </c>
      <c r="AL64" s="773" t="s">
        <v>3761</v>
      </c>
      <c r="AM64" s="5"/>
      <c r="AN64" s="89" t="s">
        <v>3762</v>
      </c>
      <c r="AO64" s="773" t="s">
        <v>3771</v>
      </c>
      <c r="AP64" s="773" t="s">
        <v>3761</v>
      </c>
      <c r="AQ64" s="5"/>
      <c r="AR64" s="89" t="s">
        <v>3762</v>
      </c>
      <c r="AS64" s="773" t="s">
        <v>3772</v>
      </c>
      <c r="AT64" s="773" t="s">
        <v>3761</v>
      </c>
      <c r="AU64" s="5"/>
      <c r="AV64" s="89" t="s">
        <v>3762</v>
      </c>
      <c r="AW64" s="773" t="s">
        <v>3773</v>
      </c>
      <c r="AX64" s="773" t="s">
        <v>3761</v>
      </c>
      <c r="AY64" s="5"/>
      <c r="AZ64" s="89" t="s">
        <v>3762</v>
      </c>
      <c r="BA64" s="773" t="s">
        <v>3774</v>
      </c>
      <c r="BB64" s="773" t="s">
        <v>3761</v>
      </c>
      <c r="BC64" s="5"/>
      <c r="BD64" s="89" t="s">
        <v>3762</v>
      </c>
      <c r="BE64" s="773" t="s">
        <v>3770</v>
      </c>
      <c r="BF64" s="773" t="s">
        <v>3761</v>
      </c>
      <c r="BG64" s="5"/>
      <c r="BH64" s="89" t="s">
        <v>3762</v>
      </c>
      <c r="BI64" s="773" t="s">
        <v>3771</v>
      </c>
      <c r="BJ64" s="773" t="s">
        <v>3761</v>
      </c>
      <c r="BK64" s="5"/>
      <c r="BL64" s="89" t="s">
        <v>3775</v>
      </c>
      <c r="BM64" s="773" t="s">
        <v>3772</v>
      </c>
      <c r="BN64" s="773" t="s">
        <v>3761</v>
      </c>
      <c r="BO64" s="5"/>
      <c r="BP64" s="89" t="s">
        <v>3762</v>
      </c>
      <c r="BQ64" s="773" t="s">
        <v>3773</v>
      </c>
      <c r="BR64" s="773" t="s">
        <v>3761</v>
      </c>
      <c r="BS64" s="5"/>
      <c r="BT64" s="89" t="s">
        <v>3762</v>
      </c>
      <c r="BU64" s="773" t="s">
        <v>3774</v>
      </c>
      <c r="BV64" s="773" t="s">
        <v>3761</v>
      </c>
      <c r="BW64" s="5"/>
      <c r="BX64" s="89" t="s">
        <v>3759</v>
      </c>
      <c r="BY64" s="773" t="s">
        <v>3770</v>
      </c>
      <c r="BZ64" s="773" t="s">
        <v>3761</v>
      </c>
      <c r="CA64" s="5"/>
      <c r="CB64" s="89" t="s">
        <v>3759</v>
      </c>
      <c r="CC64" s="773" t="s">
        <v>3771</v>
      </c>
      <c r="CD64" s="773" t="s">
        <v>3761</v>
      </c>
      <c r="CE64" s="5"/>
      <c r="CF64" s="89" t="s">
        <v>3759</v>
      </c>
      <c r="CG64" s="773" t="s">
        <v>3772</v>
      </c>
      <c r="CH64" s="773" t="s">
        <v>3761</v>
      </c>
      <c r="CI64" s="5"/>
      <c r="CJ64" s="89" t="s">
        <v>3762</v>
      </c>
      <c r="CK64" s="773" t="s">
        <v>3773</v>
      </c>
      <c r="CL64" s="773" t="s">
        <v>3761</v>
      </c>
      <c r="CM64" s="5"/>
      <c r="CN64" s="89" t="s">
        <v>3764</v>
      </c>
      <c r="CO64" s="773" t="s">
        <v>3774</v>
      </c>
      <c r="CP64" s="773" t="s">
        <v>3761</v>
      </c>
      <c r="CQ64" s="5"/>
      <c r="CR64" s="89" t="s">
        <v>3759</v>
      </c>
      <c r="CS64" s="773" t="s">
        <v>3770</v>
      </c>
      <c r="CT64" s="773" t="s">
        <v>3761</v>
      </c>
      <c r="CU64" s="5"/>
      <c r="CV64" s="89" t="s">
        <v>3759</v>
      </c>
      <c r="CW64" s="773" t="s">
        <v>3771</v>
      </c>
      <c r="CX64" s="773" t="s">
        <v>3761</v>
      </c>
      <c r="CY64" s="5"/>
      <c r="CZ64" s="89" t="s">
        <v>3759</v>
      </c>
      <c r="DA64" s="773" t="s">
        <v>3772</v>
      </c>
      <c r="DB64" s="773" t="s">
        <v>3761</v>
      </c>
      <c r="DC64" s="5"/>
      <c r="DD64" s="89" t="s">
        <v>3769</v>
      </c>
      <c r="DE64" s="773" t="s">
        <v>3773</v>
      </c>
      <c r="DF64" s="773" t="s">
        <v>3761</v>
      </c>
      <c r="DG64" s="5"/>
      <c r="DH64" s="89" t="s">
        <v>3775</v>
      </c>
      <c r="DI64" s="773" t="s">
        <v>3774</v>
      </c>
      <c r="DJ64" s="773" t="s">
        <v>3761</v>
      </c>
      <c r="DK64" s="5"/>
      <c r="DL64" s="89" t="s">
        <v>3769</v>
      </c>
      <c r="DM64" s="773" t="s">
        <v>3770</v>
      </c>
      <c r="DN64" s="773" t="s">
        <v>3761</v>
      </c>
      <c r="DO64" s="5"/>
      <c r="DP64" s="89" t="s">
        <v>3762</v>
      </c>
      <c r="DQ64" s="773" t="s">
        <v>3771</v>
      </c>
      <c r="DR64" s="773" t="s">
        <v>3761</v>
      </c>
      <c r="DS64" s="5"/>
      <c r="DT64" s="89" t="s">
        <v>3762</v>
      </c>
      <c r="DU64" s="5"/>
      <c r="DV64" s="5"/>
      <c r="DW64" s="5"/>
      <c r="DX64" s="89" t="s">
        <v>3762</v>
      </c>
      <c r="DY64" s="5"/>
      <c r="DZ64" s="5"/>
      <c r="EA64" s="5"/>
      <c r="EB64" s="89" t="s">
        <v>3764</v>
      </c>
      <c r="EC64" s="5"/>
      <c r="ED64" s="5"/>
      <c r="EE64" s="5"/>
      <c r="EF64" s="89" t="s">
        <v>3769</v>
      </c>
      <c r="EG64" s="5"/>
      <c r="EH64" s="5"/>
      <c r="EI64" s="5"/>
      <c r="EJ64" s="89" t="s">
        <v>3762</v>
      </c>
      <c r="EK64" s="5"/>
      <c r="EL64" s="5"/>
      <c r="EM64" s="5"/>
      <c r="EN64" s="89" t="s">
        <v>3762</v>
      </c>
      <c r="EO64" s="5"/>
      <c r="EP64" s="5"/>
      <c r="EQ64" s="5"/>
      <c r="ER64" s="89" t="s">
        <v>3762</v>
      </c>
      <c r="ES64" s="5"/>
      <c r="ET64" s="5"/>
      <c r="EU64" s="5"/>
      <c r="EV64" s="89" t="s">
        <v>3764</v>
      </c>
      <c r="EW64" s="5"/>
      <c r="EX64" s="5"/>
      <c r="EY64" s="5"/>
      <c r="EZ64" s="5"/>
      <c r="FA64" s="5"/>
      <c r="FB64" s="5"/>
      <c r="FC64" s="5"/>
      <c r="FD64" s="89" t="s">
        <v>3762</v>
      </c>
      <c r="FE64" s="5"/>
      <c r="FF64" s="5"/>
      <c r="FG64" s="5"/>
      <c r="FH64" s="89" t="s">
        <v>3762</v>
      </c>
      <c r="FI64" s="5"/>
      <c r="FJ64" s="5"/>
      <c r="FK64" s="5"/>
      <c r="FL64" s="89" t="s">
        <v>3759</v>
      </c>
      <c r="FM64" s="5"/>
      <c r="FN64" s="5"/>
      <c r="FO64" s="5"/>
      <c r="FP64" s="89" t="s">
        <v>3775</v>
      </c>
      <c r="FQ64" s="5"/>
      <c r="FR64" s="5"/>
      <c r="FS64" s="5"/>
      <c r="FT64" s="89" t="s">
        <v>3769</v>
      </c>
      <c r="FU64" s="5"/>
      <c r="FV64" s="5"/>
      <c r="FW64" s="41"/>
      <c r="FX64" s="89" t="s">
        <v>3762</v>
      </c>
      <c r="FY64" s="5"/>
      <c r="FZ64" s="5"/>
      <c r="GA64" s="5"/>
      <c r="GB64" s="89" t="s">
        <v>3762</v>
      </c>
      <c r="GC64" s="5"/>
      <c r="GD64" s="5"/>
      <c r="GE64" s="5"/>
      <c r="GF64" s="5"/>
      <c r="GG64" s="89" t="s">
        <v>3759</v>
      </c>
      <c r="GH64" s="5"/>
      <c r="GI64" s="5"/>
      <c r="GJ64" s="89" t="s">
        <v>3762</v>
      </c>
      <c r="GK64" s="5"/>
      <c r="GL64" s="5"/>
      <c r="GM64" s="5"/>
      <c r="GN64" s="89" t="s">
        <v>3769</v>
      </c>
      <c r="GO64" s="5"/>
      <c r="GP64" s="5"/>
      <c r="GQ64" s="5"/>
      <c r="GR64" s="89" t="s">
        <v>3762</v>
      </c>
      <c r="GS64" s="774"/>
      <c r="GT64" s="774"/>
      <c r="GU64" s="774"/>
      <c r="GV64" s="16" t="s">
        <v>3762</v>
      </c>
      <c r="GW64" s="274"/>
      <c r="GX64" s="775"/>
      <c r="GY64" s="40"/>
      <c r="GZ64" s="65" t="s">
        <v>3759</v>
      </c>
      <c r="HA64" s="40"/>
      <c r="HB64" s="40"/>
      <c r="HC64" s="40"/>
      <c r="HD64" s="65" t="s">
        <v>3764</v>
      </c>
      <c r="HE64" s="40"/>
      <c r="HF64" s="40"/>
      <c r="HG64" s="40"/>
      <c r="HH64" s="65" t="s">
        <v>3759</v>
      </c>
      <c r="HI64" s="40"/>
      <c r="HJ64" s="40"/>
      <c r="HK64" s="40"/>
      <c r="HL64" s="65" t="s">
        <v>3759</v>
      </c>
      <c r="HM64" s="40"/>
      <c r="HN64" s="40"/>
      <c r="HO64" s="40"/>
      <c r="HP64" s="65" t="s">
        <v>3775</v>
      </c>
      <c r="HQ64" s="40"/>
      <c r="HR64" s="40"/>
      <c r="HS64" s="40"/>
      <c r="HT64" s="65" t="s">
        <v>3759</v>
      </c>
      <c r="HU64" s="40"/>
      <c r="HV64" s="5"/>
      <c r="HW64" s="40"/>
      <c r="HX64" s="65" t="s">
        <v>3764</v>
      </c>
      <c r="HY64" s="40"/>
      <c r="HZ64" s="63"/>
      <c r="IA64" s="40"/>
      <c r="IB64" s="65" t="s">
        <v>3759</v>
      </c>
      <c r="IC64" s="63"/>
      <c r="ID64" s="63"/>
      <c r="IE64" s="40"/>
      <c r="IF64" s="65" t="s">
        <v>3775</v>
      </c>
      <c r="IG64" s="40"/>
      <c r="IH64" s="40"/>
      <c r="II64" s="40"/>
      <c r="IJ64" s="65" t="s">
        <v>3776</v>
      </c>
      <c r="IK64" s="40"/>
      <c r="IL64" s="274"/>
      <c r="IM64" s="40"/>
      <c r="IN64" s="65" t="s">
        <v>3777</v>
      </c>
      <c r="IO64" s="40"/>
      <c r="IP64" s="40"/>
      <c r="IQ64" s="40"/>
      <c r="IR64" s="65" t="s">
        <v>3764</v>
      </c>
      <c r="IS64" s="40"/>
      <c r="IT64" s="40"/>
      <c r="IU64" s="40"/>
      <c r="IV64" s="65" t="s">
        <v>3777</v>
      </c>
      <c r="IW64" s="40"/>
      <c r="IX64" s="40"/>
      <c r="IY64" s="40"/>
      <c r="IZ64" s="65" t="s">
        <v>3762</v>
      </c>
      <c r="JA64" s="40"/>
      <c r="JB64" s="40"/>
      <c r="JC64" s="40"/>
      <c r="JD64" s="65" t="s">
        <v>3762</v>
      </c>
      <c r="JE64" s="40"/>
      <c r="JF64" s="40"/>
      <c r="JG64" s="40"/>
      <c r="JH64" s="274"/>
      <c r="JI64" s="40"/>
      <c r="JJ64" s="40"/>
      <c r="JK64" s="40"/>
      <c r="JL64" s="274"/>
      <c r="JM64" s="40"/>
      <c r="JN64" s="40"/>
      <c r="JO64" s="63"/>
      <c r="JP64" s="274"/>
      <c r="JQ64" s="63"/>
      <c r="JR64" s="63"/>
      <c r="JS64" s="63"/>
      <c r="JT64" s="274"/>
      <c r="JU64" s="63"/>
      <c r="JV64" s="82">
        <f ca="1">SUM(JV63,JZ63,KD63,KH63,KL63)/5</f>
        <v>0.18602190677554725</v>
      </c>
      <c r="JW64" s="63"/>
      <c r="JX64" s="325">
        <f ca="1">AVERAGE(JX63:KN63)</f>
        <v>0.55608774455559074</v>
      </c>
      <c r="JY64" s="63"/>
      <c r="JZ64" s="63"/>
      <c r="KA64" s="40"/>
      <c r="KB64" s="274"/>
      <c r="KC64" s="40"/>
      <c r="KD64" s="40"/>
      <c r="KE64" s="63"/>
      <c r="KF64" s="274"/>
      <c r="KG64" s="63"/>
      <c r="KH64" s="63"/>
      <c r="KI64" s="40"/>
      <c r="KJ64" s="274"/>
      <c r="KK64" s="40"/>
      <c r="KL64" s="40"/>
      <c r="KM64" s="63"/>
      <c r="KN64" s="274"/>
      <c r="KO64" s="63"/>
      <c r="KP64" s="63"/>
      <c r="KQ64" s="40"/>
      <c r="KR64" s="480" t="e">
        <f ca="1">AVERAGE(KR63:LH63)</f>
        <v>#NUM!</v>
      </c>
      <c r="KS64" s="40"/>
      <c r="KT64" s="40"/>
      <c r="KU64" s="63"/>
      <c r="KV64" s="274"/>
      <c r="KW64" s="63"/>
      <c r="KX64" s="63"/>
      <c r="KY64" s="40"/>
      <c r="KZ64" s="274"/>
      <c r="LA64" s="40"/>
      <c r="LB64" s="40"/>
      <c r="LC64" s="63"/>
      <c r="LD64" s="274"/>
      <c r="LE64" s="63"/>
      <c r="LF64" s="63"/>
      <c r="LG64" s="40"/>
      <c r="LH64" s="274"/>
      <c r="LI64" s="274"/>
      <c r="LJ64" s="274"/>
      <c r="LK64" s="274"/>
      <c r="LL64" s="274"/>
      <c r="LM64" s="274"/>
      <c r="LN64" s="274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</row>
    <row r="65" spans="1:340" x14ac:dyDescent="0.2">
      <c r="A65" s="765" t="s">
        <v>3778</v>
      </c>
      <c r="B65" s="711"/>
      <c r="C65" s="772"/>
      <c r="D65" s="89" t="s">
        <v>3769</v>
      </c>
      <c r="E65" s="5"/>
      <c r="F65" s="5"/>
      <c r="G65" s="5"/>
      <c r="H65" s="89" t="s">
        <v>3779</v>
      </c>
      <c r="I65" s="5"/>
      <c r="J65" s="5"/>
      <c r="K65" s="5"/>
      <c r="L65" s="89" t="s">
        <v>3775</v>
      </c>
      <c r="M65" s="5"/>
      <c r="N65" s="5"/>
      <c r="O65" s="5"/>
      <c r="P65" s="89" t="s">
        <v>3759</v>
      </c>
      <c r="Q65" s="5"/>
      <c r="R65" s="5"/>
      <c r="S65" s="5"/>
      <c r="T65" s="89" t="s">
        <v>3759</v>
      </c>
      <c r="U65" s="5"/>
      <c r="V65" s="5"/>
      <c r="W65" s="5"/>
      <c r="X65" s="89" t="s">
        <v>3780</v>
      </c>
      <c r="Y65" s="5"/>
      <c r="Z65" s="5"/>
      <c r="AA65" s="5"/>
      <c r="AB65" s="89" t="s">
        <v>3759</v>
      </c>
      <c r="AC65" s="5"/>
      <c r="AD65" s="5"/>
      <c r="AE65" s="5"/>
      <c r="AF65" s="89" t="s">
        <v>3775</v>
      </c>
      <c r="AG65" s="5"/>
      <c r="AH65" s="5"/>
      <c r="AI65" s="5"/>
      <c r="AJ65" s="89" t="s">
        <v>3759</v>
      </c>
      <c r="AK65" s="5"/>
      <c r="AL65" s="5"/>
      <c r="AM65" s="5"/>
      <c r="AN65" s="89" t="s">
        <v>3759</v>
      </c>
      <c r="AO65" s="5"/>
      <c r="AP65" s="5"/>
      <c r="AQ65" s="5"/>
      <c r="AR65" s="89" t="s">
        <v>3759</v>
      </c>
      <c r="AS65" s="5"/>
      <c r="AT65" s="5"/>
      <c r="AU65" s="5"/>
      <c r="AV65" s="89" t="s">
        <v>3759</v>
      </c>
      <c r="AW65" s="5"/>
      <c r="AX65" s="5"/>
      <c r="AY65" s="5"/>
      <c r="AZ65" s="89" t="s">
        <v>3775</v>
      </c>
      <c r="BA65" s="5"/>
      <c r="BB65" s="5"/>
      <c r="BC65" s="5"/>
      <c r="BD65" s="89" t="s">
        <v>3759</v>
      </c>
      <c r="BE65" s="5"/>
      <c r="BF65" s="5"/>
      <c r="BG65" s="5"/>
      <c r="BH65" s="89" t="s">
        <v>3759</v>
      </c>
      <c r="BI65" s="5"/>
      <c r="BJ65" s="5"/>
      <c r="BK65" s="5"/>
      <c r="BL65" s="89" t="s">
        <v>3759</v>
      </c>
      <c r="BM65" s="5"/>
      <c r="BN65" s="5"/>
      <c r="BO65" s="5"/>
      <c r="BP65" s="89" t="s">
        <v>3781</v>
      </c>
      <c r="BQ65" s="5"/>
      <c r="BR65" s="5"/>
      <c r="BS65" s="5"/>
      <c r="BT65" s="89" t="s">
        <v>3764</v>
      </c>
      <c r="BU65" s="5"/>
      <c r="BV65" s="5"/>
      <c r="BW65" s="5"/>
      <c r="BX65" s="89" t="s">
        <v>3769</v>
      </c>
      <c r="BY65" s="5"/>
      <c r="BZ65" s="5"/>
      <c r="CA65" s="5"/>
      <c r="CB65" s="89" t="s">
        <v>3762</v>
      </c>
      <c r="CC65" s="5"/>
      <c r="CD65" s="5"/>
      <c r="CE65" s="5"/>
      <c r="CF65" s="89" t="s">
        <v>3762</v>
      </c>
      <c r="CG65" s="5"/>
      <c r="CH65" s="5"/>
      <c r="CI65" s="5"/>
      <c r="CJ65" s="89" t="s">
        <v>3777</v>
      </c>
      <c r="CK65" s="5"/>
      <c r="CL65" s="5"/>
      <c r="CM65" s="5"/>
      <c r="CN65" s="89" t="s">
        <v>3775</v>
      </c>
      <c r="CO65" s="5"/>
      <c r="CP65" s="5"/>
      <c r="CQ65" s="5"/>
      <c r="CR65" s="89" t="s">
        <v>3769</v>
      </c>
      <c r="CS65" s="5"/>
      <c r="CT65" s="5"/>
      <c r="CU65" s="5"/>
      <c r="CV65" s="89" t="s">
        <v>3762</v>
      </c>
      <c r="CW65" s="5"/>
      <c r="CX65" s="5"/>
      <c r="CY65" s="5"/>
      <c r="CZ65" s="89" t="s">
        <v>3762</v>
      </c>
      <c r="DA65" s="5"/>
      <c r="DB65" s="5"/>
      <c r="DC65" s="5"/>
      <c r="DD65" s="89" t="s">
        <v>3762</v>
      </c>
      <c r="DE65" s="5"/>
      <c r="DF65" s="5"/>
      <c r="DG65" s="5"/>
      <c r="DH65" s="89" t="s">
        <v>3764</v>
      </c>
      <c r="DI65" s="5"/>
      <c r="DJ65" s="5"/>
      <c r="DK65" s="5"/>
      <c r="DL65" s="89" t="s">
        <v>3759</v>
      </c>
      <c r="DM65" s="5"/>
      <c r="DN65" s="5"/>
      <c r="DO65" s="5"/>
      <c r="DP65" s="89" t="s">
        <v>3759</v>
      </c>
      <c r="DQ65" s="5"/>
      <c r="DR65" s="5"/>
      <c r="DS65" s="5"/>
      <c r="DT65" s="89" t="s">
        <v>3759</v>
      </c>
      <c r="DU65" s="5"/>
      <c r="DV65" s="5"/>
      <c r="DW65" s="5"/>
      <c r="DX65" s="89" t="s">
        <v>3764</v>
      </c>
      <c r="DY65" s="5"/>
      <c r="DZ65" s="5"/>
      <c r="EA65" s="5"/>
      <c r="EB65" s="89" t="s">
        <v>3782</v>
      </c>
      <c r="EC65" s="5"/>
      <c r="ED65" s="5"/>
      <c r="EE65" s="5"/>
      <c r="EF65" s="89" t="s">
        <v>3759</v>
      </c>
      <c r="EG65" s="5"/>
      <c r="EH65" s="5"/>
      <c r="EI65" s="5"/>
      <c r="EJ65" s="89" t="s">
        <v>3759</v>
      </c>
      <c r="EK65" s="5"/>
      <c r="EL65" s="5"/>
      <c r="EM65" s="5"/>
      <c r="EN65" s="89" t="s">
        <v>3759</v>
      </c>
      <c r="EO65" s="5"/>
      <c r="EP65" s="5"/>
      <c r="EQ65" s="5"/>
      <c r="ER65" s="89" t="s">
        <v>3783</v>
      </c>
      <c r="ES65" s="5"/>
      <c r="ET65" s="5"/>
      <c r="EU65" s="5"/>
      <c r="EV65" s="89" t="s">
        <v>3775</v>
      </c>
      <c r="EW65" s="5"/>
      <c r="EX65" s="5"/>
      <c r="EY65" s="5"/>
      <c r="EZ65" s="5"/>
      <c r="FA65" s="5"/>
      <c r="FB65" s="5"/>
      <c r="FC65" s="5"/>
      <c r="FD65" s="89" t="s">
        <v>3759</v>
      </c>
      <c r="FE65" s="5"/>
      <c r="FF65" s="5"/>
      <c r="FG65" s="5"/>
      <c r="FH65" s="89" t="s">
        <v>3764</v>
      </c>
      <c r="FI65" s="5"/>
      <c r="FJ65" s="5"/>
      <c r="FK65" s="5"/>
      <c r="FL65" s="89" t="s">
        <v>3784</v>
      </c>
      <c r="FM65" s="5"/>
      <c r="FN65" s="5"/>
      <c r="FO65" s="5"/>
      <c r="FP65" s="89" t="s">
        <v>3762</v>
      </c>
      <c r="FQ65" s="5"/>
      <c r="FR65" s="5"/>
      <c r="FS65" s="5"/>
      <c r="FT65" s="89" t="s">
        <v>3759</v>
      </c>
      <c r="FU65" s="5"/>
      <c r="FV65" s="5"/>
      <c r="FW65" s="5"/>
      <c r="FX65" s="89" t="s">
        <v>3759</v>
      </c>
      <c r="FY65" s="5"/>
      <c r="FZ65" s="5"/>
      <c r="GA65" s="5"/>
      <c r="GB65" s="89" t="s">
        <v>3777</v>
      </c>
      <c r="GC65" s="5"/>
      <c r="GD65" s="5"/>
      <c r="GE65" s="5"/>
      <c r="GF65" s="5"/>
      <c r="GG65" s="89" t="s">
        <v>3775</v>
      </c>
      <c r="GH65" s="5"/>
      <c r="GI65" s="5"/>
      <c r="GJ65" s="89" t="s">
        <v>3764</v>
      </c>
      <c r="GK65" s="5"/>
      <c r="GL65" s="5"/>
      <c r="GM65" s="5"/>
      <c r="GN65" s="89" t="s">
        <v>3759</v>
      </c>
      <c r="GO65" s="5"/>
      <c r="GP65" s="5"/>
      <c r="GQ65" s="5"/>
      <c r="GR65" s="89" t="s">
        <v>3759</v>
      </c>
      <c r="GS65" s="774"/>
      <c r="GT65" s="774"/>
      <c r="GU65" s="774"/>
      <c r="GV65" s="89" t="s">
        <v>3776</v>
      </c>
      <c r="GW65" s="274"/>
      <c r="GX65" s="775"/>
      <c r="GY65" s="40"/>
      <c r="GZ65" s="65" t="s">
        <v>3777</v>
      </c>
      <c r="HA65" s="40"/>
      <c r="HB65" s="40"/>
      <c r="HC65" s="40"/>
      <c r="HD65" s="65" t="s">
        <v>3762</v>
      </c>
      <c r="HE65" s="40"/>
      <c r="HF65" s="40"/>
      <c r="HG65" s="40"/>
      <c r="HH65" s="65" t="s">
        <v>3769</v>
      </c>
      <c r="HI65" s="40"/>
      <c r="HJ65" s="40"/>
      <c r="HK65" s="40"/>
      <c r="HL65" s="65" t="s">
        <v>3762</v>
      </c>
      <c r="HM65" s="40"/>
      <c r="HN65" s="40"/>
      <c r="HO65" s="40"/>
      <c r="HP65" s="65" t="s">
        <v>3762</v>
      </c>
      <c r="HQ65" s="40"/>
      <c r="HR65" s="40"/>
      <c r="HS65" s="40"/>
      <c r="HT65" s="65" t="s">
        <v>3777</v>
      </c>
      <c r="HU65" s="40"/>
      <c r="HV65" s="5"/>
      <c r="HW65" s="40"/>
      <c r="HX65" s="65" t="s">
        <v>3762</v>
      </c>
      <c r="HY65" s="40"/>
      <c r="HZ65" s="63"/>
      <c r="IA65" s="40"/>
      <c r="IB65" s="65" t="s">
        <v>3769</v>
      </c>
      <c r="IC65" s="63"/>
      <c r="ID65" s="63"/>
      <c r="IE65" s="40"/>
      <c r="IF65" s="65" t="s">
        <v>3762</v>
      </c>
      <c r="IG65" s="40"/>
      <c r="IH65" s="40"/>
      <c r="II65" s="40"/>
      <c r="IJ65" s="65" t="s">
        <v>3762</v>
      </c>
      <c r="IK65" s="40"/>
      <c r="IL65" s="274"/>
      <c r="IM65" s="40"/>
      <c r="IN65" s="65" t="s">
        <v>3762</v>
      </c>
      <c r="IO65" s="40"/>
      <c r="IP65" s="40"/>
      <c r="IQ65" s="40"/>
      <c r="IR65" s="65" t="s">
        <v>3775</v>
      </c>
      <c r="IS65" s="40"/>
      <c r="IT65" s="40"/>
      <c r="IU65" s="40"/>
      <c r="IV65" s="65" t="s">
        <v>3769</v>
      </c>
      <c r="IW65" s="40"/>
      <c r="IX65" s="40"/>
      <c r="IY65" s="40"/>
      <c r="IZ65" s="65" t="s">
        <v>3775</v>
      </c>
      <c r="JA65" s="40"/>
      <c r="JB65" s="40"/>
      <c r="JC65" s="40"/>
      <c r="JD65" s="65" t="s">
        <v>3776</v>
      </c>
      <c r="JE65" s="40"/>
      <c r="JF65" s="40"/>
      <c r="JG65" s="40"/>
      <c r="JH65" s="274"/>
      <c r="JI65" s="40"/>
      <c r="JJ65" s="40"/>
      <c r="JK65" s="40"/>
      <c r="JL65" s="274"/>
      <c r="JM65" s="40"/>
      <c r="JN65" s="40"/>
      <c r="JO65" s="63"/>
      <c r="JP65" s="274"/>
      <c r="JQ65" s="63"/>
      <c r="JR65" s="63"/>
      <c r="JS65" s="63"/>
      <c r="JT65" s="274"/>
      <c r="JU65" s="63"/>
      <c r="JV65" s="40"/>
      <c r="JW65" s="63"/>
      <c r="JX65" s="274"/>
      <c r="JY65" s="63"/>
      <c r="JZ65" s="63"/>
      <c r="KA65" s="40"/>
      <c r="KB65" s="274"/>
      <c r="KC65" s="40"/>
      <c r="KD65" s="40"/>
      <c r="KE65" s="63"/>
      <c r="KF65" s="274"/>
      <c r="KG65" s="63"/>
      <c r="KH65" s="63"/>
      <c r="KI65" s="40"/>
      <c r="KJ65" s="274"/>
      <c r="KK65" s="40"/>
      <c r="KL65" s="40"/>
      <c r="KM65" s="63"/>
      <c r="KN65" s="274"/>
      <c r="KO65" s="63"/>
      <c r="KP65" s="63"/>
      <c r="KQ65" s="40"/>
      <c r="KR65" s="274"/>
      <c r="KS65" s="40"/>
      <c r="KT65" s="40"/>
      <c r="KU65" s="63"/>
      <c r="KV65" s="274"/>
      <c r="KW65" s="63"/>
      <c r="KX65" s="63"/>
      <c r="KY65" s="40"/>
      <c r="KZ65" s="274"/>
      <c r="LA65" s="40"/>
      <c r="LB65" s="40"/>
      <c r="LC65" s="63"/>
      <c r="LD65" s="274"/>
      <c r="LE65" s="63"/>
      <c r="LF65" s="63"/>
      <c r="LG65" s="40"/>
      <c r="LH65" s="274"/>
      <c r="LI65" s="274"/>
      <c r="LJ65" s="274"/>
      <c r="LK65" s="274"/>
      <c r="LL65" s="274"/>
      <c r="LM65" s="274"/>
      <c r="LN65" s="274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</row>
    <row r="66" spans="1:340" x14ac:dyDescent="0.2">
      <c r="A66" s="776" t="s">
        <v>3785</v>
      </c>
      <c r="B66" s="777">
        <f>AVERAGE(D63,H63,L63,P63,T63)</f>
        <v>0.76559999999999995</v>
      </c>
      <c r="C66" s="778">
        <f t="shared" ref="C66:C80" si="104">(B66/B67)-1</f>
        <v>-0.15446915034604625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774"/>
      <c r="GT66" s="774"/>
      <c r="GU66" s="774"/>
      <c r="GV66" s="5"/>
      <c r="GW66" s="274"/>
      <c r="GX66" s="775"/>
      <c r="GY66" s="40"/>
      <c r="GZ66" s="274"/>
      <c r="HA66" s="40"/>
      <c r="HB66" s="40"/>
      <c r="HC66" s="40"/>
      <c r="HD66" s="274"/>
      <c r="HE66" s="40"/>
      <c r="HF66" s="40"/>
      <c r="HG66" s="40"/>
      <c r="HH66" s="274"/>
      <c r="HI66" s="40"/>
      <c r="HJ66" s="40"/>
      <c r="HK66" s="40"/>
      <c r="HL66" s="274"/>
      <c r="HM66" s="40"/>
      <c r="HN66" s="40"/>
      <c r="HO66" s="40"/>
      <c r="HP66" s="274"/>
      <c r="HQ66" s="40"/>
      <c r="HR66" s="40"/>
      <c r="HS66" s="40"/>
      <c r="HT66" s="274"/>
      <c r="HU66" s="40"/>
      <c r="HV66" s="5"/>
      <c r="HW66" s="40"/>
      <c r="HX66" s="274"/>
      <c r="HY66" s="40"/>
      <c r="HZ66" s="63"/>
      <c r="IA66" s="40"/>
      <c r="IB66" s="274"/>
      <c r="IC66" s="63"/>
      <c r="ID66" s="63"/>
      <c r="IE66" s="40"/>
      <c r="IF66" s="274"/>
      <c r="IG66" s="40"/>
      <c r="IH66" s="40"/>
      <c r="II66" s="40"/>
      <c r="IJ66" s="274"/>
      <c r="IK66" s="40"/>
      <c r="IL66" s="274"/>
      <c r="IM66" s="40"/>
      <c r="IN66" s="274"/>
      <c r="IO66" s="40"/>
      <c r="IP66" s="40"/>
      <c r="IQ66" s="40"/>
      <c r="IR66" s="274"/>
      <c r="IS66" s="40"/>
      <c r="IT66" s="40"/>
      <c r="IU66" s="40"/>
      <c r="IV66" s="274"/>
      <c r="IW66" s="40"/>
      <c r="IX66" s="40"/>
      <c r="IY66" s="40"/>
      <c r="IZ66" s="274"/>
      <c r="JA66" s="40"/>
      <c r="JB66" s="40"/>
      <c r="JC66" s="40"/>
      <c r="JD66" s="274"/>
      <c r="JE66" s="40"/>
      <c r="JF66" s="40"/>
      <c r="JG66" s="40"/>
      <c r="JH66" s="274"/>
      <c r="JI66" s="40"/>
      <c r="JJ66" s="40"/>
      <c r="JK66" s="40"/>
      <c r="JL66" s="274"/>
      <c r="JM66" s="40"/>
      <c r="JN66" s="40"/>
      <c r="JO66" s="63"/>
      <c r="JP66" s="274"/>
      <c r="JQ66" s="63"/>
      <c r="JR66" s="63"/>
      <c r="JS66" s="63"/>
      <c r="JT66" s="274"/>
      <c r="JU66" s="63"/>
      <c r="JV66" s="40"/>
      <c r="JW66" s="63"/>
      <c r="JX66" s="274"/>
      <c r="JY66" s="63"/>
      <c r="JZ66" s="63"/>
      <c r="KA66" s="40"/>
      <c r="KB66" s="274"/>
      <c r="KC66" s="40"/>
      <c r="KD66" s="40"/>
      <c r="KE66" s="63"/>
      <c r="KF66" s="274"/>
      <c r="KG66" s="63"/>
      <c r="KH66" s="63"/>
      <c r="KI66" s="40"/>
      <c r="KJ66" s="274"/>
      <c r="KK66" s="40"/>
      <c r="KL66" s="40"/>
      <c r="KM66" s="63"/>
      <c r="KN66" s="274"/>
      <c r="KO66" s="63"/>
      <c r="KP66" s="63"/>
      <c r="KQ66" s="40"/>
      <c r="KR66" s="274"/>
      <c r="KS66" s="40"/>
      <c r="KT66" s="40"/>
      <c r="KU66" s="63"/>
      <c r="KV66" s="274"/>
      <c r="KW66" s="63"/>
      <c r="KX66" s="63"/>
      <c r="KY66" s="40"/>
      <c r="KZ66" s="274"/>
      <c r="LA66" s="40"/>
      <c r="LB66" s="40"/>
      <c r="LC66" s="63"/>
      <c r="LD66" s="274"/>
      <c r="LE66" s="63"/>
      <c r="LF66" s="63"/>
      <c r="LG66" s="40"/>
      <c r="LH66" s="274"/>
      <c r="LI66" s="274"/>
      <c r="LJ66" s="274"/>
      <c r="LK66" s="274"/>
      <c r="LL66" s="274"/>
      <c r="LM66" s="274"/>
      <c r="LN66" s="274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</row>
    <row r="67" spans="1:340" x14ac:dyDescent="0.2">
      <c r="A67" s="776" t="s">
        <v>3786</v>
      </c>
      <c r="B67" s="779">
        <f>AVERAGE(X63,AB63,AF63,AJ63,AN63)</f>
        <v>0.90546666666666664</v>
      </c>
      <c r="C67" s="778">
        <f t="shared" si="104"/>
        <v>-4.4866385372714701E-2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774"/>
      <c r="GT67" s="774"/>
      <c r="GU67" s="774"/>
      <c r="GV67" s="5"/>
      <c r="GW67" s="274"/>
      <c r="GX67" s="775"/>
      <c r="GY67" s="40"/>
      <c r="GZ67" s="274"/>
      <c r="HA67" s="40"/>
      <c r="HB67" s="40"/>
      <c r="HC67" s="40"/>
      <c r="HD67" s="274"/>
      <c r="HE67" s="40"/>
      <c r="HF67" s="40"/>
      <c r="HG67" s="40"/>
      <c r="HH67" s="274"/>
      <c r="HI67" s="40"/>
      <c r="HJ67" s="40"/>
      <c r="HK67" s="40"/>
      <c r="HL67" s="274"/>
      <c r="HM67" s="40"/>
      <c r="HN67" s="40"/>
      <c r="HO67" s="40"/>
      <c r="HP67" s="274"/>
      <c r="HQ67" s="40"/>
      <c r="HR67" s="40"/>
      <c r="HS67" s="40"/>
      <c r="HT67" s="274"/>
      <c r="HU67" s="40"/>
      <c r="HV67" s="5"/>
      <c r="HW67" s="40"/>
      <c r="HX67" s="274"/>
      <c r="HY67" s="40"/>
      <c r="HZ67" s="63"/>
      <c r="IA67" s="40"/>
      <c r="IB67" s="274"/>
      <c r="IC67" s="63"/>
      <c r="ID67" s="63"/>
      <c r="IE67" s="40"/>
      <c r="IF67" s="274"/>
      <c r="IG67" s="40"/>
      <c r="IH67" s="40"/>
      <c r="II67" s="40"/>
      <c r="IJ67" s="274"/>
      <c r="IK67" s="40"/>
      <c r="IL67" s="274"/>
      <c r="IM67" s="40"/>
      <c r="IN67" s="274"/>
      <c r="IO67" s="40"/>
      <c r="IP67" s="40"/>
      <c r="IQ67" s="40"/>
      <c r="IR67" s="274"/>
      <c r="IS67" s="40"/>
      <c r="IT67" s="40"/>
      <c r="IU67" s="40"/>
      <c r="IV67" s="274"/>
      <c r="IW67" s="40"/>
      <c r="IX67" s="40"/>
      <c r="IY67" s="40"/>
      <c r="IZ67" s="274"/>
      <c r="JA67" s="40"/>
      <c r="JB67" s="40"/>
      <c r="JC67" s="40"/>
      <c r="JD67" s="274"/>
      <c r="JE67" s="40"/>
      <c r="JF67" s="40"/>
      <c r="JG67" s="40"/>
      <c r="JH67" s="274"/>
      <c r="JI67" s="40"/>
      <c r="JJ67" s="40"/>
      <c r="JK67" s="40"/>
      <c r="JL67" s="274"/>
      <c r="JM67" s="40"/>
      <c r="JN67" s="40"/>
      <c r="JO67" s="63"/>
      <c r="JP67" s="274"/>
      <c r="JQ67" s="63"/>
      <c r="JR67" s="63"/>
      <c r="JS67" s="63"/>
      <c r="JT67" s="274"/>
      <c r="JU67" s="63"/>
      <c r="JV67" s="40"/>
      <c r="JW67" s="63"/>
      <c r="JX67" s="274"/>
      <c r="JY67" s="63"/>
      <c r="JZ67" s="63"/>
      <c r="KA67" s="40"/>
      <c r="KB67" s="274"/>
      <c r="KC67" s="40"/>
      <c r="KD67" s="40"/>
      <c r="KE67" s="63"/>
      <c r="KF67" s="274"/>
      <c r="KG67" s="63"/>
      <c r="KH67" s="63"/>
      <c r="KI67" s="40"/>
      <c r="KJ67" s="274"/>
      <c r="KK67" s="40"/>
      <c r="KL67" s="40"/>
      <c r="KM67" s="63"/>
      <c r="KN67" s="274"/>
      <c r="KO67" s="63"/>
      <c r="KP67" s="63"/>
      <c r="KQ67" s="40"/>
      <c r="KR67" s="274"/>
      <c r="KS67" s="40"/>
      <c r="KT67" s="40"/>
      <c r="KU67" s="63"/>
      <c r="KV67" s="274"/>
      <c r="KW67" s="63"/>
      <c r="KX67" s="63"/>
      <c r="KY67" s="40"/>
      <c r="KZ67" s="274"/>
      <c r="LA67" s="40"/>
      <c r="LB67" s="40"/>
      <c r="LC67" s="63"/>
      <c r="LD67" s="274"/>
      <c r="LE67" s="63"/>
      <c r="LF67" s="63"/>
      <c r="LG67" s="40"/>
      <c r="LH67" s="274"/>
      <c r="LI67" s="274"/>
      <c r="LJ67" s="274"/>
      <c r="LK67" s="274"/>
      <c r="LL67" s="274"/>
      <c r="LM67" s="274"/>
      <c r="LN67" s="274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</row>
    <row r="68" spans="1:340" x14ac:dyDescent="0.2">
      <c r="A68" s="776" t="s">
        <v>3787</v>
      </c>
      <c r="B68" s="780">
        <f>AVERAGE(AR63,AV63,AZ63,BD63,BH63)</f>
        <v>0.94800000000000018</v>
      </c>
      <c r="C68" s="778">
        <f t="shared" si="104"/>
        <v>0.46969148881194789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774"/>
      <c r="GT68" s="774"/>
      <c r="GU68" s="774"/>
      <c r="GV68" s="5"/>
      <c r="GW68" s="274"/>
      <c r="GX68" s="775"/>
      <c r="GY68" s="40"/>
      <c r="GZ68" s="274"/>
      <c r="HA68" s="40"/>
      <c r="HB68" s="40"/>
      <c r="HC68" s="40"/>
      <c r="HD68" s="274"/>
      <c r="HE68" s="40"/>
      <c r="HF68" s="40"/>
      <c r="HG68" s="40"/>
      <c r="HH68" s="274"/>
      <c r="HI68" s="40"/>
      <c r="HJ68" s="40"/>
      <c r="HK68" s="40"/>
      <c r="HL68" s="274"/>
      <c r="HM68" s="40"/>
      <c r="HN68" s="40"/>
      <c r="HO68" s="40"/>
      <c r="HP68" s="274"/>
      <c r="HQ68" s="40"/>
      <c r="HR68" s="40"/>
      <c r="HS68" s="40"/>
      <c r="HT68" s="274"/>
      <c r="HU68" s="40"/>
      <c r="HV68" s="5"/>
      <c r="HW68" s="40"/>
      <c r="HX68" s="274"/>
      <c r="HY68" s="40"/>
      <c r="HZ68" s="63"/>
      <c r="IA68" s="40"/>
      <c r="IB68" s="274"/>
      <c r="IC68" s="63"/>
      <c r="ID68" s="63"/>
      <c r="IE68" s="40"/>
      <c r="IF68" s="274"/>
      <c r="IG68" s="40"/>
      <c r="IH68" s="40"/>
      <c r="II68" s="40"/>
      <c r="IJ68" s="274"/>
      <c r="IK68" s="40"/>
      <c r="IL68" s="274"/>
      <c r="IM68" s="40"/>
      <c r="IN68" s="274"/>
      <c r="IO68" s="40"/>
      <c r="IP68" s="40"/>
      <c r="IQ68" s="40"/>
      <c r="IR68" s="274"/>
      <c r="IS68" s="40"/>
      <c r="IT68" s="40"/>
      <c r="IU68" s="40"/>
      <c r="IV68" s="274"/>
      <c r="IW68" s="40"/>
      <c r="IX68" s="40"/>
      <c r="IY68" s="40"/>
      <c r="IZ68" s="274"/>
      <c r="JA68" s="40"/>
      <c r="JB68" s="40"/>
      <c r="JC68" s="40"/>
      <c r="JD68" s="274"/>
      <c r="JE68" s="40"/>
      <c r="JF68" s="40"/>
      <c r="JG68" s="40"/>
      <c r="JH68" s="274"/>
      <c r="JI68" s="40"/>
      <c r="JJ68" s="40"/>
      <c r="JK68" s="40"/>
      <c r="JL68" s="274"/>
      <c r="JM68" s="40"/>
      <c r="JN68" s="40"/>
      <c r="JO68" s="63"/>
      <c r="JP68" s="274"/>
      <c r="JQ68" s="63"/>
      <c r="JR68" s="63"/>
      <c r="JS68" s="63"/>
      <c r="JT68" s="274"/>
      <c r="JU68" s="63"/>
      <c r="JV68" s="40"/>
      <c r="JW68" s="63"/>
      <c r="JX68" s="274"/>
      <c r="JY68" s="63"/>
      <c r="JZ68" s="63"/>
      <c r="KA68" s="40"/>
      <c r="KB68" s="274"/>
      <c r="KC68" s="40"/>
      <c r="KD68" s="40"/>
      <c r="KE68" s="63"/>
      <c r="KF68" s="274"/>
      <c r="KG68" s="63"/>
      <c r="KH68" s="63"/>
      <c r="KI68" s="40"/>
      <c r="KJ68" s="274"/>
      <c r="KK68" s="40"/>
      <c r="KL68" s="40"/>
      <c r="KM68" s="63"/>
      <c r="KN68" s="274"/>
      <c r="KO68" s="63"/>
      <c r="KP68" s="63"/>
      <c r="KQ68" s="40"/>
      <c r="KR68" s="274"/>
      <c r="KS68" s="40"/>
      <c r="KT68" s="40"/>
      <c r="KU68" s="63"/>
      <c r="KV68" s="274"/>
      <c r="KW68" s="63"/>
      <c r="KX68" s="63"/>
      <c r="KY68" s="40"/>
      <c r="KZ68" s="274"/>
      <c r="LA68" s="40"/>
      <c r="LB68" s="40"/>
      <c r="LC68" s="63"/>
      <c r="LD68" s="274"/>
      <c r="LE68" s="63"/>
      <c r="LF68" s="63"/>
      <c r="LG68" s="40"/>
      <c r="LH68" s="274"/>
      <c r="LI68" s="274"/>
      <c r="LJ68" s="274"/>
      <c r="LK68" s="274"/>
      <c r="LL68" s="274"/>
      <c r="LM68" s="274"/>
      <c r="LN68" s="274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</row>
    <row r="69" spans="1:340" x14ac:dyDescent="0.2">
      <c r="A69" s="776" t="s">
        <v>3788</v>
      </c>
      <c r="B69" s="781">
        <f>AVERAGE(BL63,BP63,BT63,BX63,CB63)</f>
        <v>0.64503333333333335</v>
      </c>
      <c r="C69" s="778">
        <f t="shared" si="104"/>
        <v>0.19303329223181276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774"/>
      <c r="GT69" s="774"/>
      <c r="GU69" s="774"/>
      <c r="GV69" s="5"/>
      <c r="GW69" s="274"/>
      <c r="GX69" s="775"/>
      <c r="GY69" s="40"/>
      <c r="GZ69" s="274"/>
      <c r="HA69" s="40"/>
      <c r="HB69" s="40"/>
      <c r="HC69" s="40"/>
      <c r="HD69" s="274"/>
      <c r="HE69" s="40"/>
      <c r="HF69" s="40"/>
      <c r="HG69" s="40"/>
      <c r="HH69" s="274"/>
      <c r="HI69" s="40"/>
      <c r="HJ69" s="40"/>
      <c r="HK69" s="40"/>
      <c r="HL69" s="274"/>
      <c r="HM69" s="40"/>
      <c r="HN69" s="40"/>
      <c r="HO69" s="40"/>
      <c r="HP69" s="274"/>
      <c r="HQ69" s="40"/>
      <c r="HR69" s="40"/>
      <c r="HS69" s="40"/>
      <c r="HT69" s="274"/>
      <c r="HU69" s="40"/>
      <c r="HV69" s="5"/>
      <c r="HW69" s="40"/>
      <c r="HX69" s="274"/>
      <c r="HY69" s="40"/>
      <c r="HZ69" s="63"/>
      <c r="IA69" s="40"/>
      <c r="IB69" s="274"/>
      <c r="IC69" s="63"/>
      <c r="ID69" s="63"/>
      <c r="IE69" s="40"/>
      <c r="IF69" s="274"/>
      <c r="IG69" s="40"/>
      <c r="IH69" s="40"/>
      <c r="II69" s="40"/>
      <c r="IJ69" s="274"/>
      <c r="IK69" s="40"/>
      <c r="IL69" s="274"/>
      <c r="IM69" s="40"/>
      <c r="IN69" s="274"/>
      <c r="IO69" s="40"/>
      <c r="IP69" s="40"/>
      <c r="IQ69" s="40"/>
      <c r="IR69" s="274"/>
      <c r="IS69" s="40"/>
      <c r="IT69" s="40"/>
      <c r="IU69" s="40"/>
      <c r="IV69" s="274"/>
      <c r="IW69" s="40"/>
      <c r="IX69" s="40"/>
      <c r="IY69" s="40"/>
      <c r="IZ69" s="274"/>
      <c r="JA69" s="40"/>
      <c r="JB69" s="40"/>
      <c r="JC69" s="40"/>
      <c r="JD69" s="274"/>
      <c r="JE69" s="40"/>
      <c r="JF69" s="40"/>
      <c r="JG69" s="40"/>
      <c r="JH69" s="274"/>
      <c r="JI69" s="40"/>
      <c r="JJ69" s="40"/>
      <c r="JK69" s="40"/>
      <c r="JL69" s="274"/>
      <c r="JM69" s="40"/>
      <c r="JN69" s="40"/>
      <c r="JO69" s="63"/>
      <c r="JP69" s="274"/>
      <c r="JQ69" s="63"/>
      <c r="JR69" s="63"/>
      <c r="JS69" s="63"/>
      <c r="JT69" s="274"/>
      <c r="JU69" s="63"/>
      <c r="JV69" s="40"/>
      <c r="JW69" s="63"/>
      <c r="JX69" s="274"/>
      <c r="JY69" s="63"/>
      <c r="JZ69" s="63"/>
      <c r="KA69" s="40"/>
      <c r="KB69" s="274"/>
      <c r="KC69" s="40"/>
      <c r="KD69" s="40"/>
      <c r="KE69" s="63"/>
      <c r="KF69" s="274"/>
      <c r="KG69" s="63"/>
      <c r="KH69" s="63"/>
      <c r="KI69" s="40"/>
      <c r="KJ69" s="274"/>
      <c r="KK69" s="40"/>
      <c r="KL69" s="40"/>
      <c r="KM69" s="63"/>
      <c r="KN69" s="274"/>
      <c r="KO69" s="63"/>
      <c r="KP69" s="63"/>
      <c r="KQ69" s="40"/>
      <c r="KR69" s="274"/>
      <c r="KS69" s="40"/>
      <c r="KT69" s="40"/>
      <c r="KU69" s="63"/>
      <c r="KV69" s="274"/>
      <c r="KW69" s="63"/>
      <c r="KX69" s="63"/>
      <c r="KY69" s="40"/>
      <c r="KZ69" s="274"/>
      <c r="LA69" s="40"/>
      <c r="LB69" s="40"/>
      <c r="LC69" s="63"/>
      <c r="LD69" s="274"/>
      <c r="LE69" s="63"/>
      <c r="LF69" s="63"/>
      <c r="LG69" s="40"/>
      <c r="LH69" s="274"/>
      <c r="LI69" s="274"/>
      <c r="LJ69" s="274"/>
      <c r="LK69" s="274"/>
      <c r="LL69" s="274"/>
      <c r="LM69" s="274"/>
      <c r="LN69" s="274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</row>
    <row r="70" spans="1:340" x14ac:dyDescent="0.2">
      <c r="A70" s="782" t="s">
        <v>3789</v>
      </c>
      <c r="B70" s="783">
        <f>AVERAGE(CF63,CJ63,CN63,CR63,CV63)</f>
        <v>0.54066666666666663</v>
      </c>
      <c r="C70" s="778">
        <f t="shared" si="104"/>
        <v>-0.13965947064127737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774"/>
      <c r="GT70" s="774"/>
      <c r="GU70" s="774"/>
      <c r="GV70" s="5"/>
      <c r="GW70" s="274"/>
      <c r="GX70" s="775"/>
      <c r="GY70" s="40"/>
      <c r="GZ70" s="274"/>
      <c r="HA70" s="40"/>
      <c r="HB70" s="40"/>
      <c r="HC70" s="40"/>
      <c r="HD70" s="274"/>
      <c r="HE70" s="40"/>
      <c r="HF70" s="40"/>
      <c r="HG70" s="40"/>
      <c r="HH70" s="274"/>
      <c r="HI70" s="40"/>
      <c r="HJ70" s="40"/>
      <c r="HK70" s="40"/>
      <c r="HL70" s="274"/>
      <c r="HM70" s="40"/>
      <c r="HN70" s="40"/>
      <c r="HO70" s="40"/>
      <c r="HP70" s="274"/>
      <c r="HQ70" s="40"/>
      <c r="HR70" s="40"/>
      <c r="HS70" s="40"/>
      <c r="HT70" s="274"/>
      <c r="HU70" s="40"/>
      <c r="HV70" s="5"/>
      <c r="HW70" s="40"/>
      <c r="HX70" s="274"/>
      <c r="HY70" s="40"/>
      <c r="HZ70" s="63"/>
      <c r="IA70" s="40"/>
      <c r="IB70" s="274"/>
      <c r="IC70" s="63"/>
      <c r="ID70" s="63"/>
      <c r="IE70" s="40"/>
      <c r="IF70" s="274"/>
      <c r="IG70" s="40"/>
      <c r="IH70" s="40"/>
      <c r="II70" s="40"/>
      <c r="IJ70" s="274"/>
      <c r="IK70" s="40"/>
      <c r="IL70" s="274"/>
      <c r="IM70" s="40"/>
      <c r="IN70" s="274"/>
      <c r="IO70" s="40"/>
      <c r="IP70" s="40"/>
      <c r="IQ70" s="40"/>
      <c r="IR70" s="274"/>
      <c r="IS70" s="40"/>
      <c r="IT70" s="40"/>
      <c r="IU70" s="40"/>
      <c r="IV70" s="274"/>
      <c r="IW70" s="40"/>
      <c r="IX70" s="40"/>
      <c r="IY70" s="40"/>
      <c r="IZ70" s="274"/>
      <c r="JA70" s="40"/>
      <c r="JB70" s="40"/>
      <c r="JC70" s="40"/>
      <c r="JD70" s="274"/>
      <c r="JE70" s="40"/>
      <c r="JF70" s="40"/>
      <c r="JG70" s="40"/>
      <c r="JH70" s="274"/>
      <c r="JI70" s="40"/>
      <c r="JJ70" s="40"/>
      <c r="JK70" s="40"/>
      <c r="JL70" s="274"/>
      <c r="JM70" s="40"/>
      <c r="JN70" s="40"/>
      <c r="JO70" s="63"/>
      <c r="JP70" s="274"/>
      <c r="JQ70" s="63"/>
      <c r="JR70" s="63"/>
      <c r="JS70" s="63"/>
      <c r="JT70" s="274"/>
      <c r="JU70" s="63"/>
      <c r="JV70" s="40"/>
      <c r="JW70" s="63"/>
      <c r="JX70" s="274"/>
      <c r="JY70" s="63"/>
      <c r="JZ70" s="63"/>
      <c r="KA70" s="40"/>
      <c r="KB70" s="274"/>
      <c r="KC70" s="40"/>
      <c r="KD70" s="40"/>
      <c r="KE70" s="63"/>
      <c r="KF70" s="274"/>
      <c r="KG70" s="63"/>
      <c r="KH70" s="63"/>
      <c r="KI70" s="40"/>
      <c r="KJ70" s="274"/>
      <c r="KK70" s="40"/>
      <c r="KL70" s="40"/>
      <c r="KM70" s="63"/>
      <c r="KN70" s="274"/>
      <c r="KO70" s="63"/>
      <c r="KP70" s="63"/>
      <c r="KQ70" s="40"/>
      <c r="KR70" s="274"/>
      <c r="KS70" s="40"/>
      <c r="KT70" s="40"/>
      <c r="KU70" s="63"/>
      <c r="KV70" s="274"/>
      <c r="KW70" s="63"/>
      <c r="KX70" s="63"/>
      <c r="KY70" s="40"/>
      <c r="KZ70" s="274"/>
      <c r="LA70" s="40"/>
      <c r="LB70" s="40"/>
      <c r="LC70" s="63"/>
      <c r="LD70" s="274"/>
      <c r="LE70" s="63"/>
      <c r="LF70" s="63"/>
      <c r="LG70" s="40"/>
      <c r="LH70" s="274"/>
      <c r="LI70" s="274"/>
      <c r="LJ70" s="274"/>
      <c r="LK70" s="274"/>
      <c r="LL70" s="274"/>
      <c r="LM70" s="274"/>
      <c r="LN70" s="274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</row>
    <row r="71" spans="1:340" x14ac:dyDescent="0.2">
      <c r="A71" s="782" t="s">
        <v>3790</v>
      </c>
      <c r="B71" s="784">
        <f>AVERAGE(CZ63,DD63,DH63,DL63,DP63)</f>
        <v>0.6284333333333334</v>
      </c>
      <c r="C71" s="778">
        <f t="shared" si="104"/>
        <v>4.4140451927337176E-2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774"/>
      <c r="GT71" s="774"/>
      <c r="GU71" s="774"/>
      <c r="GV71" s="5"/>
      <c r="GW71" s="274"/>
      <c r="GX71" s="775"/>
      <c r="GY71" s="40"/>
      <c r="GZ71" s="274"/>
      <c r="HA71" s="40"/>
      <c r="HB71" s="40"/>
      <c r="HC71" s="40"/>
      <c r="HD71" s="274"/>
      <c r="HE71" s="40"/>
      <c r="HF71" s="40"/>
      <c r="HG71" s="40"/>
      <c r="HH71" s="274"/>
      <c r="HI71" s="40"/>
      <c r="HJ71" s="40"/>
      <c r="HK71" s="40"/>
      <c r="HL71" s="274"/>
      <c r="HM71" s="40"/>
      <c r="HN71" s="40"/>
      <c r="HO71" s="40"/>
      <c r="HP71" s="274"/>
      <c r="HQ71" s="40"/>
      <c r="HR71" s="40"/>
      <c r="HS71" s="40"/>
      <c r="HT71" s="274"/>
      <c r="HU71" s="40"/>
      <c r="HV71" s="5"/>
      <c r="HW71" s="40"/>
      <c r="HX71" s="274"/>
      <c r="HY71" s="40"/>
      <c r="HZ71" s="63"/>
      <c r="IA71" s="40"/>
      <c r="IB71" s="274"/>
      <c r="IC71" s="63"/>
      <c r="ID71" s="63"/>
      <c r="IE71" s="40"/>
      <c r="IF71" s="274"/>
      <c r="IG71" s="40"/>
      <c r="IH71" s="40"/>
      <c r="II71" s="40"/>
      <c r="IJ71" s="274"/>
      <c r="IK71" s="40"/>
      <c r="IL71" s="274"/>
      <c r="IM71" s="40"/>
      <c r="IN71" s="274"/>
      <c r="IO71" s="40"/>
      <c r="IP71" s="40"/>
      <c r="IQ71" s="40"/>
      <c r="IR71" s="274"/>
      <c r="IS71" s="40"/>
      <c r="IT71" s="40"/>
      <c r="IU71" s="40"/>
      <c r="IV71" s="274"/>
      <c r="IW71" s="40"/>
      <c r="IX71" s="40"/>
      <c r="IY71" s="40"/>
      <c r="IZ71" s="274"/>
      <c r="JA71" s="40"/>
      <c r="JB71" s="40"/>
      <c r="JC71" s="40"/>
      <c r="JD71" s="274"/>
      <c r="JE71" s="40"/>
      <c r="JF71" s="40"/>
      <c r="JG71" s="40"/>
      <c r="JH71" s="274"/>
      <c r="JI71" s="40"/>
      <c r="JJ71" s="40"/>
      <c r="JK71" s="40"/>
      <c r="JL71" s="274"/>
      <c r="JM71" s="40"/>
      <c r="JN71" s="40"/>
      <c r="JO71" s="63"/>
      <c r="JP71" s="274"/>
      <c r="JQ71" s="63"/>
      <c r="JR71" s="63"/>
      <c r="JS71" s="63"/>
      <c r="JT71" s="274"/>
      <c r="JU71" s="63"/>
      <c r="JV71" s="40"/>
      <c r="JW71" s="63"/>
      <c r="JX71" s="274"/>
      <c r="JY71" s="63"/>
      <c r="JZ71" s="63"/>
      <c r="KA71" s="40"/>
      <c r="KB71" s="274"/>
      <c r="KC71" s="40"/>
      <c r="KD71" s="40"/>
      <c r="KE71" s="63"/>
      <c r="KF71" s="274"/>
      <c r="KG71" s="63"/>
      <c r="KH71" s="63"/>
      <c r="KI71" s="40"/>
      <c r="KJ71" s="274"/>
      <c r="KK71" s="40"/>
      <c r="KL71" s="40"/>
      <c r="KM71" s="63"/>
      <c r="KN71" s="274"/>
      <c r="KO71" s="63"/>
      <c r="KP71" s="63"/>
      <c r="KQ71" s="40"/>
      <c r="KR71" s="274"/>
      <c r="KS71" s="40"/>
      <c r="KT71" s="40"/>
      <c r="KU71" s="63"/>
      <c r="KV71" s="274"/>
      <c r="KW71" s="63"/>
      <c r="KX71" s="63"/>
      <c r="KY71" s="40"/>
      <c r="KZ71" s="274"/>
      <c r="LA71" s="40"/>
      <c r="LB71" s="40"/>
      <c r="LC71" s="63"/>
      <c r="LD71" s="274"/>
      <c r="LE71" s="63"/>
      <c r="LF71" s="63"/>
      <c r="LG71" s="40"/>
      <c r="LH71" s="274"/>
      <c r="LI71" s="274"/>
      <c r="LJ71" s="274"/>
      <c r="LK71" s="274"/>
      <c r="LL71" s="274"/>
      <c r="LM71" s="274"/>
      <c r="LN71" s="274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</row>
    <row r="72" spans="1:340" x14ac:dyDescent="0.2">
      <c r="A72" s="782" t="s">
        <v>3791</v>
      </c>
      <c r="B72" s="785">
        <f>AVERAGE(DT63,DX63,EB63,EF63,EJ63)</f>
        <v>0.60186666666666677</v>
      </c>
      <c r="C72" s="778">
        <f t="shared" si="104"/>
        <v>-0.26710862884871922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774"/>
      <c r="GT72" s="774"/>
      <c r="GU72" s="774"/>
      <c r="GV72" s="5"/>
      <c r="GW72" s="274"/>
      <c r="GX72" s="775"/>
      <c r="GY72" s="40"/>
      <c r="GZ72" s="274"/>
      <c r="HA72" s="40"/>
      <c r="HB72" s="40"/>
      <c r="HC72" s="40"/>
      <c r="HD72" s="274"/>
      <c r="HE72" s="40"/>
      <c r="HF72" s="40"/>
      <c r="HG72" s="40"/>
      <c r="HH72" s="274"/>
      <c r="HI72" s="40"/>
      <c r="HJ72" s="40"/>
      <c r="HK72" s="40"/>
      <c r="HL72" s="274"/>
      <c r="HM72" s="40"/>
      <c r="HN72" s="40"/>
      <c r="HO72" s="40"/>
      <c r="HP72" s="274"/>
      <c r="HQ72" s="40"/>
      <c r="HR72" s="40"/>
      <c r="HS72" s="40"/>
      <c r="HT72" s="274"/>
      <c r="HU72" s="40"/>
      <c r="HV72" s="5"/>
      <c r="HW72" s="40"/>
      <c r="HX72" s="274"/>
      <c r="HY72" s="40"/>
      <c r="HZ72" s="63"/>
      <c r="IA72" s="40"/>
      <c r="IB72" s="274"/>
      <c r="IC72" s="63"/>
      <c r="ID72" s="63"/>
      <c r="IE72" s="40"/>
      <c r="IF72" s="274"/>
      <c r="IG72" s="40"/>
      <c r="IH72" s="40"/>
      <c r="II72" s="40"/>
      <c r="IJ72" s="274"/>
      <c r="IK72" s="40"/>
      <c r="IL72" s="274"/>
      <c r="IM72" s="40"/>
      <c r="IN72" s="274"/>
      <c r="IO72" s="40"/>
      <c r="IP72" s="40"/>
      <c r="IQ72" s="40"/>
      <c r="IR72" s="274"/>
      <c r="IS72" s="40"/>
      <c r="IT72" s="40"/>
      <c r="IU72" s="40"/>
      <c r="IV72" s="274"/>
      <c r="IW72" s="40"/>
      <c r="IX72" s="40"/>
      <c r="IY72" s="40"/>
      <c r="IZ72" s="274"/>
      <c r="JA72" s="40"/>
      <c r="JB72" s="40"/>
      <c r="JC72" s="40"/>
      <c r="JD72" s="274"/>
      <c r="JE72" s="40"/>
      <c r="JF72" s="40"/>
      <c r="JG72" s="40"/>
      <c r="JH72" s="274"/>
      <c r="JI72" s="40"/>
      <c r="JJ72" s="40"/>
      <c r="JK72" s="40"/>
      <c r="JL72" s="274"/>
      <c r="JM72" s="40"/>
      <c r="JN72" s="40"/>
      <c r="JO72" s="63"/>
      <c r="JP72" s="274"/>
      <c r="JQ72" s="63"/>
      <c r="JR72" s="63"/>
      <c r="JS72" s="63"/>
      <c r="JT72" s="274"/>
      <c r="JU72" s="63"/>
      <c r="JV72" s="40"/>
      <c r="JW72" s="63"/>
      <c r="JX72" s="274"/>
      <c r="JY72" s="63"/>
      <c r="JZ72" s="63"/>
      <c r="KA72" s="40"/>
      <c r="KB72" s="274"/>
      <c r="KC72" s="40"/>
      <c r="KD72" s="40"/>
      <c r="KE72" s="63"/>
      <c r="KF72" s="274"/>
      <c r="KG72" s="63"/>
      <c r="KH72" s="63"/>
      <c r="KI72" s="40"/>
      <c r="KJ72" s="274"/>
      <c r="KK72" s="40"/>
      <c r="KL72" s="40"/>
      <c r="KM72" s="63"/>
      <c r="KN72" s="274"/>
      <c r="KO72" s="63"/>
      <c r="KP72" s="63"/>
      <c r="KQ72" s="40"/>
      <c r="KR72" s="274"/>
      <c r="KS72" s="40"/>
      <c r="KT72" s="40"/>
      <c r="KU72" s="63"/>
      <c r="KV72" s="274"/>
      <c r="KW72" s="63"/>
      <c r="KX72" s="63"/>
      <c r="KY72" s="40"/>
      <c r="KZ72" s="274"/>
      <c r="LA72" s="40"/>
      <c r="LB72" s="40"/>
      <c r="LC72" s="63"/>
      <c r="LD72" s="274"/>
      <c r="LE72" s="63"/>
      <c r="LF72" s="63"/>
      <c r="LG72" s="40"/>
      <c r="LH72" s="274"/>
      <c r="LI72" s="274"/>
      <c r="LJ72" s="274"/>
      <c r="LK72" s="274"/>
      <c r="LL72" s="274"/>
      <c r="LM72" s="274"/>
      <c r="LN72" s="274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</row>
    <row r="73" spans="1:340" x14ac:dyDescent="0.2">
      <c r="A73" s="782" t="s">
        <v>3792</v>
      </c>
      <c r="B73" s="786">
        <f>AVERAGE(EN63,ER63,EV63,EZ63,FD63)</f>
        <v>0.82122220339585861</v>
      </c>
      <c r="C73" s="778">
        <f t="shared" si="104"/>
        <v>-3.7367010437394543E-2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774"/>
      <c r="GT73" s="774"/>
      <c r="GU73" s="774"/>
      <c r="GV73" s="5"/>
      <c r="GW73" s="274"/>
      <c r="GX73" s="775"/>
      <c r="GY73" s="40"/>
      <c r="GZ73" s="274"/>
      <c r="HA73" s="40"/>
      <c r="HB73" s="40"/>
      <c r="HC73" s="40"/>
      <c r="HD73" s="274"/>
      <c r="HE73" s="40"/>
      <c r="HF73" s="40"/>
      <c r="HG73" s="40"/>
      <c r="HH73" s="274"/>
      <c r="HI73" s="40"/>
      <c r="HJ73" s="40"/>
      <c r="HK73" s="40"/>
      <c r="HL73" s="274"/>
      <c r="HM73" s="40"/>
      <c r="HN73" s="40"/>
      <c r="HO73" s="40"/>
      <c r="HP73" s="274"/>
      <c r="HQ73" s="40"/>
      <c r="HR73" s="40"/>
      <c r="HS73" s="40"/>
      <c r="HT73" s="274"/>
      <c r="HU73" s="40"/>
      <c r="HV73" s="5"/>
      <c r="HW73" s="40"/>
      <c r="HX73" s="274"/>
      <c r="HY73" s="40"/>
      <c r="HZ73" s="63"/>
      <c r="IA73" s="40"/>
      <c r="IB73" s="274"/>
      <c r="IC73" s="63"/>
      <c r="ID73" s="63"/>
      <c r="IE73" s="40"/>
      <c r="IF73" s="274"/>
      <c r="IG73" s="40"/>
      <c r="IH73" s="40"/>
      <c r="II73" s="40"/>
      <c r="IJ73" s="274"/>
      <c r="IK73" s="40"/>
      <c r="IL73" s="274"/>
      <c r="IM73" s="40"/>
      <c r="IN73" s="274"/>
      <c r="IO73" s="40"/>
      <c r="IP73" s="40"/>
      <c r="IQ73" s="40"/>
      <c r="IR73" s="274"/>
      <c r="IS73" s="40"/>
      <c r="IT73" s="40"/>
      <c r="IU73" s="40"/>
      <c r="IV73" s="274"/>
      <c r="IW73" s="40"/>
      <c r="IX73" s="40"/>
      <c r="IY73" s="40"/>
      <c r="IZ73" s="274"/>
      <c r="JA73" s="40"/>
      <c r="JB73" s="40"/>
      <c r="JC73" s="40"/>
      <c r="JD73" s="274"/>
      <c r="JE73" s="40"/>
      <c r="JF73" s="40"/>
      <c r="JG73" s="40"/>
      <c r="JH73" s="274"/>
      <c r="JI73" s="40"/>
      <c r="JJ73" s="40"/>
      <c r="JK73" s="40"/>
      <c r="JL73" s="274"/>
      <c r="JM73" s="40"/>
      <c r="JN73" s="40"/>
      <c r="JO73" s="63"/>
      <c r="JP73" s="274"/>
      <c r="JQ73" s="63"/>
      <c r="JR73" s="63"/>
      <c r="JS73" s="63"/>
      <c r="JT73" s="274"/>
      <c r="JU73" s="63"/>
      <c r="JV73" s="40"/>
      <c r="JW73" s="63"/>
      <c r="JX73" s="274"/>
      <c r="JY73" s="63"/>
      <c r="JZ73" s="63"/>
      <c r="KA73" s="40"/>
      <c r="KB73" s="274"/>
      <c r="KC73" s="40"/>
      <c r="KD73" s="40"/>
      <c r="KE73" s="63"/>
      <c r="KF73" s="274"/>
      <c r="KG73" s="63"/>
      <c r="KH73" s="63"/>
      <c r="KI73" s="40"/>
      <c r="KJ73" s="274"/>
      <c r="KK73" s="40"/>
      <c r="KL73" s="40"/>
      <c r="KM73" s="63"/>
      <c r="KN73" s="274"/>
      <c r="KO73" s="63"/>
      <c r="KP73" s="63"/>
      <c r="KQ73" s="40"/>
      <c r="KR73" s="274"/>
      <c r="KS73" s="40"/>
      <c r="KT73" s="40"/>
      <c r="KU73" s="63"/>
      <c r="KV73" s="274"/>
      <c r="KW73" s="63"/>
      <c r="KX73" s="63"/>
      <c r="KY73" s="40"/>
      <c r="KZ73" s="274"/>
      <c r="LA73" s="40"/>
      <c r="LB73" s="40"/>
      <c r="LC73" s="63"/>
      <c r="LD73" s="274"/>
      <c r="LE73" s="63"/>
      <c r="LF73" s="63"/>
      <c r="LG73" s="40"/>
      <c r="LH73" s="274"/>
      <c r="LI73" s="274"/>
      <c r="LJ73" s="274"/>
      <c r="LK73" s="274"/>
      <c r="LL73" s="274"/>
      <c r="LM73" s="274"/>
      <c r="LN73" s="274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</row>
    <row r="74" spans="1:340" x14ac:dyDescent="0.2">
      <c r="A74" s="782" t="s">
        <v>3793</v>
      </c>
      <c r="B74" s="787">
        <f>AVERAGE(FH63,FL63,FP63,FT63,FX63)</f>
        <v>0.85309999999999986</v>
      </c>
      <c r="C74" s="778">
        <f t="shared" si="104"/>
        <v>0.31026194206548707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774"/>
      <c r="GT74" s="774"/>
      <c r="GU74" s="774"/>
      <c r="GV74" s="5"/>
      <c r="GW74" s="274"/>
      <c r="GX74" s="775"/>
      <c r="GY74" s="40"/>
      <c r="GZ74" s="274"/>
      <c r="HA74" s="40"/>
      <c r="HB74" s="40"/>
      <c r="HC74" s="40"/>
      <c r="HD74" s="274"/>
      <c r="HE74" s="40"/>
      <c r="HF74" s="40"/>
      <c r="HG74" s="40"/>
      <c r="HH74" s="274"/>
      <c r="HI74" s="40"/>
      <c r="HJ74" s="40"/>
      <c r="HK74" s="40"/>
      <c r="HL74" s="274"/>
      <c r="HM74" s="40"/>
      <c r="HN74" s="40"/>
      <c r="HO74" s="40"/>
      <c r="HP74" s="274"/>
      <c r="HQ74" s="40"/>
      <c r="HR74" s="40"/>
      <c r="HS74" s="40"/>
      <c r="HT74" s="274"/>
      <c r="HU74" s="40"/>
      <c r="HV74" s="5"/>
      <c r="HW74" s="40"/>
      <c r="HX74" s="274"/>
      <c r="HY74" s="40"/>
      <c r="HZ74" s="63"/>
      <c r="IA74" s="40"/>
      <c r="IB74" s="274"/>
      <c r="IC74" s="63"/>
      <c r="ID74" s="63"/>
      <c r="IE74" s="40"/>
      <c r="IF74" s="274"/>
      <c r="IG74" s="40"/>
      <c r="IH74" s="40"/>
      <c r="II74" s="40"/>
      <c r="IJ74" s="274"/>
      <c r="IK74" s="40"/>
      <c r="IL74" s="274"/>
      <c r="IM74" s="40"/>
      <c r="IN74" s="274"/>
      <c r="IO74" s="40"/>
      <c r="IP74" s="40"/>
      <c r="IQ74" s="40"/>
      <c r="IR74" s="274"/>
      <c r="IS74" s="40"/>
      <c r="IT74" s="40"/>
      <c r="IU74" s="40"/>
      <c r="IV74" s="274"/>
      <c r="IW74" s="40"/>
      <c r="IX74" s="40"/>
      <c r="IY74" s="40"/>
      <c r="IZ74" s="274"/>
      <c r="JA74" s="40"/>
      <c r="JB74" s="40"/>
      <c r="JC74" s="40"/>
      <c r="JD74" s="274"/>
      <c r="JE74" s="40"/>
      <c r="JF74" s="40"/>
      <c r="JG74" s="40"/>
      <c r="JH74" s="274"/>
      <c r="JI74" s="40"/>
      <c r="JJ74" s="40"/>
      <c r="JK74" s="40"/>
      <c r="JL74" s="274"/>
      <c r="JM74" s="40"/>
      <c r="JN74" s="40"/>
      <c r="JO74" s="63"/>
      <c r="JP74" s="274"/>
      <c r="JQ74" s="63"/>
      <c r="JR74" s="63"/>
      <c r="JS74" s="63"/>
      <c r="JT74" s="274"/>
      <c r="JU74" s="63"/>
      <c r="JV74" s="40"/>
      <c r="JW74" s="63"/>
      <c r="JX74" s="274"/>
      <c r="JY74" s="63"/>
      <c r="JZ74" s="63"/>
      <c r="KA74" s="40"/>
      <c r="KB74" s="274"/>
      <c r="KC74" s="40"/>
      <c r="KD74" s="40"/>
      <c r="KE74" s="63"/>
      <c r="KF74" s="274"/>
      <c r="KG74" s="63"/>
      <c r="KH74" s="63"/>
      <c r="KI74" s="40"/>
      <c r="KJ74" s="274"/>
      <c r="KK74" s="40"/>
      <c r="KL74" s="40"/>
      <c r="KM74" s="63"/>
      <c r="KN74" s="274"/>
      <c r="KO74" s="63"/>
      <c r="KP74" s="63"/>
      <c r="KQ74" s="40"/>
      <c r="KR74" s="274"/>
      <c r="KS74" s="40"/>
      <c r="KT74" s="40"/>
      <c r="KU74" s="63"/>
      <c r="KV74" s="274"/>
      <c r="KW74" s="63"/>
      <c r="KX74" s="63"/>
      <c r="KY74" s="40"/>
      <c r="KZ74" s="274"/>
      <c r="LA74" s="40"/>
      <c r="LB74" s="40"/>
      <c r="LC74" s="63"/>
      <c r="LD74" s="274"/>
      <c r="LE74" s="63"/>
      <c r="LF74" s="63"/>
      <c r="LG74" s="40"/>
      <c r="LH74" s="274"/>
      <c r="LI74" s="274"/>
      <c r="LJ74" s="274"/>
      <c r="LK74" s="274"/>
      <c r="LL74" s="274"/>
      <c r="LM74" s="274"/>
      <c r="LN74" s="274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</row>
    <row r="75" spans="1:340" x14ac:dyDescent="0.2">
      <c r="A75" s="782" t="s">
        <v>3794</v>
      </c>
      <c r="B75" s="788">
        <f>AVERAGE(GB63,GF63,GJ63,GN63,GR63)</f>
        <v>0.65109118460327053</v>
      </c>
      <c r="C75" s="778">
        <f t="shared" si="104"/>
        <v>-0.12464212879366665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774"/>
      <c r="GT75" s="774"/>
      <c r="GU75" s="774"/>
      <c r="GV75" s="5"/>
      <c r="GW75" s="274"/>
      <c r="GX75" s="775"/>
      <c r="GY75" s="40"/>
      <c r="GZ75" s="274"/>
      <c r="HA75" s="40"/>
      <c r="HB75" s="40"/>
      <c r="HC75" s="40"/>
      <c r="HD75" s="274"/>
      <c r="HE75" s="40"/>
      <c r="HF75" s="40"/>
      <c r="HG75" s="40"/>
      <c r="HH75" s="274"/>
      <c r="HI75" s="40"/>
      <c r="HJ75" s="40"/>
      <c r="HK75" s="40"/>
      <c r="HL75" s="274"/>
      <c r="HM75" s="40"/>
      <c r="HN75" s="40"/>
      <c r="HO75" s="40"/>
      <c r="HP75" s="274"/>
      <c r="HQ75" s="40"/>
      <c r="HR75" s="40"/>
      <c r="HS75" s="40"/>
      <c r="HT75" s="274"/>
      <c r="HU75" s="40"/>
      <c r="HV75" s="5"/>
      <c r="HW75" s="40"/>
      <c r="HX75" s="274"/>
      <c r="HY75" s="40"/>
      <c r="HZ75" s="63"/>
      <c r="IA75" s="40"/>
      <c r="IB75" s="274"/>
      <c r="IC75" s="63"/>
      <c r="ID75" s="63"/>
      <c r="IE75" s="40"/>
      <c r="IF75" s="274"/>
      <c r="IG75" s="40"/>
      <c r="IH75" s="40"/>
      <c r="II75" s="40"/>
      <c r="IJ75" s="274"/>
      <c r="IK75" s="40"/>
      <c r="IL75" s="274"/>
      <c r="IM75" s="40"/>
      <c r="IN75" s="274"/>
      <c r="IO75" s="40"/>
      <c r="IP75" s="40"/>
      <c r="IQ75" s="40"/>
      <c r="IR75" s="274"/>
      <c r="IS75" s="40"/>
      <c r="IT75" s="40"/>
      <c r="IU75" s="40"/>
      <c r="IV75" s="274"/>
      <c r="IW75" s="40"/>
      <c r="IX75" s="40"/>
      <c r="IY75" s="40"/>
      <c r="IZ75" s="274"/>
      <c r="JA75" s="40"/>
      <c r="JB75" s="40"/>
      <c r="JC75" s="40"/>
      <c r="JD75" s="274"/>
      <c r="JE75" s="40"/>
      <c r="JF75" s="40"/>
      <c r="JG75" s="40"/>
      <c r="JH75" s="274"/>
      <c r="JI75" s="40"/>
      <c r="JJ75" s="40"/>
      <c r="JK75" s="40"/>
      <c r="JL75" s="274"/>
      <c r="JM75" s="40"/>
      <c r="JN75" s="40"/>
      <c r="JO75" s="63"/>
      <c r="JP75" s="274"/>
      <c r="JQ75" s="63"/>
      <c r="JR75" s="63"/>
      <c r="JS75" s="63"/>
      <c r="JT75" s="274"/>
      <c r="JU75" s="63"/>
      <c r="JV75" s="40"/>
      <c r="JW75" s="63"/>
      <c r="JX75" s="274"/>
      <c r="JY75" s="63"/>
      <c r="JZ75" s="63"/>
      <c r="KA75" s="40"/>
      <c r="KB75" s="274"/>
      <c r="KC75" s="40"/>
      <c r="KD75" s="40"/>
      <c r="KE75" s="63"/>
      <c r="KF75" s="274"/>
      <c r="KG75" s="63"/>
      <c r="KH75" s="63"/>
      <c r="KI75" s="40"/>
      <c r="KJ75" s="274"/>
      <c r="KK75" s="40"/>
      <c r="KL75" s="40"/>
      <c r="KM75" s="63"/>
      <c r="KN75" s="274"/>
      <c r="KO75" s="63"/>
      <c r="KP75" s="63"/>
      <c r="KQ75" s="40"/>
      <c r="KR75" s="274"/>
      <c r="KS75" s="40"/>
      <c r="KT75" s="40"/>
      <c r="KU75" s="63"/>
      <c r="KV75" s="274"/>
      <c r="KW75" s="63"/>
      <c r="KX75" s="63"/>
      <c r="KY75" s="40"/>
      <c r="KZ75" s="274"/>
      <c r="LA75" s="40"/>
      <c r="LB75" s="40"/>
      <c r="LC75" s="63"/>
      <c r="LD75" s="274"/>
      <c r="LE75" s="63"/>
      <c r="LF75" s="63"/>
      <c r="LG75" s="40"/>
      <c r="LH75" s="274"/>
      <c r="LI75" s="274"/>
      <c r="LJ75" s="274"/>
      <c r="LK75" s="274"/>
      <c r="LL75" s="274"/>
      <c r="LM75" s="274"/>
      <c r="LN75" s="274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</row>
    <row r="76" spans="1:340" x14ac:dyDescent="0.2">
      <c r="A76" s="782" t="s">
        <v>3795</v>
      </c>
      <c r="B76" s="789">
        <f>AVERAGE(GV63,GZ63,HD63,HH63,HL63)</f>
        <v>0.74379999999999979</v>
      </c>
      <c r="C76" s="778">
        <f t="shared" si="104"/>
        <v>7.3820981713185185E-2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774"/>
      <c r="GT76" s="774"/>
      <c r="GU76" s="774"/>
      <c r="GV76" s="5"/>
      <c r="GW76" s="274"/>
      <c r="GX76" s="775"/>
      <c r="GY76" s="40"/>
      <c r="GZ76" s="274"/>
      <c r="HA76" s="40"/>
      <c r="HB76" s="40"/>
      <c r="HC76" s="40"/>
      <c r="HD76" s="274"/>
      <c r="HE76" s="40"/>
      <c r="HF76" s="40"/>
      <c r="HG76" s="40"/>
      <c r="HH76" s="274"/>
      <c r="HI76" s="40"/>
      <c r="HJ76" s="40"/>
      <c r="HK76" s="40"/>
      <c r="HL76" s="274"/>
      <c r="HM76" s="40"/>
      <c r="HN76" s="40"/>
      <c r="HO76" s="40"/>
      <c r="HP76" s="274"/>
      <c r="HQ76" s="40"/>
      <c r="HR76" s="40"/>
      <c r="HS76" s="40"/>
      <c r="HT76" s="274"/>
      <c r="HU76" s="40"/>
      <c r="HV76" s="5"/>
      <c r="HW76" s="40"/>
      <c r="HX76" s="274"/>
      <c r="HY76" s="40"/>
      <c r="HZ76" s="63"/>
      <c r="IA76" s="40"/>
      <c r="IB76" s="274"/>
      <c r="IC76" s="63"/>
      <c r="ID76" s="63"/>
      <c r="IE76" s="40"/>
      <c r="IF76" s="274"/>
      <c r="IG76" s="40"/>
      <c r="IH76" s="40"/>
      <c r="II76" s="40"/>
      <c r="IJ76" s="274"/>
      <c r="IK76" s="40"/>
      <c r="IL76" s="274"/>
      <c r="IM76" s="40"/>
      <c r="IN76" s="274"/>
      <c r="IO76" s="40"/>
      <c r="IP76" s="40"/>
      <c r="IQ76" s="40"/>
      <c r="IR76" s="274"/>
      <c r="IS76" s="40"/>
      <c r="IT76" s="40"/>
      <c r="IU76" s="40"/>
      <c r="IV76" s="274"/>
      <c r="IW76" s="40"/>
      <c r="IX76" s="40"/>
      <c r="IY76" s="40"/>
      <c r="IZ76" s="274"/>
      <c r="JA76" s="40"/>
      <c r="JB76" s="40"/>
      <c r="JC76" s="40"/>
      <c r="JD76" s="274"/>
      <c r="JE76" s="40"/>
      <c r="JF76" s="40"/>
      <c r="JG76" s="40"/>
      <c r="JH76" s="274"/>
      <c r="JI76" s="40"/>
      <c r="JJ76" s="40"/>
      <c r="JK76" s="40"/>
      <c r="JL76" s="274"/>
      <c r="JM76" s="40"/>
      <c r="JN76" s="40"/>
      <c r="JO76" s="63"/>
      <c r="JP76" s="274"/>
      <c r="JQ76" s="63"/>
      <c r="JR76" s="63"/>
      <c r="JS76" s="63"/>
      <c r="JT76" s="274"/>
      <c r="JU76" s="63"/>
      <c r="JV76" s="40"/>
      <c r="JW76" s="63"/>
      <c r="JX76" s="274"/>
      <c r="JY76" s="63"/>
      <c r="JZ76" s="63"/>
      <c r="KA76" s="40"/>
      <c r="KB76" s="274"/>
      <c r="KC76" s="40"/>
      <c r="KD76" s="40"/>
      <c r="KE76" s="63"/>
      <c r="KF76" s="274"/>
      <c r="KG76" s="63"/>
      <c r="KH76" s="63"/>
      <c r="KI76" s="40"/>
      <c r="KJ76" s="274"/>
      <c r="KK76" s="40"/>
      <c r="KL76" s="40"/>
      <c r="KM76" s="63"/>
      <c r="KN76" s="274"/>
      <c r="KO76" s="63"/>
      <c r="KP76" s="63"/>
      <c r="KQ76" s="40"/>
      <c r="KR76" s="274"/>
      <c r="KS76" s="40"/>
      <c r="KT76" s="40"/>
      <c r="KU76" s="63"/>
      <c r="KV76" s="274"/>
      <c r="KW76" s="63"/>
      <c r="KX76" s="63"/>
      <c r="KY76" s="40"/>
      <c r="KZ76" s="274"/>
      <c r="LA76" s="40"/>
      <c r="LB76" s="40"/>
      <c r="LC76" s="63"/>
      <c r="LD76" s="274"/>
      <c r="LE76" s="63"/>
      <c r="LF76" s="63"/>
      <c r="LG76" s="40"/>
      <c r="LH76" s="274"/>
      <c r="LI76" s="274"/>
      <c r="LJ76" s="274"/>
      <c r="LK76" s="274"/>
      <c r="LL76" s="274"/>
      <c r="LM76" s="274"/>
      <c r="LN76" s="274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</row>
    <row r="77" spans="1:340" x14ac:dyDescent="0.2">
      <c r="A77" s="782" t="s">
        <v>3796</v>
      </c>
      <c r="B77" s="790">
        <f>AVERAGE(HP63,HT63,HX63,IB63,IF63)</f>
        <v>0.69266666666666687</v>
      </c>
      <c r="C77" s="778">
        <f t="shared" si="104"/>
        <v>0.12318253067401796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774"/>
      <c r="GT77" s="774"/>
      <c r="GU77" s="774"/>
      <c r="GV77" s="5"/>
      <c r="GW77" s="274"/>
      <c r="GX77" s="775"/>
      <c r="GY77" s="40"/>
      <c r="GZ77" s="274"/>
      <c r="HA77" s="40"/>
      <c r="HB77" s="40"/>
      <c r="HC77" s="40"/>
      <c r="HD77" s="274"/>
      <c r="HE77" s="40"/>
      <c r="HF77" s="40"/>
      <c r="HG77" s="40"/>
      <c r="HH77" s="274"/>
      <c r="HI77" s="40"/>
      <c r="HJ77" s="40"/>
      <c r="HK77" s="40"/>
      <c r="HL77" s="274"/>
      <c r="HM77" s="40"/>
      <c r="HN77" s="40"/>
      <c r="HO77" s="40"/>
      <c r="HP77" s="274"/>
      <c r="HQ77" s="40"/>
      <c r="HR77" s="40"/>
      <c r="HS77" s="40"/>
      <c r="HT77" s="274"/>
      <c r="HU77" s="40"/>
      <c r="HV77" s="5"/>
      <c r="HW77" s="40"/>
      <c r="HX77" s="274"/>
      <c r="HY77" s="40"/>
      <c r="HZ77" s="63"/>
      <c r="IA77" s="40"/>
      <c r="IB77" s="274"/>
      <c r="IC77" s="63"/>
      <c r="ID77" s="63"/>
      <c r="IE77" s="40"/>
      <c r="IF77" s="274"/>
      <c r="IG77" s="40"/>
      <c r="IH77" s="40"/>
      <c r="II77" s="40"/>
      <c r="IJ77" s="274"/>
      <c r="IK77" s="40"/>
      <c r="IL77" s="274"/>
      <c r="IM77" s="40"/>
      <c r="IN77" s="274"/>
      <c r="IO77" s="40"/>
      <c r="IP77" s="40"/>
      <c r="IQ77" s="40"/>
      <c r="IR77" s="274"/>
      <c r="IS77" s="40"/>
      <c r="IT77" s="40"/>
      <c r="IU77" s="40"/>
      <c r="IV77" s="274"/>
      <c r="IW77" s="40"/>
      <c r="IX77" s="40"/>
      <c r="IY77" s="40"/>
      <c r="IZ77" s="274"/>
      <c r="JA77" s="40"/>
      <c r="JB77" s="40"/>
      <c r="JC77" s="40"/>
      <c r="JD77" s="274"/>
      <c r="JE77" s="40"/>
      <c r="JF77" s="40"/>
      <c r="JG77" s="40"/>
      <c r="JH77" s="274"/>
      <c r="JI77" s="40"/>
      <c r="JJ77" s="40"/>
      <c r="JK77" s="40"/>
      <c r="JL77" s="274"/>
      <c r="JM77" s="40"/>
      <c r="JN77" s="40"/>
      <c r="JO77" s="63"/>
      <c r="JP77" s="274"/>
      <c r="JQ77" s="63"/>
      <c r="JR77" s="63"/>
      <c r="JS77" s="63"/>
      <c r="JT77" s="274"/>
      <c r="JU77" s="63"/>
      <c r="JV77" s="40"/>
      <c r="JW77" s="63"/>
      <c r="JX77" s="274"/>
      <c r="JY77" s="63"/>
      <c r="JZ77" s="63"/>
      <c r="KA77" s="40"/>
      <c r="KB77" s="274"/>
      <c r="KC77" s="40"/>
      <c r="KD77" s="40"/>
      <c r="KE77" s="63"/>
      <c r="KF77" s="274"/>
      <c r="KG77" s="63"/>
      <c r="KH77" s="63"/>
      <c r="KI77" s="40"/>
      <c r="KJ77" s="274"/>
      <c r="KK77" s="40"/>
      <c r="KL77" s="40"/>
      <c r="KM77" s="63"/>
      <c r="KN77" s="274"/>
      <c r="KO77" s="63"/>
      <c r="KP77" s="63"/>
      <c r="KQ77" s="40"/>
      <c r="KR77" s="274"/>
      <c r="KS77" s="40"/>
      <c r="KT77" s="40"/>
      <c r="KU77" s="63"/>
      <c r="KV77" s="274"/>
      <c r="KW77" s="63"/>
      <c r="KX77" s="63"/>
      <c r="KY77" s="40"/>
      <c r="KZ77" s="274"/>
      <c r="LA77" s="40"/>
      <c r="LB77" s="40"/>
      <c r="LC77" s="63"/>
      <c r="LD77" s="274"/>
      <c r="LE77" s="63"/>
      <c r="LF77" s="63"/>
      <c r="LG77" s="40"/>
      <c r="LH77" s="274"/>
      <c r="LI77" s="274"/>
      <c r="LJ77" s="274"/>
      <c r="LK77" s="274"/>
      <c r="LL77" s="274"/>
      <c r="LM77" s="274"/>
      <c r="LN77" s="274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</row>
    <row r="78" spans="1:340" x14ac:dyDescent="0.2">
      <c r="A78" s="782" t="s">
        <v>3797</v>
      </c>
      <c r="B78" s="791">
        <f>AVERAGE(IJ63,IN63,IR63,IV63,IZ63)</f>
        <v>0.61670000000000003</v>
      </c>
      <c r="C78" s="778">
        <f t="shared" si="104"/>
        <v>7.1838248073692101E-2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774"/>
      <c r="GT78" s="774"/>
      <c r="GU78" s="774"/>
      <c r="GV78" s="5"/>
      <c r="GW78" s="274"/>
      <c r="GX78" s="775"/>
      <c r="GY78" s="40"/>
      <c r="GZ78" s="274"/>
      <c r="HA78" s="40"/>
      <c r="HB78" s="40"/>
      <c r="HC78" s="40"/>
      <c r="HD78" s="274"/>
      <c r="HE78" s="40"/>
      <c r="HF78" s="40"/>
      <c r="HG78" s="40"/>
      <c r="HH78" s="274"/>
      <c r="HI78" s="40"/>
      <c r="HJ78" s="40"/>
      <c r="HK78" s="40"/>
      <c r="HL78" s="274"/>
      <c r="HM78" s="40"/>
      <c r="HN78" s="40"/>
      <c r="HO78" s="40"/>
      <c r="HP78" s="274"/>
      <c r="HQ78" s="40"/>
      <c r="HR78" s="40"/>
      <c r="HS78" s="40"/>
      <c r="HT78" s="274"/>
      <c r="HU78" s="40"/>
      <c r="HV78" s="5"/>
      <c r="HW78" s="40"/>
      <c r="HX78" s="274"/>
      <c r="HY78" s="40"/>
      <c r="HZ78" s="63"/>
      <c r="IA78" s="40"/>
      <c r="IB78" s="274"/>
      <c r="IC78" s="63"/>
      <c r="ID78" s="63"/>
      <c r="IE78" s="40"/>
      <c r="IF78" s="274"/>
      <c r="IG78" s="40"/>
      <c r="IH78" s="40"/>
      <c r="II78" s="40"/>
      <c r="IJ78" s="274"/>
      <c r="IK78" s="40"/>
      <c r="IL78" s="274"/>
      <c r="IM78" s="40"/>
      <c r="IN78" s="274"/>
      <c r="IO78" s="40"/>
      <c r="IP78" s="40"/>
      <c r="IQ78" s="40"/>
      <c r="IR78" s="274"/>
      <c r="IS78" s="40"/>
      <c r="IT78" s="40"/>
      <c r="IU78" s="40"/>
      <c r="IV78" s="274"/>
      <c r="IW78" s="40"/>
      <c r="IX78" s="40"/>
      <c r="IY78" s="40"/>
      <c r="IZ78" s="274"/>
      <c r="JA78" s="40"/>
      <c r="JB78" s="40"/>
      <c r="JC78" s="40"/>
      <c r="JD78" s="274"/>
      <c r="JE78" s="40"/>
      <c r="JF78" s="40"/>
      <c r="JG78" s="40"/>
      <c r="JH78" s="274"/>
      <c r="JI78" s="40"/>
      <c r="JJ78" s="40"/>
      <c r="JK78" s="40"/>
      <c r="JL78" s="274"/>
      <c r="JM78" s="40"/>
      <c r="JN78" s="40"/>
      <c r="JO78" s="63"/>
      <c r="JP78" s="274"/>
      <c r="JQ78" s="63"/>
      <c r="JR78" s="63"/>
      <c r="JS78" s="63"/>
      <c r="JT78" s="274"/>
      <c r="JU78" s="63"/>
      <c r="JV78" s="40"/>
      <c r="JW78" s="63"/>
      <c r="JX78" s="274"/>
      <c r="JY78" s="63"/>
      <c r="JZ78" s="63"/>
      <c r="KA78" s="40"/>
      <c r="KB78" s="274"/>
      <c r="KC78" s="40"/>
      <c r="KD78" s="40"/>
      <c r="KE78" s="63"/>
      <c r="KF78" s="274"/>
      <c r="KG78" s="63"/>
      <c r="KH78" s="63"/>
      <c r="KI78" s="40"/>
      <c r="KJ78" s="274"/>
      <c r="KK78" s="40"/>
      <c r="KL78" s="40"/>
      <c r="KM78" s="63"/>
      <c r="KN78" s="274"/>
      <c r="KO78" s="63"/>
      <c r="KP78" s="63"/>
      <c r="KQ78" s="40"/>
      <c r="KR78" s="274"/>
      <c r="KS78" s="40"/>
      <c r="KT78" s="40"/>
      <c r="KU78" s="63"/>
      <c r="KV78" s="274"/>
      <c r="KW78" s="63"/>
      <c r="KX78" s="63"/>
      <c r="KY78" s="40"/>
      <c r="KZ78" s="274"/>
      <c r="LA78" s="40"/>
      <c r="LB78" s="40"/>
      <c r="LC78" s="63"/>
      <c r="LD78" s="274"/>
      <c r="LE78" s="63"/>
      <c r="LF78" s="63"/>
      <c r="LG78" s="40"/>
      <c r="LH78" s="274"/>
      <c r="LI78" s="274"/>
      <c r="LJ78" s="274"/>
      <c r="LK78" s="274"/>
      <c r="LL78" s="274"/>
      <c r="LM78" s="274"/>
      <c r="LN78" s="274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</row>
    <row r="79" spans="1:340" x14ac:dyDescent="0.2">
      <c r="A79" s="782" t="s">
        <v>3798</v>
      </c>
      <c r="B79" s="792">
        <f>AVERAGE(JD63,JH63,JL63,JP63,JT63)</f>
        <v>0.57536666666666669</v>
      </c>
      <c r="C79" s="778">
        <f t="shared" si="104"/>
        <v>-0.22752293577981664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774"/>
      <c r="GT79" s="774"/>
      <c r="GU79" s="774"/>
      <c r="GV79" s="5"/>
      <c r="GW79" s="274"/>
      <c r="GX79" s="775"/>
      <c r="GY79" s="40"/>
      <c r="GZ79" s="274"/>
      <c r="HA79" s="40"/>
      <c r="HB79" s="40"/>
      <c r="HC79" s="40"/>
      <c r="HD79" s="274"/>
      <c r="HE79" s="40"/>
      <c r="HF79" s="40"/>
      <c r="HG79" s="40"/>
      <c r="HH79" s="274"/>
      <c r="HI79" s="40"/>
      <c r="HJ79" s="40"/>
      <c r="HK79" s="40"/>
      <c r="HL79" s="274"/>
      <c r="HM79" s="40"/>
      <c r="HN79" s="40"/>
      <c r="HO79" s="40"/>
      <c r="HP79" s="274"/>
      <c r="HQ79" s="40"/>
      <c r="HR79" s="40"/>
      <c r="HS79" s="40"/>
      <c r="HT79" s="274"/>
      <c r="HU79" s="40"/>
      <c r="HV79" s="5"/>
      <c r="HW79" s="40"/>
      <c r="HX79" s="274"/>
      <c r="HY79" s="40"/>
      <c r="HZ79" s="63"/>
      <c r="IA79" s="40"/>
      <c r="IB79" s="274"/>
      <c r="IC79" s="63"/>
      <c r="ID79" s="63"/>
      <c r="IE79" s="40"/>
      <c r="IF79" s="274"/>
      <c r="IG79" s="40"/>
      <c r="IH79" s="40"/>
      <c r="II79" s="40"/>
      <c r="IJ79" s="274"/>
      <c r="IK79" s="40"/>
      <c r="IL79" s="274"/>
      <c r="IM79" s="40"/>
      <c r="IN79" s="274"/>
      <c r="IO79" s="40"/>
      <c r="IP79" s="40"/>
      <c r="IQ79" s="40"/>
      <c r="IR79" s="274"/>
      <c r="IS79" s="40"/>
      <c r="IT79" s="40"/>
      <c r="IU79" s="40"/>
      <c r="IV79" s="274"/>
      <c r="IW79" s="40"/>
      <c r="IX79" s="40"/>
      <c r="IY79" s="40"/>
      <c r="IZ79" s="274"/>
      <c r="JA79" s="40"/>
      <c r="JB79" s="40"/>
      <c r="JC79" s="40"/>
      <c r="JD79" s="274"/>
      <c r="JE79" s="40"/>
      <c r="JF79" s="40"/>
      <c r="JG79" s="40"/>
      <c r="JH79" s="274"/>
      <c r="JI79" s="40"/>
      <c r="JJ79" s="40"/>
      <c r="JK79" s="40"/>
      <c r="JL79" s="274"/>
      <c r="JM79" s="40"/>
      <c r="JN79" s="40"/>
      <c r="JO79" s="63"/>
      <c r="JP79" s="274"/>
      <c r="JQ79" s="63"/>
      <c r="JR79" s="63"/>
      <c r="JS79" s="63"/>
      <c r="JT79" s="274"/>
      <c r="JU79" s="63"/>
      <c r="JV79" s="40"/>
      <c r="JW79" s="63"/>
      <c r="JX79" s="274"/>
      <c r="JY79" s="63"/>
      <c r="JZ79" s="63"/>
      <c r="KA79" s="40"/>
      <c r="KB79" s="274"/>
      <c r="KC79" s="40"/>
      <c r="KD79" s="40"/>
      <c r="KE79" s="63"/>
      <c r="KF79" s="274"/>
      <c r="KG79" s="63"/>
      <c r="KH79" s="63"/>
      <c r="KI79" s="40"/>
      <c r="KJ79" s="274"/>
      <c r="KK79" s="40"/>
      <c r="KL79" s="40"/>
      <c r="KM79" s="63"/>
      <c r="KN79" s="274"/>
      <c r="KO79" s="63"/>
      <c r="KP79" s="63"/>
      <c r="KQ79" s="40"/>
      <c r="KR79" s="274"/>
      <c r="KS79" s="40"/>
      <c r="KT79" s="40"/>
      <c r="KU79" s="63"/>
      <c r="KV79" s="274"/>
      <c r="KW79" s="63"/>
      <c r="KX79" s="63"/>
      <c r="KY79" s="40"/>
      <c r="KZ79" s="274"/>
      <c r="LA79" s="40"/>
      <c r="LB79" s="40"/>
      <c r="LC79" s="63"/>
      <c r="LD79" s="274"/>
      <c r="LE79" s="63"/>
      <c r="LF79" s="63"/>
      <c r="LG79" s="40"/>
      <c r="LH79" s="274"/>
      <c r="LI79" s="274"/>
      <c r="LJ79" s="274"/>
      <c r="LK79" s="274"/>
      <c r="LL79" s="274"/>
      <c r="LM79" s="274"/>
      <c r="LN79" s="274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</row>
    <row r="80" spans="1:340" x14ac:dyDescent="0.2">
      <c r="A80" s="782" t="s">
        <v>3799</v>
      </c>
      <c r="B80" s="793">
        <f>AVERAGE(JX63,KB63,KF63,KJ63,KN63)</f>
        <v>0.74483333333333346</v>
      </c>
      <c r="C80" s="778">
        <f t="shared" si="104"/>
        <v>0.23767586130497387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774"/>
      <c r="GT80" s="774"/>
      <c r="GU80" s="774"/>
      <c r="GV80" s="5"/>
      <c r="GW80" s="274"/>
      <c r="GX80" s="775"/>
      <c r="GY80" s="40"/>
      <c r="GZ80" s="274"/>
      <c r="HA80" s="40"/>
      <c r="HB80" s="40"/>
      <c r="HC80" s="40"/>
      <c r="HD80" s="274"/>
      <c r="HE80" s="40"/>
      <c r="HF80" s="40"/>
      <c r="HG80" s="40"/>
      <c r="HH80" s="274"/>
      <c r="HI80" s="40"/>
      <c r="HJ80" s="40"/>
      <c r="HK80" s="40"/>
      <c r="HL80" s="274"/>
      <c r="HM80" s="40"/>
      <c r="HN80" s="40"/>
      <c r="HO80" s="40"/>
      <c r="HP80" s="274"/>
      <c r="HQ80" s="40"/>
      <c r="HR80" s="40"/>
      <c r="HS80" s="40"/>
      <c r="HT80" s="274"/>
      <c r="HU80" s="40"/>
      <c r="HV80" s="5"/>
      <c r="HW80" s="40"/>
      <c r="HX80" s="274"/>
      <c r="HY80" s="40"/>
      <c r="HZ80" s="63"/>
      <c r="IA80" s="40"/>
      <c r="IB80" s="274"/>
      <c r="IC80" s="63"/>
      <c r="ID80" s="63"/>
      <c r="IE80" s="40"/>
      <c r="IF80" s="274"/>
      <c r="IG80" s="40"/>
      <c r="IH80" s="40"/>
      <c r="II80" s="40"/>
      <c r="IJ80" s="274"/>
      <c r="IK80" s="40"/>
      <c r="IL80" s="274"/>
      <c r="IM80" s="40"/>
      <c r="IN80" s="274"/>
      <c r="IO80" s="40"/>
      <c r="IP80" s="40"/>
      <c r="IQ80" s="40"/>
      <c r="IR80" s="274"/>
      <c r="IS80" s="40"/>
      <c r="IT80" s="40"/>
      <c r="IU80" s="40"/>
      <c r="IV80" s="274"/>
      <c r="IW80" s="40"/>
      <c r="IX80" s="40"/>
      <c r="IY80" s="40"/>
      <c r="IZ80" s="274"/>
      <c r="JA80" s="40"/>
      <c r="JB80" s="40"/>
      <c r="JC80" s="40"/>
      <c r="JD80" s="274"/>
      <c r="JE80" s="40"/>
      <c r="JF80" s="40"/>
      <c r="JG80" s="40"/>
      <c r="JH80" s="274"/>
      <c r="JI80" s="40"/>
      <c r="JJ80" s="40"/>
      <c r="JK80" s="40"/>
      <c r="JL80" s="274"/>
      <c r="JM80" s="40"/>
      <c r="JN80" s="40"/>
      <c r="JO80" s="63"/>
      <c r="JP80" s="274"/>
      <c r="JQ80" s="63"/>
      <c r="JR80" s="63"/>
      <c r="JS80" s="63"/>
      <c r="JT80" s="274"/>
      <c r="JU80" s="63"/>
      <c r="JV80" s="40"/>
      <c r="JW80" s="63"/>
      <c r="JX80" s="274"/>
      <c r="JY80" s="63"/>
      <c r="JZ80" s="63"/>
      <c r="KA80" s="40"/>
      <c r="KB80" s="274"/>
      <c r="KC80" s="40"/>
      <c r="KD80" s="40"/>
      <c r="KE80" s="63"/>
      <c r="KF80" s="274"/>
      <c r="KG80" s="63"/>
      <c r="KH80" s="63"/>
      <c r="KI80" s="40"/>
      <c r="KJ80" s="274"/>
      <c r="KK80" s="40"/>
      <c r="KL80" s="40"/>
      <c r="KM80" s="63"/>
      <c r="KN80" s="274"/>
      <c r="KO80" s="63"/>
      <c r="KP80" s="63"/>
      <c r="KQ80" s="40"/>
      <c r="KR80" s="274"/>
      <c r="KS80" s="40"/>
      <c r="KT80" s="40"/>
      <c r="KU80" s="63"/>
      <c r="KV80" s="274"/>
      <c r="KW80" s="63"/>
      <c r="KX80" s="63"/>
      <c r="KY80" s="40"/>
      <c r="KZ80" s="274"/>
      <c r="LA80" s="40"/>
      <c r="LB80" s="40"/>
      <c r="LC80" s="63"/>
      <c r="LD80" s="274"/>
      <c r="LE80" s="63"/>
      <c r="LF80" s="63"/>
      <c r="LG80" s="40"/>
      <c r="LH80" s="274"/>
      <c r="LI80" s="274"/>
      <c r="LJ80" s="274"/>
      <c r="LK80" s="274"/>
      <c r="LL80" s="274"/>
      <c r="LM80" s="274"/>
      <c r="LN80" s="274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</row>
    <row r="81" spans="1:340" x14ac:dyDescent="0.2">
      <c r="A81" s="782" t="s">
        <v>3800</v>
      </c>
      <c r="B81" s="785">
        <f>AVERAGE(KR63,KV63,KZ63,LD63,LH63)</f>
        <v>0.60180000000000011</v>
      </c>
      <c r="C81" s="794" t="s">
        <v>3801</v>
      </c>
      <c r="D81" s="807" t="s">
        <v>3802</v>
      </c>
      <c r="E81" s="80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774"/>
      <c r="GT81" s="774"/>
      <c r="GU81" s="774"/>
      <c r="GV81" s="5"/>
      <c r="GW81" s="274"/>
      <c r="GX81" s="775"/>
      <c r="GY81" s="40"/>
      <c r="GZ81" s="274"/>
      <c r="HA81" s="40"/>
      <c r="HB81" s="40"/>
      <c r="HC81" s="40"/>
      <c r="HD81" s="274"/>
      <c r="HE81" s="40"/>
      <c r="HF81" s="40"/>
      <c r="HG81" s="40"/>
      <c r="HH81" s="274"/>
      <c r="HI81" s="40"/>
      <c r="HJ81" s="40"/>
      <c r="HK81" s="40"/>
      <c r="HL81" s="274"/>
      <c r="HM81" s="40"/>
      <c r="HN81" s="40"/>
      <c r="HO81" s="40"/>
      <c r="HP81" s="274"/>
      <c r="HQ81" s="40"/>
      <c r="HR81" s="40"/>
      <c r="HS81" s="40"/>
      <c r="HT81" s="274"/>
      <c r="HU81" s="40"/>
      <c r="HV81" s="5"/>
      <c r="HW81" s="40"/>
      <c r="HX81" s="274"/>
      <c r="HY81" s="40"/>
      <c r="HZ81" s="63"/>
      <c r="IA81" s="40"/>
      <c r="IB81" s="274"/>
      <c r="IC81" s="63"/>
      <c r="ID81" s="63"/>
      <c r="IE81" s="40"/>
      <c r="IF81" s="274"/>
      <c r="IG81" s="40"/>
      <c r="IH81" s="40"/>
      <c r="II81" s="40"/>
      <c r="IJ81" s="274"/>
      <c r="IK81" s="40"/>
      <c r="IL81" s="274"/>
      <c r="IM81" s="40"/>
      <c r="IN81" s="274"/>
      <c r="IO81" s="40"/>
      <c r="IP81" s="40"/>
      <c r="IQ81" s="40"/>
      <c r="IR81" s="274"/>
      <c r="IS81" s="40"/>
      <c r="IT81" s="40"/>
      <c r="IU81" s="40"/>
      <c r="IV81" s="274"/>
      <c r="IW81" s="40"/>
      <c r="IX81" s="40"/>
      <c r="IY81" s="40"/>
      <c r="IZ81" s="274"/>
      <c r="JA81" s="40"/>
      <c r="JB81" s="40"/>
      <c r="JC81" s="40"/>
      <c r="JD81" s="274"/>
      <c r="JE81" s="40"/>
      <c r="JF81" s="40"/>
      <c r="JG81" s="40"/>
      <c r="JH81" s="274"/>
      <c r="JI81" s="40"/>
      <c r="JJ81" s="40"/>
      <c r="JK81" s="40"/>
      <c r="JL81" s="274"/>
      <c r="JM81" s="40"/>
      <c r="JN81" s="40"/>
      <c r="JO81" s="63"/>
      <c r="JP81" s="274"/>
      <c r="JQ81" s="63"/>
      <c r="JR81" s="63"/>
      <c r="JS81" s="63"/>
      <c r="JT81" s="274"/>
      <c r="JU81" s="63"/>
      <c r="JV81" s="40"/>
      <c r="JW81" s="63"/>
      <c r="JX81" s="274"/>
      <c r="JY81" s="63"/>
      <c r="JZ81" s="63"/>
      <c r="KA81" s="40"/>
      <c r="KB81" s="274"/>
      <c r="KC81" s="40"/>
      <c r="KD81" s="40"/>
      <c r="KE81" s="63"/>
      <c r="KF81" s="274"/>
      <c r="KG81" s="63"/>
      <c r="KH81" s="63"/>
      <c r="KI81" s="40"/>
      <c r="KJ81" s="274"/>
      <c r="KK81" s="40"/>
      <c r="KL81" s="40"/>
      <c r="KM81" s="63"/>
      <c r="KN81" s="274"/>
      <c r="KO81" s="63"/>
      <c r="KP81" s="63"/>
      <c r="KQ81" s="40"/>
      <c r="KR81" s="274"/>
      <c r="KS81" s="40"/>
      <c r="KT81" s="40"/>
      <c r="KU81" s="63"/>
      <c r="KV81" s="274"/>
      <c r="KW81" s="63"/>
      <c r="KX81" s="63"/>
      <c r="KY81" s="40"/>
      <c r="KZ81" s="274"/>
      <c r="LA81" s="40"/>
      <c r="LB81" s="40"/>
      <c r="LC81" s="63"/>
      <c r="LD81" s="274"/>
      <c r="LE81" s="63"/>
      <c r="LF81" s="63"/>
      <c r="LG81" s="40"/>
      <c r="LH81" s="274"/>
      <c r="LI81" s="274"/>
      <c r="LJ81" s="274"/>
      <c r="LK81" s="274"/>
      <c r="LL81" s="274"/>
      <c r="LM81" s="274"/>
      <c r="LN81" s="274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</row>
    <row r="82" spans="1:340" x14ac:dyDescent="0.2">
      <c r="A82" s="795" t="s">
        <v>3803</v>
      </c>
      <c r="B82" s="796">
        <f>AVERAGE(BT63,BP63,BL63,BH63,BD63,AZ63,AV63,AR63,AN63,AJ63,AF63,AB63,X63,T63,P63,L63,H63,D63)</f>
        <v>0.83887037037037038</v>
      </c>
      <c r="C82" s="797">
        <f t="shared" ref="C82:C84" si="105">(B82/B83)-1</f>
        <v>0.30132826503338328</v>
      </c>
      <c r="D82" s="798">
        <v>0.7</v>
      </c>
      <c r="E82" s="797">
        <f t="shared" ref="E82:E85" si="106">(B82/D82)-1</f>
        <v>0.19838624338624355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774"/>
      <c r="GT82" s="774"/>
      <c r="GU82" s="774"/>
      <c r="GV82" s="5"/>
      <c r="GW82" s="274"/>
      <c r="GX82" s="775"/>
      <c r="GY82" s="40"/>
      <c r="GZ82" s="274"/>
      <c r="HA82" s="40"/>
      <c r="HB82" s="40"/>
      <c r="HC82" s="40"/>
      <c r="HD82" s="274"/>
      <c r="HE82" s="40"/>
      <c r="HF82" s="40"/>
      <c r="HG82" s="40"/>
      <c r="HH82" s="274"/>
      <c r="HI82" s="40"/>
      <c r="HJ82" s="40"/>
      <c r="HK82" s="40"/>
      <c r="HL82" s="274"/>
      <c r="HM82" s="40"/>
      <c r="HN82" s="40"/>
      <c r="HO82" s="40"/>
      <c r="HP82" s="274"/>
      <c r="HQ82" s="40"/>
      <c r="HR82" s="40"/>
      <c r="HS82" s="40"/>
      <c r="HT82" s="274"/>
      <c r="HU82" s="40"/>
      <c r="HV82" s="5"/>
      <c r="HW82" s="40"/>
      <c r="HX82" s="274"/>
      <c r="HY82" s="40"/>
      <c r="HZ82" s="63"/>
      <c r="IA82" s="40"/>
      <c r="IB82" s="274"/>
      <c r="IC82" s="63"/>
      <c r="ID82" s="63"/>
      <c r="IE82" s="40"/>
      <c r="IF82" s="274"/>
      <c r="IG82" s="40"/>
      <c r="IH82" s="40"/>
      <c r="II82" s="40"/>
      <c r="IJ82" s="274"/>
      <c r="IK82" s="40"/>
      <c r="IL82" s="274"/>
      <c r="IM82" s="40"/>
      <c r="IN82" s="274"/>
      <c r="IO82" s="40"/>
      <c r="IP82" s="40"/>
      <c r="IQ82" s="40"/>
      <c r="IR82" s="274"/>
      <c r="IS82" s="40"/>
      <c r="IT82" s="40"/>
      <c r="IU82" s="40"/>
      <c r="IV82" s="274"/>
      <c r="IW82" s="40"/>
      <c r="IX82" s="40"/>
      <c r="IY82" s="40"/>
      <c r="IZ82" s="274"/>
      <c r="JA82" s="40"/>
      <c r="JB82" s="40"/>
      <c r="JC82" s="40"/>
      <c r="JD82" s="274"/>
      <c r="JE82" s="40"/>
      <c r="JF82" s="40"/>
      <c r="JG82" s="40"/>
      <c r="JH82" s="274"/>
      <c r="JI82" s="40"/>
      <c r="JJ82" s="40"/>
      <c r="JK82" s="40"/>
      <c r="JL82" s="274"/>
      <c r="JM82" s="40"/>
      <c r="JN82" s="40"/>
      <c r="JO82" s="63"/>
      <c r="JP82" s="274"/>
      <c r="JQ82" s="63"/>
      <c r="JR82" s="63"/>
      <c r="JS82" s="63"/>
      <c r="JT82" s="274"/>
      <c r="JU82" s="63"/>
      <c r="JV82" s="40"/>
      <c r="JW82" s="63"/>
      <c r="JX82" s="274"/>
      <c r="JY82" s="63"/>
      <c r="JZ82" s="63"/>
      <c r="KA82" s="40"/>
      <c r="KB82" s="274"/>
      <c r="KC82" s="40"/>
      <c r="KD82" s="40"/>
      <c r="KE82" s="63"/>
      <c r="KF82" s="274"/>
      <c r="KG82" s="63"/>
      <c r="KH82" s="63"/>
      <c r="KI82" s="40"/>
      <c r="KJ82" s="274"/>
      <c r="KK82" s="40"/>
      <c r="KL82" s="40"/>
      <c r="KM82" s="63"/>
      <c r="KN82" s="274"/>
      <c r="KO82" s="63"/>
      <c r="KP82" s="63"/>
      <c r="KQ82" s="40"/>
      <c r="KR82" s="274"/>
      <c r="KS82" s="40"/>
      <c r="KT82" s="40"/>
      <c r="KU82" s="63"/>
      <c r="KV82" s="274"/>
      <c r="KW82" s="63"/>
      <c r="KX82" s="63"/>
      <c r="KY82" s="40"/>
      <c r="KZ82" s="274"/>
      <c r="LA82" s="40"/>
      <c r="LB82" s="40"/>
      <c r="LC82" s="63"/>
      <c r="LD82" s="274"/>
      <c r="LE82" s="63"/>
      <c r="LF82" s="63"/>
      <c r="LG82" s="40"/>
      <c r="LH82" s="274"/>
      <c r="LI82" s="274"/>
      <c r="LJ82" s="274"/>
      <c r="LK82" s="274"/>
      <c r="LL82" s="274"/>
      <c r="LM82" s="274"/>
      <c r="LN82" s="274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</row>
    <row r="83" spans="1:340" x14ac:dyDescent="0.2">
      <c r="A83" s="795" t="s">
        <v>3804</v>
      </c>
      <c r="B83" s="799">
        <f>AVERAGE(FD63,EZ63,EV63,ER63,EN63,EJ63,EF63,EB63,DX63,DT63,DP63,DL63,DH63,DD63,CZ63,CV63,CR63,CN63,CJ63,CF63,CB63,BX63)</f>
        <v>0.64462625834754361</v>
      </c>
      <c r="C83" s="797">
        <f t="shared" si="105"/>
        <v>-0.12315367383640541</v>
      </c>
      <c r="D83" s="800">
        <v>0.71</v>
      </c>
      <c r="E83" s="797">
        <f t="shared" si="106"/>
        <v>-9.2075692468248427E-2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774"/>
      <c r="GT83" s="774"/>
      <c r="GU83" s="774"/>
      <c r="GV83" s="5"/>
      <c r="GW83" s="274"/>
      <c r="GX83" s="775"/>
      <c r="GY83" s="40"/>
      <c r="GZ83" s="274"/>
      <c r="HA83" s="40"/>
      <c r="HB83" s="40"/>
      <c r="HC83" s="40"/>
      <c r="HD83" s="274"/>
      <c r="HE83" s="40"/>
      <c r="HF83" s="40"/>
      <c r="HG83" s="40"/>
      <c r="HH83" s="274"/>
      <c r="HI83" s="40"/>
      <c r="HJ83" s="40"/>
      <c r="HK83" s="40"/>
      <c r="HL83" s="274"/>
      <c r="HM83" s="40"/>
      <c r="HN83" s="40"/>
      <c r="HO83" s="40"/>
      <c r="HP83" s="274"/>
      <c r="HQ83" s="40"/>
      <c r="HR83" s="40"/>
      <c r="HS83" s="40"/>
      <c r="HT83" s="274"/>
      <c r="HU83" s="40"/>
      <c r="HV83" s="5"/>
      <c r="HW83" s="40"/>
      <c r="HX83" s="274"/>
      <c r="HY83" s="40"/>
      <c r="HZ83" s="63"/>
      <c r="IA83" s="40"/>
      <c r="IB83" s="274"/>
      <c r="IC83" s="63"/>
      <c r="ID83" s="63"/>
      <c r="IE83" s="40"/>
      <c r="IF83" s="274"/>
      <c r="IG83" s="40"/>
      <c r="IH83" s="40"/>
      <c r="II83" s="40"/>
      <c r="IJ83" s="274"/>
      <c r="IK83" s="40"/>
      <c r="IL83" s="274"/>
      <c r="IM83" s="40"/>
      <c r="IN83" s="274"/>
      <c r="IO83" s="40"/>
      <c r="IP83" s="40"/>
      <c r="IQ83" s="40"/>
      <c r="IR83" s="274"/>
      <c r="IS83" s="40"/>
      <c r="IT83" s="40"/>
      <c r="IU83" s="40"/>
      <c r="IV83" s="274"/>
      <c r="IW83" s="40"/>
      <c r="IX83" s="40"/>
      <c r="IY83" s="40"/>
      <c r="IZ83" s="274"/>
      <c r="JA83" s="40"/>
      <c r="JB83" s="40"/>
      <c r="JC83" s="40"/>
      <c r="JD83" s="274"/>
      <c r="JE83" s="40"/>
      <c r="JF83" s="40"/>
      <c r="JG83" s="40"/>
      <c r="JH83" s="274"/>
      <c r="JI83" s="40"/>
      <c r="JJ83" s="40"/>
      <c r="JK83" s="40"/>
      <c r="JL83" s="274"/>
      <c r="JM83" s="40"/>
      <c r="JN83" s="40"/>
      <c r="JO83" s="63"/>
      <c r="JP83" s="274"/>
      <c r="JQ83" s="63"/>
      <c r="JR83" s="63"/>
      <c r="JS83" s="63"/>
      <c r="JT83" s="274"/>
      <c r="JU83" s="63"/>
      <c r="JV83" s="40"/>
      <c r="JW83" s="63"/>
      <c r="JX83" s="274"/>
      <c r="JY83" s="63"/>
      <c r="JZ83" s="63"/>
      <c r="KA83" s="40"/>
      <c r="KB83" s="274"/>
      <c r="KC83" s="40"/>
      <c r="KD83" s="40"/>
      <c r="KE83" s="63"/>
      <c r="KF83" s="274"/>
      <c r="KG83" s="63"/>
      <c r="KH83" s="63"/>
      <c r="KI83" s="40"/>
      <c r="KJ83" s="274"/>
      <c r="KK83" s="40"/>
      <c r="KL83" s="40"/>
      <c r="KM83" s="63"/>
      <c r="KN83" s="274"/>
      <c r="KO83" s="63"/>
      <c r="KP83" s="63"/>
      <c r="KQ83" s="40"/>
      <c r="KR83" s="274"/>
      <c r="KS83" s="40"/>
      <c r="KT83" s="40"/>
      <c r="KU83" s="63"/>
      <c r="KV83" s="274"/>
      <c r="KW83" s="63"/>
      <c r="KX83" s="63"/>
      <c r="KY83" s="40"/>
      <c r="KZ83" s="274"/>
      <c r="LA83" s="40"/>
      <c r="LB83" s="40"/>
      <c r="LC83" s="63"/>
      <c r="LD83" s="274"/>
      <c r="LE83" s="63"/>
      <c r="LF83" s="63"/>
      <c r="LG83" s="40"/>
      <c r="LH83" s="274"/>
      <c r="LI83" s="274"/>
      <c r="LJ83" s="274"/>
      <c r="LK83" s="274"/>
      <c r="LL83" s="274"/>
      <c r="LM83" s="274"/>
      <c r="LN83" s="274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</row>
    <row r="84" spans="1:340" x14ac:dyDescent="0.2">
      <c r="A84" s="795" t="s">
        <v>3805</v>
      </c>
      <c r="B84" s="801">
        <f>AVERAGE(IF63,IB63,HX63,HT63,HP63,HL63,HH63,HD63,GZ63,GV63,GR63,GN63,GJ63,GF63,GB63,FX63,FT63,FP63,FL63,FH63)</f>
        <v>0.73516446281748427</v>
      </c>
      <c r="C84" s="797">
        <f t="shared" si="105"/>
        <v>0.15833215869143125</v>
      </c>
      <c r="D84" s="802">
        <v>0.63</v>
      </c>
      <c r="E84" s="797">
        <f t="shared" si="106"/>
        <v>0.16692771875791146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774"/>
      <c r="GT84" s="774"/>
      <c r="GU84" s="774"/>
      <c r="GV84" s="5"/>
      <c r="GW84" s="274"/>
      <c r="GX84" s="775"/>
      <c r="GY84" s="40"/>
      <c r="GZ84" s="274"/>
      <c r="HA84" s="40"/>
      <c r="HB84" s="40"/>
      <c r="HC84" s="40"/>
      <c r="HD84" s="274"/>
      <c r="HE84" s="40"/>
      <c r="HF84" s="40"/>
      <c r="HG84" s="40"/>
      <c r="HH84" s="274"/>
      <c r="HI84" s="40"/>
      <c r="HJ84" s="40"/>
      <c r="HK84" s="40"/>
      <c r="HL84" s="274"/>
      <c r="HM84" s="40"/>
      <c r="HN84" s="40"/>
      <c r="HO84" s="40"/>
      <c r="HP84" s="274"/>
      <c r="HQ84" s="40"/>
      <c r="HR84" s="40"/>
      <c r="HS84" s="40"/>
      <c r="HT84" s="274"/>
      <c r="HU84" s="40"/>
      <c r="HV84" s="5"/>
      <c r="HW84" s="40"/>
      <c r="HX84" s="274"/>
      <c r="HY84" s="40"/>
      <c r="HZ84" s="63"/>
      <c r="IA84" s="40"/>
      <c r="IB84" s="274"/>
      <c r="IC84" s="63"/>
      <c r="ID84" s="63"/>
      <c r="IE84" s="40"/>
      <c r="IF84" s="274"/>
      <c r="IG84" s="40"/>
      <c r="IH84" s="40"/>
      <c r="II84" s="40"/>
      <c r="IJ84" s="274"/>
      <c r="IK84" s="40"/>
      <c r="IL84" s="274"/>
      <c r="IM84" s="40"/>
      <c r="IN84" s="274"/>
      <c r="IO84" s="40"/>
      <c r="IP84" s="40"/>
      <c r="IQ84" s="40"/>
      <c r="IR84" s="274"/>
      <c r="IS84" s="40"/>
      <c r="IT84" s="40"/>
      <c r="IU84" s="40"/>
      <c r="IV84" s="274"/>
      <c r="IW84" s="40"/>
      <c r="IX84" s="40"/>
      <c r="IY84" s="40"/>
      <c r="IZ84" s="274"/>
      <c r="JA84" s="40"/>
      <c r="JB84" s="40"/>
      <c r="JC84" s="40"/>
      <c r="JD84" s="274"/>
      <c r="JE84" s="40"/>
      <c r="JF84" s="40"/>
      <c r="JG84" s="40"/>
      <c r="JH84" s="274"/>
      <c r="JI84" s="40"/>
      <c r="JJ84" s="40"/>
      <c r="JK84" s="40"/>
      <c r="JL84" s="274"/>
      <c r="JM84" s="40"/>
      <c r="JN84" s="40"/>
      <c r="JO84" s="63"/>
      <c r="JP84" s="274"/>
      <c r="JQ84" s="63"/>
      <c r="JR84" s="63"/>
      <c r="JS84" s="63"/>
      <c r="JT84" s="274"/>
      <c r="JU84" s="63"/>
      <c r="JV84" s="40"/>
      <c r="JW84" s="63"/>
      <c r="JX84" s="274"/>
      <c r="JY84" s="63"/>
      <c r="JZ84" s="63"/>
      <c r="KA84" s="40"/>
      <c r="KB84" s="274"/>
      <c r="KC84" s="40"/>
      <c r="KD84" s="40"/>
      <c r="KE84" s="63"/>
      <c r="KF84" s="274"/>
      <c r="KG84" s="63"/>
      <c r="KH84" s="63"/>
      <c r="KI84" s="40"/>
      <c r="KJ84" s="274"/>
      <c r="KK84" s="40"/>
      <c r="KL84" s="40"/>
      <c r="KM84" s="63"/>
      <c r="KN84" s="274"/>
      <c r="KO84" s="63"/>
      <c r="KP84" s="63"/>
      <c r="KQ84" s="40"/>
      <c r="KR84" s="274"/>
      <c r="KS84" s="40"/>
      <c r="KT84" s="40"/>
      <c r="KU84" s="63"/>
      <c r="KV84" s="274"/>
      <c r="KW84" s="63"/>
      <c r="KX84" s="63"/>
      <c r="KY84" s="40"/>
      <c r="KZ84" s="274"/>
      <c r="LA84" s="40"/>
      <c r="LB84" s="40"/>
      <c r="LC84" s="63"/>
      <c r="LD84" s="274"/>
      <c r="LE84" s="63"/>
      <c r="LF84" s="63"/>
      <c r="LG84" s="40"/>
      <c r="LH84" s="274"/>
      <c r="LI84" s="274"/>
      <c r="LJ84" s="274"/>
      <c r="LK84" s="274"/>
      <c r="LL84" s="274"/>
      <c r="LM84" s="274"/>
      <c r="LN84" s="274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</row>
    <row r="85" spans="1:340" x14ac:dyDescent="0.2">
      <c r="A85" s="795" t="s">
        <v>3806</v>
      </c>
      <c r="B85" s="803">
        <f>AVERAGE(LH63,LD63,KZ63,KV63,KR63,KN63,KJ63,KF63,KB63,JX63,JT63,JP63,JL63,JH63,JD63,IZ63,IV63,IR63,IN63,IJ63)</f>
        <v>0.6346750000000001</v>
      </c>
      <c r="C85" s="804" t="s">
        <v>3801</v>
      </c>
      <c r="D85" s="804">
        <v>0.56000000000000005</v>
      </c>
      <c r="E85" s="797">
        <f t="shared" si="106"/>
        <v>0.13334821428571431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774"/>
      <c r="GT85" s="774"/>
      <c r="GU85" s="774"/>
      <c r="GV85" s="5"/>
      <c r="GW85" s="274"/>
      <c r="GX85" s="775"/>
      <c r="GY85" s="40"/>
      <c r="GZ85" s="274"/>
      <c r="HA85" s="40"/>
      <c r="HB85" s="40"/>
      <c r="HC85" s="40"/>
      <c r="HD85" s="274"/>
      <c r="HE85" s="40"/>
      <c r="HF85" s="40"/>
      <c r="HG85" s="40"/>
      <c r="HH85" s="274"/>
      <c r="HI85" s="40"/>
      <c r="HJ85" s="40"/>
      <c r="HK85" s="40"/>
      <c r="HL85" s="274"/>
      <c r="HM85" s="40"/>
      <c r="HN85" s="40"/>
      <c r="HO85" s="40"/>
      <c r="HP85" s="274"/>
      <c r="HQ85" s="40"/>
      <c r="HR85" s="40"/>
      <c r="HS85" s="40"/>
      <c r="HT85" s="274"/>
      <c r="HU85" s="40"/>
      <c r="HV85" s="5"/>
      <c r="HW85" s="40"/>
      <c r="HX85" s="274"/>
      <c r="HY85" s="40"/>
      <c r="HZ85" s="63"/>
      <c r="IA85" s="40"/>
      <c r="IB85" s="274"/>
      <c r="IC85" s="63"/>
      <c r="ID85" s="63"/>
      <c r="IE85" s="40"/>
      <c r="IF85" s="274"/>
      <c r="IG85" s="40"/>
      <c r="IH85" s="40"/>
      <c r="II85" s="40"/>
      <c r="IJ85" s="274"/>
      <c r="IK85" s="40"/>
      <c r="IL85" s="274"/>
      <c r="IM85" s="40"/>
      <c r="IN85" s="274"/>
      <c r="IO85" s="40"/>
      <c r="IP85" s="40"/>
      <c r="IQ85" s="40"/>
      <c r="IR85" s="274"/>
      <c r="IS85" s="40"/>
      <c r="IT85" s="40"/>
      <c r="IU85" s="40"/>
      <c r="IV85" s="274"/>
      <c r="IW85" s="40"/>
      <c r="IX85" s="40"/>
      <c r="IY85" s="40"/>
      <c r="IZ85" s="274"/>
      <c r="JA85" s="40"/>
      <c r="JB85" s="40"/>
      <c r="JC85" s="40"/>
      <c r="JD85" s="274"/>
      <c r="JE85" s="40"/>
      <c r="JF85" s="40"/>
      <c r="JG85" s="40"/>
      <c r="JH85" s="274"/>
      <c r="JI85" s="40"/>
      <c r="JJ85" s="40"/>
      <c r="JK85" s="40"/>
      <c r="JL85" s="274"/>
      <c r="JM85" s="40"/>
      <c r="JN85" s="40"/>
      <c r="JO85" s="63"/>
      <c r="JP85" s="274"/>
      <c r="JQ85" s="63"/>
      <c r="JR85" s="63"/>
      <c r="JS85" s="63"/>
      <c r="JT85" s="274"/>
      <c r="JU85" s="63"/>
      <c r="JV85" s="40"/>
      <c r="JW85" s="63"/>
      <c r="JX85" s="274"/>
      <c r="JY85" s="63"/>
      <c r="JZ85" s="63"/>
      <c r="KA85" s="40"/>
      <c r="KB85" s="274"/>
      <c r="KC85" s="40"/>
      <c r="KD85" s="40"/>
      <c r="KE85" s="63"/>
      <c r="KF85" s="274"/>
      <c r="KG85" s="63"/>
      <c r="KH85" s="63"/>
      <c r="KI85" s="40"/>
      <c r="KJ85" s="274"/>
      <c r="KK85" s="40"/>
      <c r="KL85" s="40"/>
      <c r="KM85" s="63"/>
      <c r="KN85" s="274"/>
      <c r="KO85" s="63"/>
      <c r="KP85" s="63"/>
      <c r="KQ85" s="40"/>
      <c r="KR85" s="274"/>
      <c r="KS85" s="40"/>
      <c r="KT85" s="40"/>
      <c r="KU85" s="63"/>
      <c r="KV85" s="274"/>
      <c r="KW85" s="63"/>
      <c r="KX85" s="63"/>
      <c r="KY85" s="40"/>
      <c r="KZ85" s="274"/>
      <c r="LA85" s="40"/>
      <c r="LB85" s="40"/>
      <c r="LC85" s="63"/>
      <c r="LD85" s="274"/>
      <c r="LE85" s="63"/>
      <c r="LF85" s="63"/>
      <c r="LG85" s="40"/>
      <c r="LH85" s="274"/>
      <c r="LI85" s="274"/>
      <c r="LJ85" s="274"/>
      <c r="LK85" s="274"/>
      <c r="LL85" s="274"/>
      <c r="LM85" s="274"/>
      <c r="LN85" s="274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</row>
    <row r="86" spans="1:340" x14ac:dyDescent="0.2">
      <c r="A86" s="5"/>
      <c r="B86" s="711"/>
      <c r="C86" s="77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774"/>
      <c r="GT86" s="774"/>
      <c r="GU86" s="774"/>
      <c r="GV86" s="5"/>
      <c r="GW86" s="274"/>
      <c r="GX86" s="775"/>
      <c r="GY86" s="40"/>
      <c r="GZ86" s="274"/>
      <c r="HA86" s="40"/>
      <c r="HB86" s="40"/>
      <c r="HC86" s="40"/>
      <c r="HD86" s="274"/>
      <c r="HE86" s="40"/>
      <c r="HF86" s="40"/>
      <c r="HG86" s="40"/>
      <c r="HH86" s="274"/>
      <c r="HI86" s="40"/>
      <c r="HJ86" s="40"/>
      <c r="HK86" s="40"/>
      <c r="HL86" s="274"/>
      <c r="HM86" s="40"/>
      <c r="HN86" s="40"/>
      <c r="HO86" s="40"/>
      <c r="HP86" s="274"/>
      <c r="HQ86" s="40"/>
      <c r="HR86" s="40"/>
      <c r="HS86" s="40"/>
      <c r="HT86" s="274"/>
      <c r="HU86" s="40"/>
      <c r="HV86" s="5"/>
      <c r="HW86" s="40"/>
      <c r="HX86" s="274"/>
      <c r="HY86" s="40"/>
      <c r="HZ86" s="63"/>
      <c r="IA86" s="40"/>
      <c r="IB86" s="274"/>
      <c r="IC86" s="63"/>
      <c r="ID86" s="63"/>
      <c r="IE86" s="40"/>
      <c r="IF86" s="274"/>
      <c r="IG86" s="40"/>
      <c r="IH86" s="40"/>
      <c r="II86" s="40"/>
      <c r="IJ86" s="274"/>
      <c r="IK86" s="40"/>
      <c r="IL86" s="274"/>
      <c r="IM86" s="40"/>
      <c r="IN86" s="274"/>
      <c r="IO86" s="40"/>
      <c r="IP86" s="40"/>
      <c r="IQ86" s="40"/>
      <c r="IR86" s="274"/>
      <c r="IS86" s="40"/>
      <c r="IT86" s="40"/>
      <c r="IU86" s="40"/>
      <c r="IV86" s="274"/>
      <c r="IW86" s="40"/>
      <c r="IX86" s="40"/>
      <c r="IY86" s="40"/>
      <c r="IZ86" s="274"/>
      <c r="JA86" s="40"/>
      <c r="JB86" s="40"/>
      <c r="JC86" s="40"/>
      <c r="JD86" s="274"/>
      <c r="JE86" s="40"/>
      <c r="JF86" s="40"/>
      <c r="JG86" s="40"/>
      <c r="JH86" s="274"/>
      <c r="JI86" s="40"/>
      <c r="JJ86" s="40"/>
      <c r="JK86" s="40"/>
      <c r="JL86" s="274"/>
      <c r="JM86" s="40"/>
      <c r="JN86" s="40"/>
      <c r="JO86" s="63"/>
      <c r="JP86" s="274"/>
      <c r="JQ86" s="63"/>
      <c r="JR86" s="63"/>
      <c r="JS86" s="63"/>
      <c r="JT86" s="274"/>
      <c r="JU86" s="63"/>
      <c r="JV86" s="40"/>
      <c r="JW86" s="63"/>
      <c r="JX86" s="274"/>
      <c r="JY86" s="63"/>
      <c r="JZ86" s="63"/>
      <c r="KA86" s="40"/>
      <c r="KB86" s="274"/>
      <c r="KC86" s="40"/>
      <c r="KD86" s="40"/>
      <c r="KE86" s="63"/>
      <c r="KF86" s="274"/>
      <c r="KG86" s="63"/>
      <c r="KH86" s="63"/>
      <c r="KI86" s="40"/>
      <c r="KJ86" s="274"/>
      <c r="KK86" s="40"/>
      <c r="KL86" s="40"/>
      <c r="KM86" s="63"/>
      <c r="KN86" s="274"/>
      <c r="KO86" s="63"/>
      <c r="KP86" s="63"/>
      <c r="KQ86" s="40"/>
      <c r="KR86" s="274"/>
      <c r="KS86" s="40"/>
      <c r="KT86" s="40"/>
      <c r="KU86" s="63"/>
      <c r="KV86" s="274"/>
      <c r="KW86" s="63"/>
      <c r="KX86" s="63"/>
      <c r="KY86" s="40"/>
      <c r="KZ86" s="274"/>
      <c r="LA86" s="40"/>
      <c r="LB86" s="40"/>
      <c r="LC86" s="63"/>
      <c r="LD86" s="274"/>
      <c r="LE86" s="63"/>
      <c r="LF86" s="63"/>
      <c r="LG86" s="40"/>
      <c r="LH86" s="274"/>
      <c r="LI86" s="274"/>
      <c r="LJ86" s="274"/>
      <c r="LK86" s="274"/>
      <c r="LL86" s="274"/>
      <c r="LM86" s="274"/>
      <c r="LN86" s="274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</row>
  </sheetData>
  <mergeCells count="80">
    <mergeCell ref="FX1:GA1"/>
    <mergeCell ref="GB1:GE1"/>
    <mergeCell ref="GF1:GI1"/>
    <mergeCell ref="GJ1:GM1"/>
    <mergeCell ref="GN1:GQ1"/>
    <mergeCell ref="FD1:FG1"/>
    <mergeCell ref="FH1:FK1"/>
    <mergeCell ref="FL1:FO1"/>
    <mergeCell ref="FP1:FS1"/>
    <mergeCell ref="FT1:FW1"/>
    <mergeCell ref="EJ1:EM1"/>
    <mergeCell ref="EN1:EQ1"/>
    <mergeCell ref="ER1:EU1"/>
    <mergeCell ref="EV1:EY1"/>
    <mergeCell ref="EZ1:FC1"/>
    <mergeCell ref="DP1:DS1"/>
    <mergeCell ref="DT1:DW1"/>
    <mergeCell ref="DX1:EA1"/>
    <mergeCell ref="EB1:EE1"/>
    <mergeCell ref="EF1:EI1"/>
    <mergeCell ref="CV1:CY1"/>
    <mergeCell ref="CZ1:DC1"/>
    <mergeCell ref="DD1:DG1"/>
    <mergeCell ref="DH1:DK1"/>
    <mergeCell ref="DL1:DO1"/>
    <mergeCell ref="CB1:CE1"/>
    <mergeCell ref="CF1:CI1"/>
    <mergeCell ref="CJ1:CM1"/>
    <mergeCell ref="CN1:CQ1"/>
    <mergeCell ref="CR1:CU1"/>
    <mergeCell ref="BH1:BK1"/>
    <mergeCell ref="BL1:BO1"/>
    <mergeCell ref="BP1:BS1"/>
    <mergeCell ref="BT1:BW1"/>
    <mergeCell ref="BX1:CA1"/>
    <mergeCell ref="AN1:AQ1"/>
    <mergeCell ref="AR1:AU1"/>
    <mergeCell ref="AV1:AY1"/>
    <mergeCell ref="AZ1:BC1"/>
    <mergeCell ref="BD1:BG1"/>
    <mergeCell ref="X1:AA1"/>
    <mergeCell ref="AB1:AE1"/>
    <mergeCell ref="D81:E81"/>
    <mergeCell ref="AF1:AI1"/>
    <mergeCell ref="AJ1:AM1"/>
    <mergeCell ref="D1:G1"/>
    <mergeCell ref="H1:K1"/>
    <mergeCell ref="L1:O1"/>
    <mergeCell ref="P1:S1"/>
    <mergeCell ref="T1:W1"/>
    <mergeCell ref="JT1:JW1"/>
    <mergeCell ref="KZ1:LC1"/>
    <mergeCell ref="LD1:LG1"/>
    <mergeCell ref="JX1:KA1"/>
    <mergeCell ref="KB1:KE1"/>
    <mergeCell ref="KF1:KI1"/>
    <mergeCell ref="KJ1:KM1"/>
    <mergeCell ref="KN1:KQ1"/>
    <mergeCell ref="KR1:KU1"/>
    <mergeCell ref="KV1:KY1"/>
    <mergeCell ref="IZ1:JC1"/>
    <mergeCell ref="JD1:JG1"/>
    <mergeCell ref="JH1:JK1"/>
    <mergeCell ref="JL1:JO1"/>
    <mergeCell ref="JP1:JS1"/>
    <mergeCell ref="IF1:II1"/>
    <mergeCell ref="IJ1:IM1"/>
    <mergeCell ref="IN1:IQ1"/>
    <mergeCell ref="IR1:IU1"/>
    <mergeCell ref="IV1:IY1"/>
    <mergeCell ref="HL1:HO1"/>
    <mergeCell ref="HP1:HS1"/>
    <mergeCell ref="HT1:HW1"/>
    <mergeCell ref="HX1:IA1"/>
    <mergeCell ref="IB1:IE1"/>
    <mergeCell ref="GR1:GU1"/>
    <mergeCell ref="GV1:GY1"/>
    <mergeCell ref="GZ1:HC1"/>
    <mergeCell ref="HD1:HG1"/>
    <mergeCell ref="HH1:HK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Soares de Souza</cp:lastModifiedBy>
  <dcterms:modified xsi:type="dcterms:W3CDTF">2026-04-27T16:17:21Z</dcterms:modified>
</cp:coreProperties>
</file>